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laragon\www\HRIS\database snapshots\"/>
    </mc:Choice>
  </mc:AlternateContent>
  <xr:revisionPtr revIDLastSave="0" documentId="13_ncr:1_{0794039A-088C-4991-9091-476977DC6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NK" sheetId="5" r:id="rId1"/>
    <sheet name="DASHBOARD" sheetId="8" r:id="rId2"/>
    <sheet name="FormulaSheet" sheetId="7" state="hidden" r:id="rId3"/>
    <sheet name="DISCONNECTED" sheetId="3" r:id="rId4"/>
  </sheets>
  <definedNames>
    <definedName name="_xlnm._FilterDatabase" localSheetId="0" hidden="1">DATABANK!$A$1:$AQ$300</definedName>
    <definedName name="_xlnm._FilterDatabase" localSheetId="3" hidden="1">DISCONNECTED!$B$1:$AG$23</definedName>
    <definedName name="_xlnm.Print_Area" localSheetId="1">DASHBOARD!$A$1:$AO$154</definedName>
    <definedName name="_xlnm.Print_Area" localSheetId="0">DATABANK!$A$1:$V$11</definedName>
    <definedName name="_xlnm.Print_Titles" localSheetId="1">DASHBOARD!$1:$7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3" l="1"/>
  <c r="F61" i="3"/>
  <c r="D61" i="3"/>
  <c r="Q60" i="3"/>
  <c r="F60" i="3"/>
  <c r="Q59" i="3"/>
  <c r="F59" i="3"/>
  <c r="Q54" i="3"/>
  <c r="F54" i="3"/>
  <c r="Q53" i="3"/>
  <c r="F53" i="3"/>
  <c r="D53" i="3"/>
  <c r="Q52" i="3"/>
  <c r="F52" i="3"/>
  <c r="D52" i="3"/>
  <c r="Q51" i="3"/>
  <c r="F51" i="3"/>
  <c r="D51" i="3"/>
  <c r="Q50" i="3"/>
  <c r="F50" i="3"/>
  <c r="Q49" i="3"/>
  <c r="F49" i="3"/>
  <c r="D49" i="3"/>
  <c r="Q48" i="3"/>
  <c r="F48" i="3"/>
  <c r="D48" i="3"/>
  <c r="Q47" i="3"/>
  <c r="F47" i="3"/>
  <c r="D47" i="3"/>
  <c r="Q46" i="3"/>
  <c r="Q43" i="3"/>
  <c r="F43" i="3"/>
  <c r="D43" i="3"/>
  <c r="Q42" i="3"/>
  <c r="F42" i="3"/>
  <c r="D42" i="3"/>
  <c r="Q41" i="3"/>
  <c r="F41" i="3"/>
  <c r="D41" i="3"/>
  <c r="Q40" i="3"/>
  <c r="F40" i="3"/>
  <c r="D40" i="3"/>
  <c r="Q39" i="3"/>
  <c r="F39" i="3"/>
  <c r="D39" i="3"/>
  <c r="Q38" i="3"/>
  <c r="F38" i="3"/>
  <c r="D38" i="3"/>
  <c r="R37" i="3"/>
  <c r="Q37" i="3"/>
  <c r="F37" i="3"/>
  <c r="D37" i="3"/>
  <c r="Q36" i="3"/>
  <c r="F36" i="3"/>
  <c r="D36" i="3"/>
  <c r="Q35" i="3"/>
  <c r="D29" i="3"/>
  <c r="D28" i="3"/>
  <c r="D27" i="3"/>
  <c r="D26" i="3"/>
  <c r="K20" i="3"/>
  <c r="K19" i="3"/>
  <c r="K18" i="3"/>
  <c r="K17" i="3"/>
  <c r="K16" i="3"/>
  <c r="K15" i="3"/>
  <c r="C136" i="7"/>
  <c r="B136" i="7"/>
  <c r="D136" i="7" s="1"/>
  <c r="C51" i="7"/>
  <c r="B51" i="7"/>
  <c r="D51" i="7" s="1"/>
  <c r="C41" i="7"/>
  <c r="Q24" i="7"/>
  <c r="P24" i="7"/>
  <c r="O24" i="7"/>
  <c r="Q22" i="7"/>
  <c r="P22" i="7"/>
  <c r="R22" i="7" s="1"/>
  <c r="O22" i="7"/>
  <c r="O23" i="7" s="1"/>
  <c r="C17" i="7"/>
  <c r="B17" i="7"/>
  <c r="Q16" i="7"/>
  <c r="P16" i="7"/>
  <c r="O16" i="7"/>
  <c r="V8" i="7" s="1"/>
  <c r="C16" i="7"/>
  <c r="B16" i="7"/>
  <c r="Q15" i="7"/>
  <c r="P15" i="7"/>
  <c r="O15" i="7"/>
  <c r="C15" i="7"/>
  <c r="B15" i="7"/>
  <c r="Q14" i="7"/>
  <c r="P14" i="7"/>
  <c r="O14" i="7"/>
  <c r="X8" i="7"/>
  <c r="Q8" i="7"/>
  <c r="P8" i="7"/>
  <c r="O8" i="7"/>
  <c r="U8" i="7" s="1"/>
  <c r="V7" i="7"/>
  <c r="Q7" i="7"/>
  <c r="P7" i="7"/>
  <c r="O7" i="7"/>
  <c r="U7" i="7" s="1"/>
  <c r="Q6" i="7"/>
  <c r="P6" i="7"/>
  <c r="P9" i="7" s="1"/>
  <c r="O6" i="7"/>
  <c r="U6" i="7" s="1"/>
  <c r="U58" i="8"/>
  <c r="U23" i="8"/>
  <c r="AD9" i="8"/>
  <c r="K9" i="8"/>
  <c r="W308" i="5"/>
  <c r="X308" i="5" s="1"/>
  <c r="L308" i="5"/>
  <c r="C112" i="7" s="1"/>
  <c r="J308" i="5"/>
  <c r="W307" i="5"/>
  <c r="X307" i="5" s="1"/>
  <c r="L307" i="5"/>
  <c r="C32" i="7" s="1"/>
  <c r="J307" i="5"/>
  <c r="W306" i="5"/>
  <c r="X306" i="5" s="1"/>
  <c r="L306" i="5"/>
  <c r="J306" i="5"/>
  <c r="W305" i="5"/>
  <c r="X305" i="5" s="1"/>
  <c r="L305" i="5"/>
  <c r="J305" i="5"/>
  <c r="W304" i="5"/>
  <c r="X304" i="5" s="1"/>
  <c r="L304" i="5"/>
  <c r="J304" i="5"/>
  <c r="W303" i="5"/>
  <c r="X303" i="5" s="1"/>
  <c r="L303" i="5"/>
  <c r="B93" i="7" s="1"/>
  <c r="J303" i="5"/>
  <c r="W302" i="5"/>
  <c r="X302" i="5" s="1"/>
  <c r="L302" i="5"/>
  <c r="J302" i="5"/>
  <c r="W301" i="5"/>
  <c r="X301" i="5" s="1"/>
  <c r="L301" i="5"/>
  <c r="J301" i="5"/>
  <c r="W300" i="5"/>
  <c r="X300" i="5" s="1"/>
  <c r="L300" i="5"/>
  <c r="J300" i="5"/>
  <c r="W299" i="5"/>
  <c r="X299" i="5" s="1"/>
  <c r="L299" i="5"/>
  <c r="J299" i="5"/>
  <c r="W298" i="5"/>
  <c r="X298" i="5" s="1"/>
  <c r="L298" i="5"/>
  <c r="J298" i="5"/>
  <c r="W297" i="5"/>
  <c r="X297" i="5" s="1"/>
  <c r="L297" i="5"/>
  <c r="J297" i="5"/>
  <c r="W296" i="5"/>
  <c r="X296" i="5" s="1"/>
  <c r="L296" i="5"/>
  <c r="J296" i="5"/>
  <c r="W295" i="5"/>
  <c r="X295" i="5" s="1"/>
  <c r="L295" i="5"/>
  <c r="J295" i="5"/>
  <c r="W294" i="5"/>
  <c r="X294" i="5" s="1"/>
  <c r="L294" i="5"/>
  <c r="J294" i="5"/>
  <c r="W293" i="5"/>
  <c r="X293" i="5" s="1"/>
  <c r="L293" i="5"/>
  <c r="J293" i="5"/>
  <c r="W292" i="5"/>
  <c r="X292" i="5" s="1"/>
  <c r="L292" i="5"/>
  <c r="J292" i="5"/>
  <c r="W291" i="5"/>
  <c r="X291" i="5" s="1"/>
  <c r="L291" i="5"/>
  <c r="J291" i="5"/>
  <c r="W290" i="5"/>
  <c r="X290" i="5" s="1"/>
  <c r="L290" i="5"/>
  <c r="J290" i="5"/>
  <c r="W289" i="5"/>
  <c r="X289" i="5" s="1"/>
  <c r="L289" i="5"/>
  <c r="J289" i="5"/>
  <c r="W288" i="5"/>
  <c r="X288" i="5" s="1"/>
  <c r="L288" i="5"/>
  <c r="J288" i="5"/>
  <c r="W287" i="5"/>
  <c r="X287" i="5" s="1"/>
  <c r="L287" i="5"/>
  <c r="J287" i="5"/>
  <c r="W286" i="5"/>
  <c r="X286" i="5" s="1"/>
  <c r="L286" i="5"/>
  <c r="J286" i="5"/>
  <c r="W285" i="5"/>
  <c r="X285" i="5" s="1"/>
  <c r="L285" i="5"/>
  <c r="J285" i="5"/>
  <c r="W284" i="5"/>
  <c r="X284" i="5" s="1"/>
  <c r="L284" i="5"/>
  <c r="J284" i="5"/>
  <c r="W283" i="5"/>
  <c r="X283" i="5" s="1"/>
  <c r="L283" i="5"/>
  <c r="J283" i="5"/>
  <c r="W282" i="5"/>
  <c r="X282" i="5" s="1"/>
  <c r="L282" i="5"/>
  <c r="J282" i="5"/>
  <c r="W281" i="5"/>
  <c r="X281" i="5" s="1"/>
  <c r="L281" i="5"/>
  <c r="J281" i="5"/>
  <c r="W280" i="5"/>
  <c r="X280" i="5" s="1"/>
  <c r="L280" i="5"/>
  <c r="J280" i="5"/>
  <c r="W279" i="5"/>
  <c r="X279" i="5" s="1"/>
  <c r="L279" i="5"/>
  <c r="J279" i="5"/>
  <c r="W278" i="5"/>
  <c r="X278" i="5" s="1"/>
  <c r="L278" i="5"/>
  <c r="J278" i="5"/>
  <c r="W277" i="5"/>
  <c r="X277" i="5" s="1"/>
  <c r="L277" i="5"/>
  <c r="J277" i="5"/>
  <c r="W276" i="5"/>
  <c r="X276" i="5" s="1"/>
  <c r="L276" i="5"/>
  <c r="B130" i="7" s="1"/>
  <c r="J276" i="5"/>
  <c r="W275" i="5"/>
  <c r="X275" i="5" s="1"/>
  <c r="L275" i="5"/>
  <c r="J275" i="5"/>
  <c r="W274" i="5"/>
  <c r="X274" i="5" s="1"/>
  <c r="L274" i="5"/>
  <c r="J274" i="5"/>
  <c r="W273" i="5"/>
  <c r="X273" i="5" s="1"/>
  <c r="L273" i="5"/>
  <c r="J273" i="5"/>
  <c r="W272" i="5"/>
  <c r="X272" i="5" s="1"/>
  <c r="L272" i="5"/>
  <c r="J272" i="5"/>
  <c r="X271" i="5"/>
  <c r="L271" i="5"/>
  <c r="J271" i="5"/>
  <c r="W270" i="5"/>
  <c r="X270" i="5" s="1"/>
  <c r="L270" i="5"/>
  <c r="J270" i="5"/>
  <c r="W269" i="5"/>
  <c r="X269" i="5" s="1"/>
  <c r="L269" i="5"/>
  <c r="J269" i="5"/>
  <c r="W268" i="5"/>
  <c r="X268" i="5" s="1"/>
  <c r="L268" i="5"/>
  <c r="J268" i="5"/>
  <c r="W267" i="5"/>
  <c r="X267" i="5" s="1"/>
  <c r="L267" i="5"/>
  <c r="J267" i="5"/>
  <c r="W266" i="5"/>
  <c r="X266" i="5" s="1"/>
  <c r="L266" i="5"/>
  <c r="J266" i="5"/>
  <c r="W265" i="5"/>
  <c r="X265" i="5" s="1"/>
  <c r="L265" i="5"/>
  <c r="J265" i="5"/>
  <c r="W264" i="5"/>
  <c r="X264" i="5" s="1"/>
  <c r="L264" i="5"/>
  <c r="J264" i="5"/>
  <c r="W263" i="5"/>
  <c r="X263" i="5" s="1"/>
  <c r="L263" i="5"/>
  <c r="J263" i="5"/>
  <c r="W262" i="5"/>
  <c r="X262" i="5" s="1"/>
  <c r="L262" i="5"/>
  <c r="J262" i="5"/>
  <c r="W261" i="5"/>
  <c r="X261" i="5" s="1"/>
  <c r="L261" i="5"/>
  <c r="J261" i="5"/>
  <c r="W260" i="5"/>
  <c r="X260" i="5" s="1"/>
  <c r="L260" i="5"/>
  <c r="J260" i="5"/>
  <c r="W259" i="5"/>
  <c r="X259" i="5" s="1"/>
  <c r="L259" i="5"/>
  <c r="J259" i="5"/>
  <c r="W258" i="5"/>
  <c r="X258" i="5" s="1"/>
  <c r="L258" i="5"/>
  <c r="J258" i="5"/>
  <c r="W257" i="5"/>
  <c r="X257" i="5" s="1"/>
  <c r="L257" i="5"/>
  <c r="J257" i="5"/>
  <c r="W256" i="5"/>
  <c r="X256" i="5" s="1"/>
  <c r="L256" i="5"/>
  <c r="J256" i="5"/>
  <c r="W255" i="5"/>
  <c r="X255" i="5" s="1"/>
  <c r="L255" i="5"/>
  <c r="J255" i="5"/>
  <c r="W254" i="5"/>
  <c r="X254" i="5" s="1"/>
  <c r="L254" i="5"/>
  <c r="J254" i="5"/>
  <c r="W253" i="5"/>
  <c r="X253" i="5" s="1"/>
  <c r="L253" i="5"/>
  <c r="J253" i="5"/>
  <c r="W252" i="5"/>
  <c r="X252" i="5" s="1"/>
  <c r="L252" i="5"/>
  <c r="J252" i="5"/>
  <c r="W251" i="5"/>
  <c r="X251" i="5" s="1"/>
  <c r="L251" i="5"/>
  <c r="J251" i="5"/>
  <c r="W250" i="5"/>
  <c r="X250" i="5" s="1"/>
  <c r="L250" i="5"/>
  <c r="J250" i="5"/>
  <c r="W249" i="5"/>
  <c r="X249" i="5" s="1"/>
  <c r="L249" i="5"/>
  <c r="C111" i="7" s="1"/>
  <c r="J249" i="5"/>
  <c r="W248" i="5"/>
  <c r="X248" i="5" s="1"/>
  <c r="L248" i="5"/>
  <c r="J248" i="5"/>
  <c r="W247" i="5"/>
  <c r="X247" i="5" s="1"/>
  <c r="L247" i="5"/>
  <c r="J247" i="5"/>
  <c r="W246" i="5"/>
  <c r="X246" i="5" s="1"/>
  <c r="L246" i="5"/>
  <c r="J246" i="5"/>
  <c r="W245" i="5"/>
  <c r="X245" i="5" s="1"/>
  <c r="L245" i="5"/>
  <c r="J245" i="5"/>
  <c r="W244" i="5"/>
  <c r="X244" i="5" s="1"/>
  <c r="L244" i="5"/>
  <c r="J244" i="5"/>
  <c r="W243" i="5"/>
  <c r="X243" i="5" s="1"/>
  <c r="L243" i="5"/>
  <c r="J243" i="5"/>
  <c r="W242" i="5"/>
  <c r="X242" i="5" s="1"/>
  <c r="L242" i="5"/>
  <c r="B67" i="7" s="1"/>
  <c r="J242" i="5"/>
  <c r="W241" i="5"/>
  <c r="X241" i="5" s="1"/>
  <c r="L241" i="5"/>
  <c r="J241" i="5"/>
  <c r="W240" i="5"/>
  <c r="X240" i="5" s="1"/>
  <c r="L240" i="5"/>
  <c r="J240" i="5"/>
  <c r="W239" i="5"/>
  <c r="X239" i="5" s="1"/>
  <c r="L239" i="5"/>
  <c r="J239" i="5"/>
  <c r="W238" i="5"/>
  <c r="X238" i="5" s="1"/>
  <c r="L238" i="5"/>
  <c r="J238" i="5"/>
  <c r="W237" i="5"/>
  <c r="X237" i="5" s="1"/>
  <c r="L237" i="5"/>
  <c r="J237" i="5"/>
  <c r="W236" i="5"/>
  <c r="X236" i="5" s="1"/>
  <c r="L236" i="5"/>
  <c r="J236" i="5"/>
  <c r="W235" i="5"/>
  <c r="X235" i="5" s="1"/>
  <c r="L235" i="5"/>
  <c r="J235" i="5"/>
  <c r="W234" i="5"/>
  <c r="X234" i="5" s="1"/>
  <c r="L234" i="5"/>
  <c r="J234" i="5"/>
  <c r="W233" i="5"/>
  <c r="X233" i="5" s="1"/>
  <c r="L233" i="5"/>
  <c r="J233" i="5"/>
  <c r="W232" i="5"/>
  <c r="X232" i="5" s="1"/>
  <c r="L232" i="5"/>
  <c r="C114" i="7" s="1"/>
  <c r="J232" i="5"/>
  <c r="W231" i="5"/>
  <c r="X231" i="5" s="1"/>
  <c r="L231" i="5"/>
  <c r="C154" i="7" s="1"/>
  <c r="J231" i="5"/>
  <c r="W230" i="5"/>
  <c r="X230" i="5" s="1"/>
  <c r="L230" i="5"/>
  <c r="B110" i="7" s="1"/>
  <c r="J230" i="5"/>
  <c r="W229" i="5"/>
  <c r="X229" i="5" s="1"/>
  <c r="L229" i="5"/>
  <c r="C31" i="7" s="1"/>
  <c r="J229" i="5"/>
  <c r="W228" i="5"/>
  <c r="X228" i="5" s="1"/>
  <c r="L228" i="5"/>
  <c r="C129" i="7" s="1"/>
  <c r="J228" i="5"/>
  <c r="W227" i="5"/>
  <c r="X227" i="5" s="1"/>
  <c r="L227" i="5"/>
  <c r="J227" i="5"/>
  <c r="W226" i="5"/>
  <c r="X226" i="5" s="1"/>
  <c r="L226" i="5"/>
  <c r="J226" i="5"/>
  <c r="W225" i="5"/>
  <c r="X225" i="5" s="1"/>
  <c r="L225" i="5"/>
  <c r="J225" i="5"/>
  <c r="L224" i="5"/>
  <c r="J224" i="5"/>
  <c r="W223" i="5"/>
  <c r="X223" i="5" s="1"/>
  <c r="L223" i="5"/>
  <c r="J223" i="5"/>
  <c r="W222" i="5"/>
  <c r="X222" i="5" s="1"/>
  <c r="L222" i="5"/>
  <c r="J222" i="5"/>
  <c r="W221" i="5"/>
  <c r="X221" i="5" s="1"/>
  <c r="L221" i="5"/>
  <c r="J221" i="5"/>
  <c r="W220" i="5"/>
  <c r="X220" i="5" s="1"/>
  <c r="L220" i="5"/>
  <c r="J220" i="5"/>
  <c r="W219" i="5"/>
  <c r="X219" i="5" s="1"/>
  <c r="L219" i="5"/>
  <c r="J219" i="5"/>
  <c r="W218" i="5"/>
  <c r="X218" i="5" s="1"/>
  <c r="L218" i="5"/>
  <c r="J218" i="5"/>
  <c r="W217" i="5"/>
  <c r="X217" i="5" s="1"/>
  <c r="L217" i="5"/>
  <c r="J217" i="5"/>
  <c r="W216" i="5"/>
  <c r="X216" i="5" s="1"/>
  <c r="L216" i="5"/>
  <c r="J216" i="5"/>
  <c r="W215" i="5"/>
  <c r="X215" i="5" s="1"/>
  <c r="L215" i="5"/>
  <c r="J215" i="5"/>
  <c r="W214" i="5"/>
  <c r="X214" i="5" s="1"/>
  <c r="L214" i="5"/>
  <c r="J214" i="5"/>
  <c r="W213" i="5"/>
  <c r="X213" i="5" s="1"/>
  <c r="L213" i="5"/>
  <c r="C152" i="7" s="1"/>
  <c r="J213" i="5"/>
  <c r="W212" i="5"/>
  <c r="X212" i="5" s="1"/>
  <c r="L212" i="5"/>
  <c r="C123" i="7" s="1"/>
  <c r="J212" i="5"/>
  <c r="W211" i="5"/>
  <c r="X211" i="5" s="1"/>
  <c r="L211" i="5"/>
  <c r="J211" i="5"/>
  <c r="W210" i="5"/>
  <c r="X210" i="5" s="1"/>
  <c r="L210" i="5"/>
  <c r="J210" i="5"/>
  <c r="W209" i="5"/>
  <c r="X209" i="5" s="1"/>
  <c r="L209" i="5"/>
  <c r="J209" i="5"/>
  <c r="W208" i="5"/>
  <c r="X208" i="5" s="1"/>
  <c r="L208" i="5"/>
  <c r="J208" i="5"/>
  <c r="W207" i="5"/>
  <c r="X207" i="5" s="1"/>
  <c r="L207" i="5"/>
  <c r="J207" i="5"/>
  <c r="L206" i="5"/>
  <c r="J206" i="5"/>
  <c r="W205" i="5"/>
  <c r="X205" i="5" s="1"/>
  <c r="L205" i="5"/>
  <c r="C149" i="7" s="1"/>
  <c r="J205" i="5"/>
  <c r="W204" i="5"/>
  <c r="X204" i="5" s="1"/>
  <c r="L204" i="5"/>
  <c r="J204" i="5"/>
  <c r="W203" i="5"/>
  <c r="X203" i="5" s="1"/>
  <c r="L203" i="5"/>
  <c r="J203" i="5"/>
  <c r="W202" i="5"/>
  <c r="X202" i="5" s="1"/>
  <c r="L202" i="5"/>
  <c r="J202" i="5"/>
  <c r="W201" i="5"/>
  <c r="X201" i="5" s="1"/>
  <c r="L201" i="5"/>
  <c r="J201" i="5"/>
  <c r="W200" i="5"/>
  <c r="X200" i="5" s="1"/>
  <c r="L200" i="5"/>
  <c r="B146" i="7" s="1"/>
  <c r="J200" i="5"/>
  <c r="W199" i="5"/>
  <c r="X199" i="5" s="1"/>
  <c r="L199" i="5"/>
  <c r="C144" i="7" s="1"/>
  <c r="J199" i="5"/>
  <c r="L198" i="5"/>
  <c r="J198" i="5"/>
  <c r="W197" i="5"/>
  <c r="X197" i="5" s="1"/>
  <c r="L197" i="5"/>
  <c r="J197" i="5"/>
  <c r="W196" i="5"/>
  <c r="X196" i="5" s="1"/>
  <c r="L196" i="5"/>
  <c r="J196" i="5"/>
  <c r="W195" i="5"/>
  <c r="X195" i="5" s="1"/>
  <c r="L195" i="5"/>
  <c r="J195" i="5"/>
  <c r="W194" i="5"/>
  <c r="X194" i="5" s="1"/>
  <c r="L194" i="5"/>
  <c r="J194" i="5"/>
  <c r="W193" i="5"/>
  <c r="X193" i="5" s="1"/>
  <c r="L193" i="5"/>
  <c r="J193" i="5"/>
  <c r="W192" i="5"/>
  <c r="X192" i="5" s="1"/>
  <c r="L192" i="5"/>
  <c r="J192" i="5"/>
  <c r="W191" i="5"/>
  <c r="X191" i="5" s="1"/>
  <c r="L191" i="5"/>
  <c r="J191" i="5"/>
  <c r="W190" i="5"/>
  <c r="X190" i="5" s="1"/>
  <c r="L190" i="5"/>
  <c r="J190" i="5"/>
  <c r="W189" i="5"/>
  <c r="X189" i="5" s="1"/>
  <c r="L189" i="5"/>
  <c r="J189" i="5"/>
  <c r="W188" i="5"/>
  <c r="X188" i="5" s="1"/>
  <c r="L188" i="5"/>
  <c r="J188" i="5"/>
  <c r="W187" i="5"/>
  <c r="X187" i="5" s="1"/>
  <c r="L187" i="5"/>
  <c r="C100" i="7" s="1"/>
  <c r="J187" i="5"/>
  <c r="W186" i="5"/>
  <c r="X186" i="5" s="1"/>
  <c r="L186" i="5"/>
  <c r="C153" i="7" s="1"/>
  <c r="J186" i="5"/>
  <c r="W185" i="5"/>
  <c r="X185" i="5" s="1"/>
  <c r="L185" i="5"/>
  <c r="C133" i="7" s="1"/>
  <c r="J185" i="5"/>
  <c r="W184" i="5"/>
  <c r="X184" i="5" s="1"/>
  <c r="L184" i="5"/>
  <c r="C101" i="7" s="1"/>
  <c r="J184" i="5"/>
  <c r="W183" i="5"/>
  <c r="X183" i="5" s="1"/>
  <c r="L183" i="5"/>
  <c r="B104" i="7" s="1"/>
  <c r="J183" i="5"/>
  <c r="W182" i="5"/>
  <c r="X182" i="5" s="1"/>
  <c r="L182" i="5"/>
  <c r="C61" i="7" s="1"/>
  <c r="J182" i="5"/>
  <c r="W181" i="5"/>
  <c r="X181" i="5" s="1"/>
  <c r="L181" i="5"/>
  <c r="J181" i="5"/>
  <c r="L180" i="5"/>
  <c r="J180" i="5"/>
  <c r="W179" i="5"/>
  <c r="X179" i="5" s="1"/>
  <c r="L179" i="5"/>
  <c r="C56" i="7" s="1"/>
  <c r="J179" i="5"/>
  <c r="W178" i="5"/>
  <c r="X178" i="5" s="1"/>
  <c r="L178" i="5"/>
  <c r="J178" i="5"/>
  <c r="W177" i="5"/>
  <c r="X177" i="5" s="1"/>
  <c r="L177" i="5"/>
  <c r="J177" i="5"/>
  <c r="W176" i="5"/>
  <c r="X176" i="5" s="1"/>
  <c r="L176" i="5"/>
  <c r="J176" i="5"/>
  <c r="W175" i="5"/>
  <c r="X175" i="5" s="1"/>
  <c r="L175" i="5"/>
  <c r="J175" i="5"/>
  <c r="W174" i="5"/>
  <c r="X174" i="5" s="1"/>
  <c r="L174" i="5"/>
  <c r="J174" i="5"/>
  <c r="W173" i="5"/>
  <c r="X173" i="5" s="1"/>
  <c r="L173" i="5"/>
  <c r="J173" i="5"/>
  <c r="W172" i="5"/>
  <c r="X172" i="5" s="1"/>
  <c r="L172" i="5"/>
  <c r="J172" i="5"/>
  <c r="W171" i="5"/>
  <c r="X171" i="5" s="1"/>
  <c r="L171" i="5"/>
  <c r="J171" i="5"/>
  <c r="W170" i="5"/>
  <c r="X170" i="5" s="1"/>
  <c r="L170" i="5"/>
  <c r="J170" i="5"/>
  <c r="W169" i="5"/>
  <c r="X169" i="5" s="1"/>
  <c r="L169" i="5"/>
  <c r="J169" i="5"/>
  <c r="W168" i="5"/>
  <c r="X168" i="5" s="1"/>
  <c r="L168" i="5"/>
  <c r="J168" i="5"/>
  <c r="W167" i="5"/>
  <c r="X167" i="5" s="1"/>
  <c r="L167" i="5"/>
  <c r="J167" i="5"/>
  <c r="W166" i="5"/>
  <c r="X166" i="5" s="1"/>
  <c r="L166" i="5"/>
  <c r="J166" i="5"/>
  <c r="W165" i="5"/>
  <c r="X165" i="5" s="1"/>
  <c r="L165" i="5"/>
  <c r="J165" i="5"/>
  <c r="W164" i="5"/>
  <c r="X164" i="5" s="1"/>
  <c r="L164" i="5"/>
  <c r="J164" i="5"/>
  <c r="W163" i="5"/>
  <c r="X163" i="5" s="1"/>
  <c r="L163" i="5"/>
  <c r="J163" i="5"/>
  <c r="W162" i="5"/>
  <c r="X162" i="5" s="1"/>
  <c r="L162" i="5"/>
  <c r="J162" i="5"/>
  <c r="W161" i="5"/>
  <c r="X161" i="5" s="1"/>
  <c r="L161" i="5"/>
  <c r="J161" i="5"/>
  <c r="W160" i="5"/>
  <c r="X160" i="5" s="1"/>
  <c r="L160" i="5"/>
  <c r="J160" i="5"/>
  <c r="W159" i="5"/>
  <c r="X159" i="5" s="1"/>
  <c r="L159" i="5"/>
  <c r="J159" i="5"/>
  <c r="W158" i="5"/>
  <c r="X158" i="5" s="1"/>
  <c r="L158" i="5"/>
  <c r="J158" i="5"/>
  <c r="W157" i="5"/>
  <c r="X157" i="5" s="1"/>
  <c r="L157" i="5"/>
  <c r="J157" i="5"/>
  <c r="W156" i="5"/>
  <c r="X156" i="5" s="1"/>
  <c r="L156" i="5"/>
  <c r="J156" i="5"/>
  <c r="L155" i="5"/>
  <c r="J155" i="5"/>
  <c r="W154" i="5"/>
  <c r="X154" i="5" s="1"/>
  <c r="L154" i="5"/>
  <c r="J154" i="5"/>
  <c r="W153" i="5"/>
  <c r="X153" i="5" s="1"/>
  <c r="L153" i="5"/>
  <c r="J153" i="5"/>
  <c r="W152" i="5"/>
  <c r="X152" i="5" s="1"/>
  <c r="L152" i="5"/>
  <c r="J152" i="5"/>
  <c r="W151" i="5"/>
  <c r="X151" i="5" s="1"/>
  <c r="L151" i="5"/>
  <c r="J151" i="5"/>
  <c r="W150" i="5"/>
  <c r="X150" i="5" s="1"/>
  <c r="L150" i="5"/>
  <c r="J150" i="5"/>
  <c r="W149" i="5"/>
  <c r="X149" i="5" s="1"/>
  <c r="L149" i="5"/>
  <c r="J149" i="5"/>
  <c r="W148" i="5"/>
  <c r="X148" i="5" s="1"/>
  <c r="L148" i="5"/>
  <c r="J148" i="5"/>
  <c r="W147" i="5"/>
  <c r="X147" i="5" s="1"/>
  <c r="L147" i="5"/>
  <c r="J147" i="5"/>
  <c r="W146" i="5"/>
  <c r="X146" i="5" s="1"/>
  <c r="L146" i="5"/>
  <c r="J146" i="5"/>
  <c r="W145" i="5"/>
  <c r="X145" i="5" s="1"/>
  <c r="L145" i="5"/>
  <c r="J145" i="5"/>
  <c r="W144" i="5"/>
  <c r="X144" i="5" s="1"/>
  <c r="L144" i="5"/>
  <c r="J144" i="5"/>
  <c r="L143" i="5"/>
  <c r="J143" i="5"/>
  <c r="W142" i="5"/>
  <c r="X142" i="5" s="1"/>
  <c r="L142" i="5"/>
  <c r="J142" i="5"/>
  <c r="W141" i="5"/>
  <c r="X141" i="5" s="1"/>
  <c r="L141" i="5"/>
  <c r="J141" i="5"/>
  <c r="W140" i="5"/>
  <c r="X140" i="5" s="1"/>
  <c r="L140" i="5"/>
  <c r="J140" i="5"/>
  <c r="W139" i="5"/>
  <c r="X139" i="5" s="1"/>
  <c r="L139" i="5"/>
  <c r="J139" i="5"/>
  <c r="W138" i="5"/>
  <c r="X138" i="5" s="1"/>
  <c r="L138" i="5"/>
  <c r="J138" i="5"/>
  <c r="W137" i="5"/>
  <c r="X137" i="5" s="1"/>
  <c r="L137" i="5"/>
  <c r="J137" i="5"/>
  <c r="W136" i="5"/>
  <c r="X136" i="5" s="1"/>
  <c r="L136" i="5"/>
  <c r="J136" i="5"/>
  <c r="W135" i="5"/>
  <c r="X135" i="5" s="1"/>
  <c r="L135" i="5"/>
  <c r="J135" i="5"/>
  <c r="W134" i="5"/>
  <c r="X134" i="5" s="1"/>
  <c r="L134" i="5"/>
  <c r="J134" i="5"/>
  <c r="W133" i="5"/>
  <c r="X133" i="5" s="1"/>
  <c r="L133" i="5"/>
  <c r="J133" i="5"/>
  <c r="W132" i="5"/>
  <c r="X132" i="5" s="1"/>
  <c r="L132" i="5"/>
  <c r="J132" i="5"/>
  <c r="W131" i="5"/>
  <c r="X131" i="5" s="1"/>
  <c r="L131" i="5"/>
  <c r="J131" i="5"/>
  <c r="W130" i="5"/>
  <c r="X130" i="5" s="1"/>
  <c r="L130" i="5"/>
  <c r="J130" i="5"/>
  <c r="W129" i="5"/>
  <c r="X129" i="5" s="1"/>
  <c r="L129" i="5"/>
  <c r="J129" i="5"/>
  <c r="W128" i="5"/>
  <c r="X128" i="5" s="1"/>
  <c r="L128" i="5"/>
  <c r="J128" i="5"/>
  <c r="W127" i="5"/>
  <c r="X127" i="5" s="1"/>
  <c r="L127" i="5"/>
  <c r="J127" i="5"/>
  <c r="W126" i="5"/>
  <c r="X126" i="5" s="1"/>
  <c r="L126" i="5"/>
  <c r="J126" i="5"/>
  <c r="W125" i="5"/>
  <c r="X125" i="5" s="1"/>
  <c r="L125" i="5"/>
  <c r="J125" i="5"/>
  <c r="W124" i="5"/>
  <c r="X124" i="5" s="1"/>
  <c r="L124" i="5"/>
  <c r="J124" i="5"/>
  <c r="W123" i="5"/>
  <c r="X123" i="5" s="1"/>
  <c r="L123" i="5"/>
  <c r="J123" i="5"/>
  <c r="W122" i="5"/>
  <c r="X122" i="5" s="1"/>
  <c r="L122" i="5"/>
  <c r="J122" i="5"/>
  <c r="W121" i="5"/>
  <c r="X121" i="5" s="1"/>
  <c r="L121" i="5"/>
  <c r="C44" i="7" s="1"/>
  <c r="J121" i="5"/>
  <c r="W120" i="5"/>
  <c r="X120" i="5" s="1"/>
  <c r="L120" i="5"/>
  <c r="C124" i="7" s="1"/>
  <c r="J120" i="5"/>
  <c r="W119" i="5"/>
  <c r="X119" i="5" s="1"/>
  <c r="L119" i="5"/>
  <c r="J119" i="5"/>
  <c r="W118" i="5"/>
  <c r="X118" i="5" s="1"/>
  <c r="L118" i="5"/>
  <c r="J118" i="5"/>
  <c r="W117" i="5"/>
  <c r="X117" i="5" s="1"/>
  <c r="L117" i="5"/>
  <c r="J117" i="5"/>
  <c r="W116" i="5"/>
  <c r="X116" i="5" s="1"/>
  <c r="L116" i="5"/>
  <c r="J116" i="5"/>
  <c r="W115" i="5"/>
  <c r="X115" i="5" s="1"/>
  <c r="L115" i="5"/>
  <c r="J115" i="5"/>
  <c r="W114" i="5"/>
  <c r="X114" i="5" s="1"/>
  <c r="L114" i="5"/>
  <c r="J114" i="5"/>
  <c r="W113" i="5"/>
  <c r="X113" i="5" s="1"/>
  <c r="L113" i="5"/>
  <c r="J113" i="5"/>
  <c r="W112" i="5"/>
  <c r="X112" i="5" s="1"/>
  <c r="L112" i="5"/>
  <c r="J112" i="5"/>
  <c r="W111" i="5"/>
  <c r="X111" i="5" s="1"/>
  <c r="L111" i="5"/>
  <c r="J111" i="5"/>
  <c r="W110" i="5"/>
  <c r="X110" i="5" s="1"/>
  <c r="L110" i="5"/>
  <c r="J110" i="5"/>
  <c r="W109" i="5"/>
  <c r="X109" i="5" s="1"/>
  <c r="L109" i="5"/>
  <c r="J109" i="5"/>
  <c r="W108" i="5"/>
  <c r="X108" i="5" s="1"/>
  <c r="L108" i="5"/>
  <c r="J108" i="5"/>
  <c r="W107" i="5"/>
  <c r="X107" i="5" s="1"/>
  <c r="L107" i="5"/>
  <c r="J107" i="5"/>
  <c r="W106" i="5"/>
  <c r="X106" i="5" s="1"/>
  <c r="L106" i="5"/>
  <c r="J106" i="5"/>
  <c r="W105" i="5"/>
  <c r="X105" i="5" s="1"/>
  <c r="L105" i="5"/>
  <c r="J105" i="5"/>
  <c r="W104" i="5"/>
  <c r="X104" i="5" s="1"/>
  <c r="L104" i="5"/>
  <c r="J104" i="5"/>
  <c r="W103" i="5"/>
  <c r="X103" i="5" s="1"/>
  <c r="L103" i="5"/>
  <c r="J103" i="5"/>
  <c r="W102" i="5"/>
  <c r="X102" i="5" s="1"/>
  <c r="L102" i="5"/>
  <c r="J102" i="5"/>
  <c r="W101" i="5"/>
  <c r="X101" i="5" s="1"/>
  <c r="L101" i="5"/>
  <c r="J101" i="5"/>
  <c r="W100" i="5"/>
  <c r="X100" i="5" s="1"/>
  <c r="L100" i="5"/>
  <c r="J100" i="5"/>
  <c r="W99" i="5"/>
  <c r="X99" i="5" s="1"/>
  <c r="L99" i="5"/>
  <c r="J99" i="5"/>
  <c r="W98" i="5"/>
  <c r="X98" i="5" s="1"/>
  <c r="L98" i="5"/>
  <c r="J98" i="5"/>
  <c r="W97" i="5"/>
  <c r="X97" i="5" s="1"/>
  <c r="L97" i="5"/>
  <c r="J97" i="5"/>
  <c r="W96" i="5"/>
  <c r="X96" i="5" s="1"/>
  <c r="L96" i="5"/>
  <c r="J96" i="5"/>
  <c r="W95" i="5"/>
  <c r="X95" i="5" s="1"/>
  <c r="J95" i="5"/>
  <c r="W94" i="5"/>
  <c r="X94" i="5" s="1"/>
  <c r="L94" i="5"/>
  <c r="J94" i="5"/>
  <c r="W93" i="5"/>
  <c r="X93" i="5" s="1"/>
  <c r="L93" i="5"/>
  <c r="J93" i="5"/>
  <c r="W92" i="5"/>
  <c r="X92" i="5" s="1"/>
  <c r="L92" i="5"/>
  <c r="J92" i="5"/>
  <c r="W91" i="5"/>
  <c r="X91" i="5" s="1"/>
  <c r="L91" i="5"/>
  <c r="J91" i="5"/>
  <c r="W90" i="5"/>
  <c r="X90" i="5" s="1"/>
  <c r="L90" i="5"/>
  <c r="J90" i="5"/>
  <c r="W89" i="5"/>
  <c r="X89" i="5" s="1"/>
  <c r="L89" i="5"/>
  <c r="J89" i="5"/>
  <c r="W88" i="5"/>
  <c r="X88" i="5" s="1"/>
  <c r="L88" i="5"/>
  <c r="J88" i="5"/>
  <c r="W87" i="5"/>
  <c r="X87" i="5" s="1"/>
  <c r="L87" i="5"/>
  <c r="J87" i="5"/>
  <c r="W86" i="5"/>
  <c r="X86" i="5" s="1"/>
  <c r="L86" i="5"/>
  <c r="J86" i="5"/>
  <c r="W85" i="5"/>
  <c r="X85" i="5" s="1"/>
  <c r="L85" i="5"/>
  <c r="J85" i="5"/>
  <c r="W84" i="5"/>
  <c r="X84" i="5" s="1"/>
  <c r="L84" i="5"/>
  <c r="J84" i="5"/>
  <c r="W83" i="5"/>
  <c r="X83" i="5" s="1"/>
  <c r="L83" i="5"/>
  <c r="J83" i="5"/>
  <c r="W82" i="5"/>
  <c r="X82" i="5" s="1"/>
  <c r="L82" i="5"/>
  <c r="C106" i="7" s="1"/>
  <c r="J82" i="5"/>
  <c r="W81" i="5"/>
  <c r="X81" i="5" s="1"/>
  <c r="L81" i="5"/>
  <c r="C91" i="7" s="1"/>
  <c r="J81" i="5"/>
  <c r="W80" i="5"/>
  <c r="X80" i="5" s="1"/>
  <c r="L80" i="5"/>
  <c r="J80" i="5"/>
  <c r="W79" i="5"/>
  <c r="X79" i="5" s="1"/>
  <c r="L79" i="5"/>
  <c r="J79" i="5"/>
  <c r="W78" i="5"/>
  <c r="X78" i="5" s="1"/>
  <c r="L78" i="5"/>
  <c r="J78" i="5"/>
  <c r="L77" i="5"/>
  <c r="J77" i="5"/>
  <c r="W76" i="5"/>
  <c r="X76" i="5" s="1"/>
  <c r="L76" i="5"/>
  <c r="J76" i="5"/>
  <c r="W75" i="5"/>
  <c r="X75" i="5" s="1"/>
  <c r="L75" i="5"/>
  <c r="J75" i="5"/>
  <c r="W74" i="5"/>
  <c r="X74" i="5" s="1"/>
  <c r="L74" i="5"/>
  <c r="J74" i="5"/>
  <c r="W73" i="5"/>
  <c r="X73" i="5" s="1"/>
  <c r="L73" i="5"/>
  <c r="J73" i="5"/>
  <c r="L72" i="5"/>
  <c r="C131" i="7" s="1"/>
  <c r="J72" i="5"/>
  <c r="W71" i="5"/>
  <c r="X71" i="5" s="1"/>
  <c r="L71" i="5"/>
  <c r="C156" i="7" s="1"/>
  <c r="J71" i="5"/>
  <c r="W70" i="5"/>
  <c r="X70" i="5" s="1"/>
  <c r="L70" i="5"/>
  <c r="C151" i="7" s="1"/>
  <c r="J70" i="5"/>
  <c r="W69" i="5"/>
  <c r="X69" i="5" s="1"/>
  <c r="L69" i="5"/>
  <c r="J69" i="5"/>
  <c r="W68" i="5"/>
  <c r="X68" i="5" s="1"/>
  <c r="L68" i="5"/>
  <c r="C145" i="7" s="1"/>
  <c r="J68" i="5"/>
  <c r="W67" i="5"/>
  <c r="X67" i="5" s="1"/>
  <c r="L67" i="5"/>
  <c r="J67" i="5"/>
  <c r="W66" i="5"/>
  <c r="X66" i="5" s="1"/>
  <c r="L66" i="5"/>
  <c r="J66" i="5"/>
  <c r="W65" i="5"/>
  <c r="X65" i="5" s="1"/>
  <c r="L65" i="5"/>
  <c r="J65" i="5"/>
  <c r="W64" i="5"/>
  <c r="X64" i="5" s="1"/>
  <c r="L64" i="5"/>
  <c r="J64" i="5"/>
  <c r="W63" i="5"/>
  <c r="X63" i="5" s="1"/>
  <c r="L63" i="5"/>
  <c r="J63" i="5"/>
  <c r="W62" i="5"/>
  <c r="X62" i="5" s="1"/>
  <c r="L62" i="5"/>
  <c r="J62" i="5"/>
  <c r="W61" i="5"/>
  <c r="R61" i="3" s="1"/>
  <c r="L61" i="5"/>
  <c r="J61" i="5"/>
  <c r="W60" i="5"/>
  <c r="R60" i="3" s="1"/>
  <c r="L60" i="5"/>
  <c r="J60" i="5"/>
  <c r="W59" i="5"/>
  <c r="R59" i="3" s="1"/>
  <c r="L59" i="5"/>
  <c r="C169" i="7" s="1"/>
  <c r="J59" i="5"/>
  <c r="W58" i="5"/>
  <c r="X58" i="5" s="1"/>
  <c r="L58" i="5"/>
  <c r="C30" i="7" s="1"/>
  <c r="J58" i="5"/>
  <c r="W57" i="5"/>
  <c r="X57" i="5" s="1"/>
  <c r="L57" i="5"/>
  <c r="C92" i="7" s="1"/>
  <c r="J57" i="5"/>
  <c r="W56" i="5"/>
  <c r="X56" i="5" s="1"/>
  <c r="L56" i="5"/>
  <c r="C170" i="7" s="1"/>
  <c r="J56" i="5"/>
  <c r="W55" i="5"/>
  <c r="X55" i="5" s="1"/>
  <c r="L55" i="5"/>
  <c r="J55" i="5"/>
  <c r="W54" i="5"/>
  <c r="R54" i="3" s="1"/>
  <c r="L54" i="5"/>
  <c r="J54" i="5"/>
  <c r="W53" i="5"/>
  <c r="X53" i="5" s="1"/>
  <c r="L53" i="5"/>
  <c r="J53" i="5"/>
  <c r="W52" i="5"/>
  <c r="R52" i="3" s="1"/>
  <c r="L52" i="5"/>
  <c r="J52" i="5"/>
  <c r="W51" i="5"/>
  <c r="R51" i="3" s="1"/>
  <c r="L51" i="5"/>
  <c r="J51" i="5"/>
  <c r="W50" i="5"/>
  <c r="R50" i="3" s="1"/>
  <c r="L50" i="5"/>
  <c r="J50" i="5"/>
  <c r="W49" i="5"/>
  <c r="R49" i="3" s="1"/>
  <c r="L49" i="5"/>
  <c r="J49" i="5"/>
  <c r="W48" i="5"/>
  <c r="R48" i="3" s="1"/>
  <c r="L48" i="5"/>
  <c r="J48" i="5"/>
  <c r="W47" i="5"/>
  <c r="R47" i="3" s="1"/>
  <c r="L47" i="5"/>
  <c r="J47" i="5"/>
  <c r="W46" i="5"/>
  <c r="R46" i="3" s="1"/>
  <c r="L46" i="5"/>
  <c r="J46" i="5"/>
  <c r="W45" i="5"/>
  <c r="X45" i="5" s="1"/>
  <c r="L45" i="5"/>
  <c r="J45" i="5"/>
  <c r="W44" i="5"/>
  <c r="X44" i="5" s="1"/>
  <c r="L44" i="5"/>
  <c r="J44" i="5"/>
  <c r="W43" i="5"/>
  <c r="R43" i="3" s="1"/>
  <c r="L43" i="5"/>
  <c r="J43" i="5"/>
  <c r="W42" i="5"/>
  <c r="R42" i="3" s="1"/>
  <c r="L42" i="5"/>
  <c r="J42" i="5"/>
  <c r="W41" i="5"/>
  <c r="R41" i="3" s="1"/>
  <c r="L41" i="5"/>
  <c r="J41" i="5"/>
  <c r="W40" i="5"/>
  <c r="R40" i="3" s="1"/>
  <c r="L40" i="5"/>
  <c r="J40" i="5"/>
  <c r="W39" i="5"/>
  <c r="R39" i="3" s="1"/>
  <c r="L39" i="5"/>
  <c r="J39" i="5"/>
  <c r="W38" i="5"/>
  <c r="R38" i="3" s="1"/>
  <c r="L38" i="5"/>
  <c r="C171" i="7" s="1"/>
  <c r="J38" i="5"/>
  <c r="L37" i="5"/>
  <c r="C195" i="7" s="1"/>
  <c r="J37" i="5"/>
  <c r="W36" i="5"/>
  <c r="X36" i="5" s="1"/>
  <c r="L36" i="5"/>
  <c r="J36" i="5"/>
  <c r="W35" i="5"/>
  <c r="X35" i="5" s="1"/>
  <c r="L35" i="5"/>
  <c r="J35" i="5"/>
  <c r="W34" i="5"/>
  <c r="X34" i="5" s="1"/>
  <c r="L34" i="5"/>
  <c r="J34" i="5"/>
  <c r="W33" i="5"/>
  <c r="X33" i="5" s="1"/>
  <c r="L33" i="5"/>
  <c r="J33" i="5"/>
  <c r="W32" i="5"/>
  <c r="X32" i="5" s="1"/>
  <c r="L32" i="5"/>
  <c r="J32" i="5"/>
  <c r="W31" i="5"/>
  <c r="X31" i="5" s="1"/>
  <c r="L31" i="5"/>
  <c r="J31" i="5"/>
  <c r="W30" i="5"/>
  <c r="X30" i="5" s="1"/>
  <c r="L30" i="5"/>
  <c r="J30" i="5"/>
  <c r="W29" i="5"/>
  <c r="X29" i="5" s="1"/>
  <c r="L29" i="5"/>
  <c r="J29" i="5"/>
  <c r="W28" i="5"/>
  <c r="X28" i="5" s="1"/>
  <c r="L28" i="5"/>
  <c r="J28" i="5"/>
  <c r="W27" i="5"/>
  <c r="X27" i="5" s="1"/>
  <c r="L27" i="5"/>
  <c r="J27" i="5"/>
  <c r="W26" i="5"/>
  <c r="X26" i="5" s="1"/>
  <c r="L26" i="5"/>
  <c r="J26" i="5"/>
  <c r="W25" i="5"/>
  <c r="X25" i="5" s="1"/>
  <c r="L25" i="5"/>
  <c r="J25" i="5"/>
  <c r="W24" i="5"/>
  <c r="X24" i="5" s="1"/>
  <c r="L24" i="5"/>
  <c r="J24" i="5"/>
  <c r="W23" i="5"/>
  <c r="X23" i="5" s="1"/>
  <c r="L23" i="5"/>
  <c r="J23" i="5"/>
  <c r="W22" i="5"/>
  <c r="X22" i="5" s="1"/>
  <c r="L22" i="5"/>
  <c r="J22" i="5"/>
  <c r="W21" i="5"/>
  <c r="X21" i="5" s="1"/>
  <c r="L21" i="5"/>
  <c r="J21" i="5"/>
  <c r="W20" i="5"/>
  <c r="X20" i="5" s="1"/>
  <c r="L20" i="5"/>
  <c r="J20" i="5"/>
  <c r="W19" i="5"/>
  <c r="X19" i="5" s="1"/>
  <c r="L19" i="5"/>
  <c r="C132" i="7" s="1"/>
  <c r="J19" i="5"/>
  <c r="W18" i="5"/>
  <c r="X18" i="5" s="1"/>
  <c r="L18" i="5"/>
  <c r="J18" i="5"/>
  <c r="W17" i="5"/>
  <c r="X17" i="5" s="1"/>
  <c r="L17" i="5"/>
  <c r="C191" i="7" s="1"/>
  <c r="J17" i="5"/>
  <c r="W16" i="5"/>
  <c r="X16" i="5" s="1"/>
  <c r="L16" i="5"/>
  <c r="C186" i="7" s="1"/>
  <c r="J16" i="5"/>
  <c r="W15" i="5"/>
  <c r="X15" i="5" s="1"/>
  <c r="L15" i="5"/>
  <c r="C185" i="7" s="1"/>
  <c r="J15" i="5"/>
  <c r="W14" i="5"/>
  <c r="X14" i="5" s="1"/>
  <c r="L14" i="5"/>
  <c r="C184" i="7" s="1"/>
  <c r="J14" i="5"/>
  <c r="W13" i="5"/>
  <c r="X13" i="5" s="1"/>
  <c r="L13" i="5"/>
  <c r="B188" i="7" s="1"/>
  <c r="J13" i="5"/>
  <c r="W12" i="5"/>
  <c r="X12" i="5" s="1"/>
  <c r="L12" i="5"/>
  <c r="C183" i="7" s="1"/>
  <c r="J12" i="5"/>
  <c r="W11" i="5"/>
  <c r="X11" i="5" s="1"/>
  <c r="L11" i="5"/>
  <c r="C182" i="7" s="1"/>
  <c r="J11" i="5"/>
  <c r="W10" i="5"/>
  <c r="X10" i="5" s="1"/>
  <c r="L10" i="5"/>
  <c r="C190" i="7" s="1"/>
  <c r="J10" i="5"/>
  <c r="W9" i="5"/>
  <c r="X9" i="5" s="1"/>
  <c r="L9" i="5"/>
  <c r="C193" i="7" s="1"/>
  <c r="J9" i="5"/>
  <c r="W8" i="5"/>
  <c r="X8" i="5" s="1"/>
  <c r="L8" i="5"/>
  <c r="J8" i="5"/>
  <c r="W7" i="5"/>
  <c r="X7" i="5" s="1"/>
  <c r="L7" i="5"/>
  <c r="C189" i="7" s="1"/>
  <c r="J7" i="5"/>
  <c r="W6" i="5"/>
  <c r="X6" i="5" s="1"/>
  <c r="L6" i="5"/>
  <c r="J6" i="5"/>
  <c r="W5" i="5"/>
  <c r="X5" i="5" s="1"/>
  <c r="L5" i="5"/>
  <c r="J5" i="5"/>
  <c r="W4" i="5"/>
  <c r="X4" i="5" s="1"/>
  <c r="L4" i="5"/>
  <c r="J4" i="5"/>
  <c r="W3" i="5"/>
  <c r="X3" i="5" s="1"/>
  <c r="L3" i="5"/>
  <c r="J3" i="5"/>
  <c r="W2" i="5"/>
  <c r="X2" i="5" s="1"/>
  <c r="L2" i="5"/>
  <c r="C135" i="7" s="1"/>
  <c r="J2" i="5"/>
  <c r="X54" i="5" l="1"/>
  <c r="X38" i="5"/>
  <c r="C97" i="7"/>
  <c r="P23" i="7"/>
  <c r="P25" i="7" s="1"/>
  <c r="X52" i="5"/>
  <c r="B50" i="7"/>
  <c r="R24" i="7"/>
  <c r="C43" i="7"/>
  <c r="R15" i="7"/>
  <c r="O25" i="7"/>
  <c r="B32" i="7"/>
  <c r="C29" i="7"/>
  <c r="C34" i="7"/>
  <c r="C102" i="7"/>
  <c r="C155" i="7"/>
  <c r="C166" i="7"/>
  <c r="Y7" i="7"/>
  <c r="Q17" i="7"/>
  <c r="C47" i="7"/>
  <c r="C96" i="7"/>
  <c r="B26" i="7"/>
  <c r="B47" i="7"/>
  <c r="D47" i="7" s="1"/>
  <c r="C140" i="7"/>
  <c r="C70" i="7"/>
  <c r="C52" i="7"/>
  <c r="C6" i="7"/>
  <c r="B42" i="7"/>
  <c r="B94" i="7"/>
  <c r="O17" i="7"/>
  <c r="B48" i="7"/>
  <c r="X48" i="5"/>
  <c r="C26" i="7"/>
  <c r="B41" i="7"/>
  <c r="D41" i="7" s="1"/>
  <c r="U9" i="7"/>
  <c r="P17" i="7"/>
  <c r="Q23" i="7"/>
  <c r="R23" i="7" s="1"/>
  <c r="R25" i="7" s="1"/>
  <c r="W8" i="7" s="1"/>
  <c r="W9" i="7" s="1"/>
  <c r="C192" i="7"/>
  <c r="C165" i="7"/>
  <c r="C138" i="7"/>
  <c r="C137" i="7"/>
  <c r="Q9" i="7"/>
  <c r="B18" i="7"/>
  <c r="C18" i="7"/>
  <c r="C180" i="7"/>
  <c r="X40" i="5"/>
  <c r="X7" i="7"/>
  <c r="C53" i="7"/>
  <c r="C99" i="7"/>
  <c r="C128" i="7"/>
  <c r="C134" i="7"/>
  <c r="C172" i="7"/>
  <c r="B61" i="7"/>
  <c r="D61" i="7" s="1"/>
  <c r="C7" i="7"/>
  <c r="C150" i="7"/>
  <c r="C121" i="7"/>
  <c r="R7" i="7"/>
  <c r="B70" i="7"/>
  <c r="D70" i="7" s="1"/>
  <c r="C139" i="7"/>
  <c r="X50" i="5"/>
  <c r="B29" i="7"/>
  <c r="D29" i="7" s="1"/>
  <c r="D16" i="7"/>
  <c r="B30" i="7"/>
  <c r="D30" i="7" s="1"/>
  <c r="C93" i="7"/>
  <c r="C54" i="7"/>
  <c r="B27" i="7"/>
  <c r="C35" i="7"/>
  <c r="B167" i="7"/>
  <c r="X46" i="5"/>
  <c r="D93" i="7"/>
  <c r="X60" i="5"/>
  <c r="C194" i="7"/>
  <c r="C142" i="7"/>
  <c r="C141" i="7"/>
  <c r="B45" i="7"/>
  <c r="R8" i="7"/>
  <c r="R16" i="7"/>
  <c r="C187" i="7"/>
  <c r="X42" i="5"/>
  <c r="C103" i="7"/>
  <c r="C122" i="7"/>
  <c r="D17" i="7"/>
  <c r="C46" i="7"/>
  <c r="C104" i="7"/>
  <c r="D104" i="7" s="1"/>
  <c r="D32" i="7"/>
  <c r="R14" i="7"/>
  <c r="C27" i="7"/>
  <c r="B58" i="7"/>
  <c r="C67" i="7"/>
  <c r="D67" i="7" s="1"/>
  <c r="C94" i="7"/>
  <c r="D94" i="7" s="1"/>
  <c r="B105" i="7"/>
  <c r="C110" i="7"/>
  <c r="D110" i="7" s="1"/>
  <c r="B125" i="7"/>
  <c r="C130" i="7"/>
  <c r="D130" i="7" s="1"/>
  <c r="B141" i="7"/>
  <c r="C146" i="7"/>
  <c r="D146" i="7" s="1"/>
  <c r="B157" i="7"/>
  <c r="C167" i="7"/>
  <c r="B183" i="7"/>
  <c r="D183" i="7" s="1"/>
  <c r="C188" i="7"/>
  <c r="D188" i="7" s="1"/>
  <c r="X49" i="5"/>
  <c r="R6" i="7"/>
  <c r="B33" i="7"/>
  <c r="C42" i="7"/>
  <c r="D42" i="7" s="1"/>
  <c r="B53" i="7"/>
  <c r="D53" i="7" s="1"/>
  <c r="C58" i="7"/>
  <c r="B100" i="7"/>
  <c r="D100" i="7" s="1"/>
  <c r="C105" i="7"/>
  <c r="B120" i="7"/>
  <c r="C125" i="7"/>
  <c r="B152" i="7"/>
  <c r="D152" i="7" s="1"/>
  <c r="C157" i="7"/>
  <c r="B173" i="7"/>
  <c r="B194" i="7"/>
  <c r="B95" i="7"/>
  <c r="B111" i="7"/>
  <c r="D111" i="7" s="1"/>
  <c r="C120" i="7"/>
  <c r="B131" i="7"/>
  <c r="D131" i="7" s="1"/>
  <c r="B147" i="7"/>
  <c r="B168" i="7"/>
  <c r="C173" i="7"/>
  <c r="B189" i="7"/>
  <c r="D189" i="7" s="1"/>
  <c r="R53" i="3"/>
  <c r="Y8" i="7"/>
  <c r="Z8" i="7" s="1"/>
  <c r="V6" i="7"/>
  <c r="V9" i="7" s="1"/>
  <c r="B8" i="7"/>
  <c r="O9" i="7"/>
  <c r="D15" i="7"/>
  <c r="C28" i="7"/>
  <c r="B43" i="7"/>
  <c r="D43" i="7" s="1"/>
  <c r="C48" i="7"/>
  <c r="D48" i="7" s="1"/>
  <c r="B59" i="7"/>
  <c r="C68" i="7"/>
  <c r="C95" i="7"/>
  <c r="B106" i="7"/>
  <c r="D106" i="7" s="1"/>
  <c r="B126" i="7"/>
  <c r="B142" i="7"/>
  <c r="D142" i="7" s="1"/>
  <c r="C147" i="7"/>
  <c r="C168" i="7"/>
  <c r="B184" i="7"/>
  <c r="D184" i="7" s="1"/>
  <c r="B68" i="7"/>
  <c r="B71" i="7" s="1"/>
  <c r="X39" i="5"/>
  <c r="X43" i="5"/>
  <c r="X47" i="5"/>
  <c r="X51" i="5"/>
  <c r="X59" i="5"/>
  <c r="F78" i="7" s="1"/>
  <c r="X6" i="7"/>
  <c r="C8" i="7"/>
  <c r="C9" i="7" s="1"/>
  <c r="B34" i="7"/>
  <c r="D34" i="7" s="1"/>
  <c r="B54" i="7"/>
  <c r="D54" i="7" s="1"/>
  <c r="C59" i="7"/>
  <c r="B78" i="7"/>
  <c r="B101" i="7"/>
  <c r="D101" i="7" s="1"/>
  <c r="B121" i="7"/>
  <c r="D121" i="7" s="1"/>
  <c r="C126" i="7"/>
  <c r="B137" i="7"/>
  <c r="D137" i="7" s="1"/>
  <c r="B153" i="7"/>
  <c r="D153" i="7" s="1"/>
  <c r="B195" i="7"/>
  <c r="D195" i="7" s="1"/>
  <c r="C33" i="7"/>
  <c r="Y6" i="7"/>
  <c r="B25" i="7"/>
  <c r="B49" i="7"/>
  <c r="B69" i="7"/>
  <c r="C78" i="7"/>
  <c r="B96" i="7"/>
  <c r="D96" i="7" s="1"/>
  <c r="B112" i="7"/>
  <c r="D112" i="7" s="1"/>
  <c r="B132" i="7"/>
  <c r="D132" i="7" s="1"/>
  <c r="B148" i="7"/>
  <c r="B169" i="7"/>
  <c r="D169" i="7" s="1"/>
  <c r="B190" i="7"/>
  <c r="D190" i="7" s="1"/>
  <c r="R35" i="3"/>
  <c r="B28" i="7"/>
  <c r="C25" i="7"/>
  <c r="B44" i="7"/>
  <c r="D44" i="7" s="1"/>
  <c r="C49" i="7"/>
  <c r="B60" i="7"/>
  <c r="C69" i="7"/>
  <c r="D78" i="7"/>
  <c r="B91" i="7"/>
  <c r="B107" i="7"/>
  <c r="B127" i="7"/>
  <c r="B143" i="7"/>
  <c r="C148" i="7"/>
  <c r="B164" i="7"/>
  <c r="B185" i="7"/>
  <c r="D185" i="7" s="1"/>
  <c r="C55" i="7"/>
  <c r="X41" i="5"/>
  <c r="X61" i="5"/>
  <c r="B7" i="7"/>
  <c r="D7" i="7" s="1"/>
  <c r="B35" i="7"/>
  <c r="B55" i="7"/>
  <c r="C60" i="7"/>
  <c r="B102" i="7"/>
  <c r="D102" i="7" s="1"/>
  <c r="C107" i="7"/>
  <c r="B122" i="7"/>
  <c r="D122" i="7" s="1"/>
  <c r="C127" i="7"/>
  <c r="B138" i="7"/>
  <c r="D138" i="7" s="1"/>
  <c r="C143" i="7"/>
  <c r="B154" i="7"/>
  <c r="D154" i="7" s="1"/>
  <c r="C164" i="7"/>
  <c r="B180" i="7"/>
  <c r="B97" i="7"/>
  <c r="D97" i="7" s="1"/>
  <c r="B113" i="7"/>
  <c r="B133" i="7"/>
  <c r="D133" i="7" s="1"/>
  <c r="B149" i="7"/>
  <c r="D149" i="7" s="1"/>
  <c r="B170" i="7"/>
  <c r="D170" i="7" s="1"/>
  <c r="B191" i="7"/>
  <c r="D191" i="7" s="1"/>
  <c r="C50" i="7"/>
  <c r="D50" i="7" s="1"/>
  <c r="B92" i="7"/>
  <c r="D92" i="7" s="1"/>
  <c r="B108" i="7"/>
  <c r="C113" i="7"/>
  <c r="B128" i="7"/>
  <c r="B144" i="7"/>
  <c r="D144" i="7" s="1"/>
  <c r="B165" i="7"/>
  <c r="D165" i="7" s="1"/>
  <c r="B186" i="7"/>
  <c r="D186" i="7" s="1"/>
  <c r="R36" i="3"/>
  <c r="Q25" i="7"/>
  <c r="C45" i="7"/>
  <c r="D45" i="7" s="1"/>
  <c r="B56" i="7"/>
  <c r="D56" i="7" s="1"/>
  <c r="B103" i="7"/>
  <c r="D103" i="7" s="1"/>
  <c r="C108" i="7"/>
  <c r="B123" i="7"/>
  <c r="D123" i="7" s="1"/>
  <c r="B139" i="7"/>
  <c r="D139" i="7" s="1"/>
  <c r="B155" i="7"/>
  <c r="D155" i="7" s="1"/>
  <c r="B181" i="7"/>
  <c r="B6" i="7"/>
  <c r="B31" i="7"/>
  <c r="D31" i="7" s="1"/>
  <c r="B98" i="7"/>
  <c r="B114" i="7"/>
  <c r="D114" i="7" s="1"/>
  <c r="B134" i="7"/>
  <c r="D134" i="7" s="1"/>
  <c r="B150" i="7"/>
  <c r="D150" i="7" s="1"/>
  <c r="B171" i="7"/>
  <c r="D171" i="7" s="1"/>
  <c r="C181" i="7"/>
  <c r="C196" i="7" s="1"/>
  <c r="B192" i="7"/>
  <c r="D192" i="7" s="1"/>
  <c r="B46" i="7"/>
  <c r="D46" i="7" s="1"/>
  <c r="C98" i="7"/>
  <c r="B109" i="7"/>
  <c r="B129" i="7"/>
  <c r="D129" i="7" s="1"/>
  <c r="B145" i="7"/>
  <c r="D145" i="7" s="1"/>
  <c r="B166" i="7"/>
  <c r="D166" i="7" s="1"/>
  <c r="B187" i="7"/>
  <c r="D187" i="7" s="1"/>
  <c r="B57" i="7"/>
  <c r="C109" i="7"/>
  <c r="B124" i="7"/>
  <c r="D124" i="7" s="1"/>
  <c r="B140" i="7"/>
  <c r="D140" i="7" s="1"/>
  <c r="B156" i="7"/>
  <c r="D156" i="7" s="1"/>
  <c r="B182" i="7"/>
  <c r="D182" i="7" s="1"/>
  <c r="B99" i="7"/>
  <c r="D99" i="7" s="1"/>
  <c r="B135" i="7"/>
  <c r="D135" i="7" s="1"/>
  <c r="B151" i="7"/>
  <c r="D151" i="7" s="1"/>
  <c r="B172" i="7"/>
  <c r="B193" i="7"/>
  <c r="D193" i="7" s="1"/>
  <c r="B52" i="7"/>
  <c r="D52" i="7" s="1"/>
  <c r="C57" i="7"/>
  <c r="D128" i="7" l="1"/>
  <c r="E79" i="7"/>
  <c r="Z7" i="7"/>
  <c r="D18" i="7"/>
  <c r="D141" i="7"/>
  <c r="D27" i="7"/>
  <c r="C174" i="7"/>
  <c r="D126" i="7"/>
  <c r="D168" i="7"/>
  <c r="D58" i="7"/>
  <c r="D147" i="7"/>
  <c r="R9" i="7"/>
  <c r="D127" i="7"/>
  <c r="C158" i="7"/>
  <c r="B79" i="7"/>
  <c r="R17" i="7"/>
  <c r="C79" i="7"/>
  <c r="D107" i="7"/>
  <c r="D98" i="7"/>
  <c r="D57" i="7"/>
  <c r="D194" i="7"/>
  <c r="D167" i="7"/>
  <c r="D181" i="7"/>
  <c r="D173" i="7"/>
  <c r="D157" i="7"/>
  <c r="Y9" i="7"/>
  <c r="D55" i="7"/>
  <c r="D35" i="7"/>
  <c r="D26" i="7"/>
  <c r="D172" i="7"/>
  <c r="D59" i="7"/>
  <c r="F79" i="7"/>
  <c r="D6" i="7"/>
  <c r="B9" i="7"/>
  <c r="B115" i="7"/>
  <c r="D91" i="7"/>
  <c r="D69" i="7"/>
  <c r="X9" i="7"/>
  <c r="Z6" i="7"/>
  <c r="Z9" i="7" s="1"/>
  <c r="D95" i="7"/>
  <c r="D108" i="7"/>
  <c r="D49" i="7"/>
  <c r="C62" i="7"/>
  <c r="B36" i="7"/>
  <c r="D25" i="7"/>
  <c r="D109" i="7"/>
  <c r="D60" i="7"/>
  <c r="E78" i="7"/>
  <c r="G78" i="7" s="1"/>
  <c r="D79" i="7"/>
  <c r="C77" i="7"/>
  <c r="B77" i="7"/>
  <c r="F77" i="7"/>
  <c r="E77" i="7"/>
  <c r="D77" i="7"/>
  <c r="D8" i="7"/>
  <c r="C115" i="7"/>
  <c r="C36" i="7"/>
  <c r="D68" i="7"/>
  <c r="B158" i="7"/>
  <c r="D120" i="7"/>
  <c r="D125" i="7"/>
  <c r="D28" i="7"/>
  <c r="B62" i="7"/>
  <c r="D113" i="7"/>
  <c r="D105" i="7"/>
  <c r="D180" i="7"/>
  <c r="B196" i="7"/>
  <c r="C71" i="7"/>
  <c r="D164" i="7"/>
  <c r="B174" i="7"/>
  <c r="D148" i="7"/>
  <c r="D33" i="7"/>
  <c r="D143" i="7"/>
  <c r="E80" i="7" l="1"/>
  <c r="F80" i="7"/>
  <c r="D174" i="7"/>
  <c r="D196" i="7"/>
  <c r="G79" i="7"/>
  <c r="C80" i="7"/>
  <c r="D71" i="7"/>
  <c r="D158" i="7"/>
  <c r="D62" i="7"/>
  <c r="D80" i="7"/>
  <c r="D115" i="7"/>
  <c r="G77" i="7"/>
  <c r="B80" i="7"/>
  <c r="D9" i="7"/>
  <c r="D36" i="7"/>
  <c r="G8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HROffice</author>
  </authors>
  <commentList>
    <comment ref="R69" authorId="0" shapeId="0" xr:uid="{00000000-0006-0000-0000-000001000000}">
      <text>
        <r>
          <rPr>
            <b/>
            <sz val="9"/>
            <rFont val="Tahoma"/>
            <charset val="134"/>
          </rPr>
          <t>HROffice:
GAP - 06/05/2005</t>
        </r>
      </text>
    </comment>
  </commentList>
</comments>
</file>

<file path=xl/sharedStrings.xml><?xml version="1.0" encoding="utf-8"?>
<sst xmlns="http://schemas.openxmlformats.org/spreadsheetml/2006/main" count="10361" uniqueCount="4792">
  <si>
    <t>Count</t>
  </si>
  <si>
    <t>Item Number</t>
  </si>
  <si>
    <t>POSITION</t>
  </si>
  <si>
    <t>Specialist</t>
  </si>
  <si>
    <t>Parentetical</t>
  </si>
  <si>
    <t>UNIT / SECTION</t>
  </si>
  <si>
    <t>CADRE</t>
  </si>
  <si>
    <t>SALARY GRADE</t>
  </si>
  <si>
    <t>AUTHORIZED SALARY</t>
  </si>
  <si>
    <t>Level2</t>
  </si>
  <si>
    <t>FILLED&amp;UNFILLED</t>
  </si>
  <si>
    <t>LAST</t>
  </si>
  <si>
    <t>FIRST</t>
  </si>
  <si>
    <t>MIDDLE</t>
  </si>
  <si>
    <t>SUFFIX</t>
  </si>
  <si>
    <t>DATE OF BIRTH</t>
  </si>
  <si>
    <t>DATE OF ORIGINAL APPOINTMENT</t>
  </si>
  <si>
    <t>ASSUMPTION</t>
  </si>
  <si>
    <t>LATEST PROMOTION</t>
  </si>
  <si>
    <t>CIVIL STATUS</t>
  </si>
  <si>
    <t>GENDER</t>
  </si>
  <si>
    <t>AGE</t>
  </si>
  <si>
    <t>AGE GROUP</t>
  </si>
  <si>
    <t>PLACE OF BIRTH</t>
  </si>
  <si>
    <t>No., Street, Subd./Village</t>
  </si>
  <si>
    <t>Baranggay</t>
  </si>
  <si>
    <t>City/Municipality</t>
  </si>
  <si>
    <t>Province</t>
  </si>
  <si>
    <t>Zip Code</t>
  </si>
  <si>
    <t>EDUCATIONAL ATTAINMENT</t>
  </si>
  <si>
    <t>PROGRAM/COURSE</t>
  </si>
  <si>
    <t>ELIGIBILITY</t>
  </si>
  <si>
    <t>LICENSE NO.</t>
  </si>
  <si>
    <t>VALIDITY</t>
  </si>
  <si>
    <t>GSIS</t>
  </si>
  <si>
    <t>PAG-IBIG</t>
  </si>
  <si>
    <t>PHILHEALTH</t>
  </si>
  <si>
    <t>TIN</t>
  </si>
  <si>
    <t>MOBILE NO.</t>
  </si>
  <si>
    <t>PHONE NO.</t>
  </si>
  <si>
    <t>EMAIL ADDRESS</t>
  </si>
  <si>
    <t>OSEC-DOHB-MDC2-29-2025</t>
  </si>
  <si>
    <t>Medical Center Chief II</t>
  </si>
  <si>
    <t>Medical Center Chief</t>
  </si>
  <si>
    <t>Office of the Medical Center Chief</t>
  </si>
  <si>
    <t>Physician</t>
  </si>
  <si>
    <t>Medical Division</t>
  </si>
  <si>
    <t>3rd</t>
  </si>
  <si>
    <t>Rubiano</t>
  </si>
  <si>
    <t>Ruby Ephraim</t>
  </si>
  <si>
    <t>Morales</t>
  </si>
  <si>
    <t>Married</t>
  </si>
  <si>
    <t>Male</t>
  </si>
  <si>
    <t>Samal, Bataan</t>
  </si>
  <si>
    <t>#99 K 2nd</t>
  </si>
  <si>
    <t>Kamuning</t>
  </si>
  <si>
    <t>Quezon City</t>
  </si>
  <si>
    <t>Metro Manila</t>
  </si>
  <si>
    <t>Doctor of Medicine</t>
  </si>
  <si>
    <t>Medicine</t>
  </si>
  <si>
    <t>RA 1080</t>
  </si>
  <si>
    <t>0077906</t>
  </si>
  <si>
    <t>1211-8088-4348</t>
  </si>
  <si>
    <t>0700-0120-7464</t>
  </si>
  <si>
    <t>164-003-877</t>
  </si>
  <si>
    <t>0926-671-5623</t>
  </si>
  <si>
    <t>N/A</t>
  </si>
  <si>
    <t>rer.rubiano@gmail.com</t>
  </si>
  <si>
    <t>OSEC-DOHB-COMPS2-30-2025</t>
  </si>
  <si>
    <t>Chief of Medical professional Staff II</t>
  </si>
  <si>
    <t>Obstetrician</t>
  </si>
  <si>
    <t>CMPS</t>
  </si>
  <si>
    <t>Office of the Chief of Medical Professional Staff</t>
  </si>
  <si>
    <t>Gabor</t>
  </si>
  <si>
    <t>Rebecca Ann</t>
  </si>
  <si>
    <t>Vasquez</t>
  </si>
  <si>
    <t>Single</t>
  </si>
  <si>
    <t>Female</t>
  </si>
  <si>
    <t>Makati City</t>
  </si>
  <si>
    <t>115 Camino Real Rd., Pilar Village</t>
  </si>
  <si>
    <t>Pilar</t>
  </si>
  <si>
    <t>Las Piñas City</t>
  </si>
  <si>
    <t>NCR</t>
  </si>
  <si>
    <t>0110711</t>
  </si>
  <si>
    <t>1212-7910-9885</t>
  </si>
  <si>
    <t>0800-0096-7290</t>
  </si>
  <si>
    <t>219-078-812</t>
  </si>
  <si>
    <t>0917-826-0712</t>
  </si>
  <si>
    <t>(02) 8818-1298</t>
  </si>
  <si>
    <t>rebeccaanngabormd@gmail.com</t>
  </si>
  <si>
    <t>OSEC-DOHB-MDSP3-270008-2022</t>
  </si>
  <si>
    <t>Medical Specialist III (Internal Medicine)</t>
  </si>
  <si>
    <t>Internist</t>
  </si>
  <si>
    <t>Medical Specialist III</t>
  </si>
  <si>
    <t>Internal Medicine Department</t>
  </si>
  <si>
    <t>2nd</t>
  </si>
  <si>
    <t>Demetria</t>
  </si>
  <si>
    <t>Jessie</t>
  </si>
  <si>
    <t>Datig</t>
  </si>
  <si>
    <t>Leyte</t>
  </si>
  <si>
    <t>B25 L20 P2 Baby's Breath St., Villa de Primarosa</t>
  </si>
  <si>
    <t>Buhay na Tubig</t>
  </si>
  <si>
    <t>Imus City</t>
  </si>
  <si>
    <t>Cavite</t>
  </si>
  <si>
    <t>0106098</t>
  </si>
  <si>
    <t>1210-0608-1771</t>
  </si>
  <si>
    <t>0300-0227-2284</t>
  </si>
  <si>
    <t>249-490-097</t>
  </si>
  <si>
    <t>0925-688-8340</t>
  </si>
  <si>
    <t>(046) 476-9635</t>
  </si>
  <si>
    <t>jesdm3a@gmail.com</t>
  </si>
  <si>
    <t>OSEC-DOHB-MDSP3-270009-2022</t>
  </si>
  <si>
    <t>Medical Specialist III (Surgeon)</t>
  </si>
  <si>
    <t>Surgeon</t>
  </si>
  <si>
    <t>Surgery Department</t>
  </si>
  <si>
    <t>Sabal</t>
  </si>
  <si>
    <t>Eliseo</t>
  </si>
  <si>
    <t>Bautista</t>
  </si>
  <si>
    <t>Jr.</t>
  </si>
  <si>
    <t>California, USA</t>
  </si>
  <si>
    <t>663 Arcedera, San Antonio</t>
  </si>
  <si>
    <t>Cavite City</t>
  </si>
  <si>
    <t>0090301</t>
  </si>
  <si>
    <t>1213-1329-9128</t>
  </si>
  <si>
    <t>1300-0500-7833</t>
  </si>
  <si>
    <t>215-487-799</t>
  </si>
  <si>
    <t>0917-551-2270</t>
  </si>
  <si>
    <t>(046) 434-17533</t>
  </si>
  <si>
    <t>leejaymd@gmail.com</t>
  </si>
  <si>
    <t>OSEC-DOHB-MDSP3-270010-2022</t>
  </si>
  <si>
    <t>Medical Specialist III (Anesthesiologist)</t>
  </si>
  <si>
    <t>Anesthesiologist</t>
  </si>
  <si>
    <t>Anesthesiology Department</t>
  </si>
  <si>
    <t>Esguerra</t>
  </si>
  <si>
    <t>Marc Wilmer</t>
  </si>
  <si>
    <t>Dela Cruz</t>
  </si>
  <si>
    <t>B3 L2 Redbay Ave. Norfolk Ridge, Greenwoods</t>
  </si>
  <si>
    <t>Sampaloc 3</t>
  </si>
  <si>
    <t>Dasmariñas City</t>
  </si>
  <si>
    <t>0127400</t>
  </si>
  <si>
    <t>1211-4378-4931</t>
  </si>
  <si>
    <t>0200-0252-3966</t>
  </si>
  <si>
    <t>457-755-367</t>
  </si>
  <si>
    <t>0949-825-7967</t>
  </si>
  <si>
    <t>mawiesguerra787@gmail.com</t>
  </si>
  <si>
    <t>OSEC-DOHB-MDSP3-270011-2022</t>
  </si>
  <si>
    <t>Medical Specialist III (Pediatrician)</t>
  </si>
  <si>
    <t>Pediatrician</t>
  </si>
  <si>
    <t>Pediatrics Department</t>
  </si>
  <si>
    <t>Co</t>
  </si>
  <si>
    <t>Icene Rose</t>
  </si>
  <si>
    <t>Sy</t>
  </si>
  <si>
    <t>3517 Pacific Regency Cityland</t>
  </si>
  <si>
    <t>Malate</t>
  </si>
  <si>
    <t>Manila</t>
  </si>
  <si>
    <t>0129259</t>
  </si>
  <si>
    <t>1213-0852-8116</t>
  </si>
  <si>
    <t>1501-1845-4002</t>
  </si>
  <si>
    <t>494-339-885</t>
  </si>
  <si>
    <t>0917-132-7204</t>
  </si>
  <si>
    <t>(02) 8372-9556</t>
  </si>
  <si>
    <t>icenerosesy@gmail.com</t>
  </si>
  <si>
    <t>OSEC-DOHB-MDSP3-270012-2022</t>
  </si>
  <si>
    <t>Medical Specialist III (Pathologist)</t>
  </si>
  <si>
    <t>Pathologist</t>
  </si>
  <si>
    <t>Clinical and Anatomical Laboratory Department</t>
  </si>
  <si>
    <t>Rosales</t>
  </si>
  <si>
    <t>Carole Zaidel</t>
  </si>
  <si>
    <t>Marudo</t>
  </si>
  <si>
    <t>Batangas City</t>
  </si>
  <si>
    <t>#519 Garnet Bldg., Rosewood Pointe, Acacia Estate</t>
  </si>
  <si>
    <t>Ususan</t>
  </si>
  <si>
    <t>Taguig City</t>
  </si>
  <si>
    <t>1639</t>
  </si>
  <si>
    <t>0134392</t>
  </si>
  <si>
    <t>1210-4849-5669</t>
  </si>
  <si>
    <t>0205-0559-7703</t>
  </si>
  <si>
    <t>275-580-443</t>
  </si>
  <si>
    <t>0927-235-9111</t>
  </si>
  <si>
    <t>784-3268</t>
  </si>
  <si>
    <t>czaidelmrosales@gmail.com</t>
  </si>
  <si>
    <t>OSEC-DOHB-MDSP3-270013-2022</t>
  </si>
  <si>
    <t>Medical Specialist III (ER)</t>
  </si>
  <si>
    <t>Emergency Med</t>
  </si>
  <si>
    <t>Emergency Medicine Department</t>
  </si>
  <si>
    <t>Napuli</t>
  </si>
  <si>
    <t>Brylle</t>
  </si>
  <si>
    <t>Siva</t>
  </si>
  <si>
    <t>410 Topaz St., Perpetual Village IV</t>
  </si>
  <si>
    <t>Panapaan VIII</t>
  </si>
  <si>
    <t>Bacoor City</t>
  </si>
  <si>
    <t>0129029</t>
  </si>
  <si>
    <t>2006264724</t>
  </si>
  <si>
    <t>1213-1628-3544</t>
  </si>
  <si>
    <t>0802-6285-3733</t>
  </si>
  <si>
    <t>459-479-355</t>
  </si>
  <si>
    <t>0908-626-4633</t>
  </si>
  <si>
    <t>napulibrylle@yahoo.com</t>
  </si>
  <si>
    <t>OSEC-DOHB-MDSPT3-270001-2022</t>
  </si>
  <si>
    <t>Medical Specialist III (Part-time) (Pediatric Intensivist)</t>
  </si>
  <si>
    <t>Pediatric Intensivist</t>
  </si>
  <si>
    <t>Fabian</t>
  </si>
  <si>
    <t>Bethzaida Rachel</t>
  </si>
  <si>
    <t>Saputil</t>
  </si>
  <si>
    <t>Phase 9B Block 3B Lot 11 Daphne St., Greenwoods Village</t>
  </si>
  <si>
    <t>0110816</t>
  </si>
  <si>
    <t>1210-1267-7170</t>
  </si>
  <si>
    <t>0800-0097-7369</t>
  </si>
  <si>
    <t>254-450-036</t>
  </si>
  <si>
    <t>0917-584-4880</t>
  </si>
  <si>
    <t>bethzaidafabian@gmail.com</t>
  </si>
  <si>
    <t>OSEC-DOHB-MDSPT3-270002-2022</t>
  </si>
  <si>
    <t>Medical Specialist III (Part-time) (Neurologist)</t>
  </si>
  <si>
    <t>Neurologist</t>
  </si>
  <si>
    <t>Chua</t>
  </si>
  <si>
    <t>Ronald</t>
  </si>
  <si>
    <t xml:space="preserve">Dologuin </t>
  </si>
  <si>
    <t>1952 Ipil St.</t>
  </si>
  <si>
    <t>Sta. Cruz</t>
  </si>
  <si>
    <t>Manila City</t>
  </si>
  <si>
    <t>1003</t>
  </si>
  <si>
    <t>0127321</t>
  </si>
  <si>
    <t>1211-5943-6377</t>
  </si>
  <si>
    <t>0102-5429-9567</t>
  </si>
  <si>
    <t>461-105-367</t>
  </si>
  <si>
    <t>0917-564-0437</t>
  </si>
  <si>
    <t>8253-6911</t>
  </si>
  <si>
    <t>ronaldchua@gmail.com</t>
  </si>
  <si>
    <t>OSEC-DOHB-MDSPT3-270003-2022</t>
  </si>
  <si>
    <t>Medical Specialist III (Part-time) (IDS)</t>
  </si>
  <si>
    <t>Infectious Disease Specialist</t>
  </si>
  <si>
    <t>Mantaring</t>
  </si>
  <si>
    <t>Dan Meynard</t>
  </si>
  <si>
    <t>Lagbas</t>
  </si>
  <si>
    <t>Al Khobar, KSA</t>
  </si>
  <si>
    <t>Ph 3 Blk 9 Lot 2, Governor's Hills Subd.</t>
  </si>
  <si>
    <t>Biclatan</t>
  </si>
  <si>
    <t>General Trias City</t>
  </si>
  <si>
    <t>0134205</t>
  </si>
  <si>
    <t>1213-2189-7503</t>
  </si>
  <si>
    <t>0102-6100-1115</t>
  </si>
  <si>
    <t>337-134-221</t>
  </si>
  <si>
    <t>0905-283-4736</t>
  </si>
  <si>
    <t>(046) 402-1617</t>
  </si>
  <si>
    <t>danmeynard.mantaring@gmail.com</t>
  </si>
  <si>
    <t>OSEC-DOHB-MDSPT3-270004-2022</t>
  </si>
  <si>
    <t>Medical Specialist III (Part-time) (Sonologist)</t>
  </si>
  <si>
    <t>Sonologist</t>
  </si>
  <si>
    <t>Obstetrics-Gynecology Department</t>
  </si>
  <si>
    <t>Marcaida</t>
  </si>
  <si>
    <t>David</t>
  </si>
  <si>
    <t>Valdemoro</t>
  </si>
  <si>
    <t>Aroroy, Masbate</t>
  </si>
  <si>
    <t xml:space="preserve">13 Carissa, Doña Manuela </t>
  </si>
  <si>
    <t>Pamplona Tres</t>
  </si>
  <si>
    <t>1740</t>
  </si>
  <si>
    <t>090068</t>
  </si>
  <si>
    <t>1210-6704-2897</t>
  </si>
  <si>
    <t>0202-5017-8698</t>
  </si>
  <si>
    <t>205-436-533</t>
  </si>
  <si>
    <t>0917-860-8090</t>
  </si>
  <si>
    <t>periphnymu@gmail.com</t>
  </si>
  <si>
    <t>OSEC-DOHB-MDSPT3-270005-2021</t>
  </si>
  <si>
    <t>Medical Specialist III (Part-time)  (Pulmonolgist)</t>
  </si>
  <si>
    <t>Pulmonologist</t>
  </si>
  <si>
    <t>Estrella</t>
  </si>
  <si>
    <t>Noel</t>
  </si>
  <si>
    <t>Valdepeña</t>
  </si>
  <si>
    <t>Torrijos, Marinduque</t>
  </si>
  <si>
    <t>B17 L27-E Basilio Estanislao St., BF Resort Village</t>
  </si>
  <si>
    <t>Talon Dos</t>
  </si>
  <si>
    <t>0094493</t>
  </si>
  <si>
    <t>0141-3003-5607</t>
  </si>
  <si>
    <t>0802-5092-5925</t>
  </si>
  <si>
    <t>217-710-251</t>
  </si>
  <si>
    <t>0917-890-3195</t>
  </si>
  <si>
    <t>(02) 8874-8558</t>
  </si>
  <si>
    <t>noelestrella_md@yahoo.com</t>
  </si>
  <si>
    <t>OSEC-DOHB-MDSPT3-270006-2021</t>
  </si>
  <si>
    <t>Medical Specialist III (Part-time)  (Cardiologist)</t>
  </si>
  <si>
    <t>Cardiologist</t>
  </si>
  <si>
    <t>Gutierrez</t>
  </si>
  <si>
    <t>Ian Lordeo</t>
  </si>
  <si>
    <t>Arcusa</t>
  </si>
  <si>
    <t>Rosario, Cavite</t>
  </si>
  <si>
    <t>258 Duhat Rd., Justinville</t>
  </si>
  <si>
    <t>Panapaan VII</t>
  </si>
  <si>
    <t>0127426</t>
  </si>
  <si>
    <t>1213-0111-2094</t>
  </si>
  <si>
    <t>0802-5830-8216</t>
  </si>
  <si>
    <t>283-613-262</t>
  </si>
  <si>
    <t>0917-529-9182</t>
  </si>
  <si>
    <t>471-0557</t>
  </si>
  <si>
    <t>ian_lordeo_gutierrez@yahoo.com</t>
  </si>
  <si>
    <t>OSEC-DOHB-MDSPT3-270007-2021</t>
  </si>
  <si>
    <t>Medical Specialist III (Part-time)  (Nephrologist)</t>
  </si>
  <si>
    <t>Nephrologist</t>
  </si>
  <si>
    <t>Garibay</t>
  </si>
  <si>
    <t>Mavis Athina</t>
  </si>
  <si>
    <t>Abuel</t>
  </si>
  <si>
    <t>Angono, Rizal</t>
  </si>
  <si>
    <t>Blk 4 Lot 6 Jade St. MS5 Village Lancaster</t>
  </si>
  <si>
    <t>Navarro</t>
  </si>
  <si>
    <t>0127874</t>
  </si>
  <si>
    <t>1211-6739-8577</t>
  </si>
  <si>
    <t>0302-5829-0441</t>
  </si>
  <si>
    <t>469-230-086</t>
  </si>
  <si>
    <t>0917-136-5399</t>
  </si>
  <si>
    <t>mavisgaribay@yahoo.com</t>
  </si>
  <si>
    <t>OSEC-DOHB-MDSPT3-270008-2021</t>
  </si>
  <si>
    <t xml:space="preserve">Medical Specialist III (Part-time) (Neonatologist) </t>
  </si>
  <si>
    <t>Neonatologist</t>
  </si>
  <si>
    <t>Vicarez-Palogan</t>
  </si>
  <si>
    <t>Chelsea</t>
  </si>
  <si>
    <t>Gonzales</t>
  </si>
  <si>
    <t>26 Evangeline Reyes BF Resort</t>
  </si>
  <si>
    <t>0126199</t>
  </si>
  <si>
    <t>1212-02238-6406</t>
  </si>
  <si>
    <t>0105-0495-3055</t>
  </si>
  <si>
    <t>305-897-411</t>
  </si>
  <si>
    <t>0917-536-2901</t>
  </si>
  <si>
    <t>chelseavicarez@yahoo.com</t>
  </si>
  <si>
    <t>OSEC-DOHB-MDSP3-270023-2020</t>
  </si>
  <si>
    <t>Medical Specialist III (Obstetrician)</t>
  </si>
  <si>
    <t>Ibañez</t>
  </si>
  <si>
    <t>Maria Girlie</t>
  </si>
  <si>
    <t>Jeresano</t>
  </si>
  <si>
    <t>Gubat, Sorsogon</t>
  </si>
  <si>
    <t>#6 (Block 7 Lot 24) San Pablo St., Pacita Complex 1</t>
  </si>
  <si>
    <t>Pacita 1</t>
  </si>
  <si>
    <t>San Pedro</t>
  </si>
  <si>
    <t>Laguna</t>
  </si>
  <si>
    <t>0085063</t>
  </si>
  <si>
    <t>1210-9536-3456</t>
  </si>
  <si>
    <t>1904-8000-3652</t>
  </si>
  <si>
    <t>283-378-620</t>
  </si>
  <si>
    <t>0917-890-8767</t>
  </si>
  <si>
    <t>betangirl@yahoo.com</t>
  </si>
  <si>
    <t>OSEC-DOHB-DENT4-270035-2022</t>
  </si>
  <si>
    <t>Dentist IV</t>
  </si>
  <si>
    <t>Dental Department</t>
  </si>
  <si>
    <t>Dentist</t>
  </si>
  <si>
    <t>Rivera</t>
  </si>
  <si>
    <t xml:space="preserve">Marilou </t>
  </si>
  <si>
    <t>Fajardo</t>
  </si>
  <si>
    <t>Alfonso, Cavite</t>
  </si>
  <si>
    <t>4 Rizal</t>
  </si>
  <si>
    <t>III</t>
  </si>
  <si>
    <t>Alfonso</t>
  </si>
  <si>
    <t>Doctor of Dental Medicine</t>
  </si>
  <si>
    <t>Dentistry</t>
  </si>
  <si>
    <t>0029093</t>
  </si>
  <si>
    <t>2001243333</t>
  </si>
  <si>
    <t>1030-0008-0261</t>
  </si>
  <si>
    <t>0802-5016-6617</t>
  </si>
  <si>
    <t>134-549-420</t>
  </si>
  <si>
    <t>0917-551-1365</t>
  </si>
  <si>
    <t>malufajardorivera@yahoo.com.ph</t>
  </si>
  <si>
    <t>OSEC-DOHB-MDOF4-270012-2022</t>
  </si>
  <si>
    <t>Medical Officer IV</t>
  </si>
  <si>
    <t>Lope</t>
  </si>
  <si>
    <t>Diana Jane</t>
  </si>
  <si>
    <t>Casugod</t>
  </si>
  <si>
    <t>No. 189 Doña Alicia Subd.</t>
  </si>
  <si>
    <t>Ligas I</t>
  </si>
  <si>
    <t>0128043</t>
  </si>
  <si>
    <t>1212-1991-3690</t>
  </si>
  <si>
    <t>0802-5423-0859</t>
  </si>
  <si>
    <t>319-784-022</t>
  </si>
  <si>
    <t>0977-835-2006</t>
  </si>
  <si>
    <t>dianajane.lope@gmail.com</t>
  </si>
  <si>
    <t>OSEC-DOHB-MDOF4-270018-2020</t>
  </si>
  <si>
    <t>Bañaga</t>
  </si>
  <si>
    <t>Mara Joanna</t>
  </si>
  <si>
    <t>Palarca</t>
  </si>
  <si>
    <t>#1 Tickling St., Novaville Subd.</t>
  </si>
  <si>
    <t>170</t>
  </si>
  <si>
    <t>Caloocan City</t>
  </si>
  <si>
    <t>1400</t>
  </si>
  <si>
    <t>0139666</t>
  </si>
  <si>
    <t>1212-4256-1527</t>
  </si>
  <si>
    <t>0302-6266-2566</t>
  </si>
  <si>
    <t>353-614-057</t>
  </si>
  <si>
    <t>0998-317-512</t>
  </si>
  <si>
    <t>mara.banaga@gmail.com</t>
  </si>
  <si>
    <t>OSEC-DOHB-MDOF4-270019-2020</t>
  </si>
  <si>
    <t>General Practitioner</t>
  </si>
  <si>
    <t>Office of the Chief of Allied Health Professional</t>
  </si>
  <si>
    <t>Gabuten</t>
  </si>
  <si>
    <t>Ana Maria Elena</t>
  </si>
  <si>
    <t>Quiros</t>
  </si>
  <si>
    <t>Pasay City</t>
  </si>
  <si>
    <t>12 Camia St., De Castro Subd.</t>
  </si>
  <si>
    <t>Sta. Lucia</t>
  </si>
  <si>
    <t>Pasig City</t>
  </si>
  <si>
    <t>0097502</t>
  </si>
  <si>
    <t>1030-0009-5145</t>
  </si>
  <si>
    <t>0800-0064-8098</t>
  </si>
  <si>
    <t>225-249-606</t>
  </si>
  <si>
    <t>0915-254-7744</t>
  </si>
  <si>
    <t>(02) 788-1720</t>
  </si>
  <si>
    <t>amegabu10@yahoo.com</t>
  </si>
  <si>
    <t>OSEC-DOHB-MDOF4-270020-2020</t>
  </si>
  <si>
    <t>Mendoza</t>
  </si>
  <si>
    <t>Hazel</t>
  </si>
  <si>
    <t>Alarcon</t>
  </si>
  <si>
    <t>150 Proverb Vina Village</t>
  </si>
  <si>
    <t>Poblacion IV-D</t>
  </si>
  <si>
    <t>0128427</t>
  </si>
  <si>
    <t>1211-8041-3237</t>
  </si>
  <si>
    <t>2100-0019-7542</t>
  </si>
  <si>
    <t>462-469-085</t>
  </si>
  <si>
    <t>0917-829-2594</t>
  </si>
  <si>
    <t>dochazelmendoza@gmail.com</t>
  </si>
  <si>
    <t>OSEC-DOHB-MDOF4-270021-2020</t>
  </si>
  <si>
    <t>Pereyra-Borlongan</t>
  </si>
  <si>
    <t>Maria Yña Eluisia</t>
  </si>
  <si>
    <t>Tomagan</t>
  </si>
  <si>
    <t>Unit 1215 Astra Bldg., Pasig Blvd., Prisma Residences</t>
  </si>
  <si>
    <t>Bagong Ilog</t>
  </si>
  <si>
    <t>0129486</t>
  </si>
  <si>
    <t>1211-6083-4915</t>
  </si>
  <si>
    <t>0102-5429-9338</t>
  </si>
  <si>
    <t>319-221-335</t>
  </si>
  <si>
    <t>0968-854-6080</t>
  </si>
  <si>
    <t>ynapereyra@gmail.com</t>
  </si>
  <si>
    <t>OSEC-DOHB-MDOF4-270022-2020</t>
  </si>
  <si>
    <t>Sarrosa</t>
  </si>
  <si>
    <t>Noel Angelo</t>
  </si>
  <si>
    <t>Solidor</t>
  </si>
  <si>
    <t>Block 70 Lot 6 Criselda Cecilio St., Classic I, BF Resort Village</t>
  </si>
  <si>
    <t>1747</t>
  </si>
  <si>
    <t>0150829</t>
  </si>
  <si>
    <t>1212-7664-7248</t>
  </si>
  <si>
    <t>0125-0135-9457</t>
  </si>
  <si>
    <t>501-164-235</t>
  </si>
  <si>
    <t>0917-712-8054</t>
  </si>
  <si>
    <t>(02) 8873-4561</t>
  </si>
  <si>
    <t>noelsarrosa@gmail.com</t>
  </si>
  <si>
    <t>OSEC-DOHB-MDSP2-270010-2022</t>
  </si>
  <si>
    <t>Medical Specialist II (Internist)</t>
  </si>
  <si>
    <t>Medical Specialist II</t>
  </si>
  <si>
    <t>Berenguer</t>
  </si>
  <si>
    <t>Joe Vincent</t>
  </si>
  <si>
    <t>Villa</t>
  </si>
  <si>
    <t>Tacloban City, Leyte</t>
  </si>
  <si>
    <t>B1 L7 Miller St., Southville Settings Nuvali</t>
  </si>
  <si>
    <t>Canlubang</t>
  </si>
  <si>
    <t>Calamba City</t>
  </si>
  <si>
    <t>0127917</t>
  </si>
  <si>
    <t>1211-3691-3428</t>
  </si>
  <si>
    <t>0300-0276-6864</t>
  </si>
  <si>
    <t>270-794-389</t>
  </si>
  <si>
    <t>0917-117-6574</t>
  </si>
  <si>
    <t>joevincentberenguer@gmail.com</t>
  </si>
  <si>
    <t>OSEC-DOHB-MDSP2-270011-2022</t>
  </si>
  <si>
    <t>Medical Specialist II (Anesthesiologist)</t>
  </si>
  <si>
    <t>Garcia</t>
  </si>
  <si>
    <t>Yves Kristine</t>
  </si>
  <si>
    <t>Ginete</t>
  </si>
  <si>
    <t>3218 Manila Residence Bocobo, 1160, Jorge Bocobo St., Ermita</t>
  </si>
  <si>
    <t>Brgy. 670</t>
  </si>
  <si>
    <t>1000</t>
  </si>
  <si>
    <t>0137208</t>
  </si>
  <si>
    <t>2005577217</t>
  </si>
  <si>
    <t>1212-4017-2424</t>
  </si>
  <si>
    <t>0102-5746-7274</t>
  </si>
  <si>
    <t>709-686-643</t>
  </si>
  <si>
    <t>0926-740-0820</t>
  </si>
  <si>
    <t>yvesgarcia@gmail.com</t>
  </si>
  <si>
    <t>OSEC-DOHB-MDSP2-270012-2020</t>
  </si>
  <si>
    <t>Medical Specialist II (Radiologist)</t>
  </si>
  <si>
    <t>Radiologist</t>
  </si>
  <si>
    <t>Radiology Department</t>
  </si>
  <si>
    <t>Gacutan</t>
  </si>
  <si>
    <t>Rico</t>
  </si>
  <si>
    <t>Balanga City, Bataan</t>
  </si>
  <si>
    <t>B8 L10 Rainforest St., Sunnycrest Village</t>
  </si>
  <si>
    <t>Salitran II</t>
  </si>
  <si>
    <t>0091411</t>
  </si>
  <si>
    <t>0031-0619-9701</t>
  </si>
  <si>
    <t>0300-0200-9761</t>
  </si>
  <si>
    <t>204-658-622</t>
  </si>
  <si>
    <t>0920-927-4763</t>
  </si>
  <si>
    <t>coricsmd@yahoo.com</t>
  </si>
  <si>
    <t>OSEC-DOHB-MDSP2-270012-2022</t>
  </si>
  <si>
    <t>Medical Specialist II (Surgeon)</t>
  </si>
  <si>
    <t>Balmores</t>
  </si>
  <si>
    <t>Bob</t>
  </si>
  <si>
    <t>Caranico</t>
  </si>
  <si>
    <t>General Santos City</t>
  </si>
  <si>
    <t>24 Maganda JS Ville</t>
  </si>
  <si>
    <t>Dulong Bayan</t>
  </si>
  <si>
    <t>0127248</t>
  </si>
  <si>
    <t>2006333495</t>
  </si>
  <si>
    <t>1212-7075-6275</t>
  </si>
  <si>
    <t>0202-5113-4597</t>
  </si>
  <si>
    <t>251-101-824</t>
  </si>
  <si>
    <t>0945-677-7061</t>
  </si>
  <si>
    <t>(046) 434-4680</t>
  </si>
  <si>
    <t>bcbalmores14@gmail.com</t>
  </si>
  <si>
    <t>OSEC-DOHB-MDSP2-270013-2020</t>
  </si>
  <si>
    <t>Medical Specialist II (Pediatrician)</t>
  </si>
  <si>
    <t>Alfonso-Tebelin</t>
  </si>
  <si>
    <t xml:space="preserve">Roda </t>
  </si>
  <si>
    <t>774 Crescini Ext., San Antonio</t>
  </si>
  <si>
    <t>49-M</t>
  </si>
  <si>
    <t>0111056</t>
  </si>
  <si>
    <t>2004867482</t>
  </si>
  <si>
    <t>1211-0250-0561</t>
  </si>
  <si>
    <t>0802-5247-5870</t>
  </si>
  <si>
    <t>221-602-851</t>
  </si>
  <si>
    <t>0997-761-8145</t>
  </si>
  <si>
    <t>(046) 851-5258</t>
  </si>
  <si>
    <t>hapiroda@gmail.com</t>
  </si>
  <si>
    <t>OSEC-DOHB-MDSP2-270013-2022</t>
  </si>
  <si>
    <t>Medical Specialist II (Pathologist)</t>
  </si>
  <si>
    <t>Blanco</t>
  </si>
  <si>
    <t>Renzton</t>
  </si>
  <si>
    <t>Paras</t>
  </si>
  <si>
    <t>Tanza, Cavite</t>
  </si>
  <si>
    <t>426 Tramo Kanluran St.</t>
  </si>
  <si>
    <t>Halayhay</t>
  </si>
  <si>
    <t>Tanza</t>
  </si>
  <si>
    <t>4108</t>
  </si>
  <si>
    <t>0138567</t>
  </si>
  <si>
    <t>1212-6440-7292</t>
  </si>
  <si>
    <t>0825-0846-9949</t>
  </si>
  <si>
    <t>273-253-736</t>
  </si>
  <si>
    <t>0939-919-9315</t>
  </si>
  <si>
    <t>(046) 481-8745</t>
  </si>
  <si>
    <t>blancorenzton@gmail.com</t>
  </si>
  <si>
    <t>OSEC-DOHB-MDSP2-270014-2022</t>
  </si>
  <si>
    <t>Medical Specialist II (Obstretician)</t>
  </si>
  <si>
    <t>Ramos-Atanacio</t>
  </si>
  <si>
    <t>Clarisa</t>
  </si>
  <si>
    <t>Murillo</t>
  </si>
  <si>
    <t>#16 Jerusalem St. BF Aratiles</t>
  </si>
  <si>
    <t>BF Homes</t>
  </si>
  <si>
    <t>Parañaque City</t>
  </si>
  <si>
    <t>0134334</t>
  </si>
  <si>
    <t>1211-8827-1699</t>
  </si>
  <si>
    <t>0105-0687-7127</t>
  </si>
  <si>
    <t>275-508-750</t>
  </si>
  <si>
    <t>0917-584-2686</t>
  </si>
  <si>
    <t>(02) 8644-2757</t>
  </si>
  <si>
    <t>clarisaramos86@gmail.com</t>
  </si>
  <si>
    <t>OSEC-DOHB-MDSP2-270014-2020</t>
  </si>
  <si>
    <t>Paul Bernard Bryant</t>
  </si>
  <si>
    <t>Ng</t>
  </si>
  <si>
    <t>B5 L4 Phase 2, Sunshine Homes</t>
  </si>
  <si>
    <t>Francisco de Castro</t>
  </si>
  <si>
    <t>GMA</t>
  </si>
  <si>
    <t>0113425</t>
  </si>
  <si>
    <t>2004172400</t>
  </si>
  <si>
    <t>1211-1373-8037</t>
  </si>
  <si>
    <t>1202-2255-8330</t>
  </si>
  <si>
    <t>265-879-165</t>
  </si>
  <si>
    <t>0969-211-0187</t>
  </si>
  <si>
    <t>pbbnco@gmail.com</t>
  </si>
  <si>
    <t>OSEC-DOHB-MDSP2-270015-2020</t>
  </si>
  <si>
    <t>Valenzuela</t>
  </si>
  <si>
    <t>Jona-Patricia</t>
  </si>
  <si>
    <t>Ravelo</t>
  </si>
  <si>
    <t>Mandaluyong City, Metro Manila</t>
  </si>
  <si>
    <t>2628 Arellano Avenue</t>
  </si>
  <si>
    <t>Brgy. 765, Sta. Ana</t>
  </si>
  <si>
    <t>1009</t>
  </si>
  <si>
    <t>0144265</t>
  </si>
  <si>
    <t>1210-2231-4651</t>
  </si>
  <si>
    <t>0205-8033-9624</t>
  </si>
  <si>
    <t>419-851-139</t>
  </si>
  <si>
    <t>0927-217-0820</t>
  </si>
  <si>
    <t>jpfravelo@gmail.com</t>
  </si>
  <si>
    <t>OSEC-DOHB-MDSP2-270016-2020</t>
  </si>
  <si>
    <t>Hernandez-Roa</t>
  </si>
  <si>
    <t>Gerlie</t>
  </si>
  <si>
    <t>Ocampo</t>
  </si>
  <si>
    <t>51 Antioch Remeville</t>
  </si>
  <si>
    <t>Magdiwang</t>
  </si>
  <si>
    <t>Noveleta</t>
  </si>
  <si>
    <t>0127428</t>
  </si>
  <si>
    <t>1211-8923-0589</t>
  </si>
  <si>
    <t>0805-0834-5552</t>
  </si>
  <si>
    <t>287-610-993</t>
  </si>
  <si>
    <t>0968-366-5442</t>
  </si>
  <si>
    <t>gerlmd1216@gmail.com</t>
  </si>
  <si>
    <t>OSEC-DOHB-MDSP2-270017-2020</t>
  </si>
  <si>
    <t>Montaña</t>
  </si>
  <si>
    <t>Justine Erika</t>
  </si>
  <si>
    <t>Tan</t>
  </si>
  <si>
    <t>Block 2 Lot 49 F. Chioco Granwood Villas</t>
  </si>
  <si>
    <t>Holy Spirit</t>
  </si>
  <si>
    <t>1127</t>
  </si>
  <si>
    <t>0136002</t>
  </si>
  <si>
    <t>2005343648</t>
  </si>
  <si>
    <t>1212-1557-8448</t>
  </si>
  <si>
    <t>0202-5656-2139</t>
  </si>
  <si>
    <t>476-358-638</t>
  </si>
  <si>
    <t>0917-624-9370</t>
  </si>
  <si>
    <t>516-1603</t>
  </si>
  <si>
    <t>justineerikamontana0221@gmail.com</t>
  </si>
  <si>
    <t>OSEC-DOHB-MDSP2-270015-2022</t>
  </si>
  <si>
    <t>Medical Specialist II (OPD)</t>
  </si>
  <si>
    <t>Family Medicine</t>
  </si>
  <si>
    <t>Outpatient Department</t>
  </si>
  <si>
    <t>Bingco</t>
  </si>
  <si>
    <t>Vice Supetran, Resigned</t>
  </si>
  <si>
    <t>OSEC-DOHB-NUR6-270011-2020</t>
  </si>
  <si>
    <t>Nurse VI</t>
  </si>
  <si>
    <t>Office of the Chief Nurse</t>
  </si>
  <si>
    <t>Nurse</t>
  </si>
  <si>
    <t>Nursing Division</t>
  </si>
  <si>
    <t>Atmosfera</t>
  </si>
  <si>
    <t xml:space="preserve">Jonathan </t>
  </si>
  <si>
    <t>Trinidad</t>
  </si>
  <si>
    <t>Dasmariñas City, Cavite</t>
  </si>
  <si>
    <t>#3 Medina Ville</t>
  </si>
  <si>
    <t>San Jose</t>
  </si>
  <si>
    <t>College Graduate</t>
  </si>
  <si>
    <t>BS Nursing</t>
  </si>
  <si>
    <t>0429365</t>
  </si>
  <si>
    <t>2003464775</t>
  </si>
  <si>
    <t>1030-0107-5387</t>
  </si>
  <si>
    <t>0800-0111-6103</t>
  </si>
  <si>
    <t>261-262-502</t>
  </si>
  <si>
    <t>0999-575-3374</t>
  </si>
  <si>
    <t>atmosferajonathan@yahoo.com</t>
  </si>
  <si>
    <t>OSEC-DOHB-SADOF-270010-2020</t>
  </si>
  <si>
    <t>Supervising Administrative Officer</t>
  </si>
  <si>
    <t>Office of the Supervising Administrative Officer</t>
  </si>
  <si>
    <t>Administrative Officer</t>
  </si>
  <si>
    <t>Hospital Operation and Patient Support Division</t>
  </si>
  <si>
    <t>Gejon</t>
  </si>
  <si>
    <t xml:space="preserve">Allyn </t>
  </si>
  <si>
    <t>Matalubos</t>
  </si>
  <si>
    <t>Pigcawayan, N. Cotabato</t>
  </si>
  <si>
    <t>B N.17 L9</t>
  </si>
  <si>
    <t>Immanuel I</t>
  </si>
  <si>
    <t>Master's Degree</t>
  </si>
  <si>
    <t>Master's in Management</t>
  </si>
  <si>
    <t>CSC - Professional</t>
  </si>
  <si>
    <t>2001157315</t>
  </si>
  <si>
    <t>0080-8284-2007</t>
  </si>
  <si>
    <t>1900-0608-1295</t>
  </si>
  <si>
    <t>914-330-684</t>
  </si>
  <si>
    <t>0905-573-0153</t>
  </si>
  <si>
    <t>agejon@yahoo.com</t>
  </si>
  <si>
    <t>OSEC-DOHB-MDOF3-270003-2020</t>
  </si>
  <si>
    <t>Medical Officer III (Pedia)</t>
  </si>
  <si>
    <t xml:space="preserve">Medical Officer III </t>
  </si>
  <si>
    <t>Barron</t>
  </si>
  <si>
    <t>Emmanuel John</t>
  </si>
  <si>
    <t>Lipa City, Batangas</t>
  </si>
  <si>
    <t>Block 11, Lot 74 Via Mantua, Ponticelli 1 Subdivision</t>
  </si>
  <si>
    <t>Molino III</t>
  </si>
  <si>
    <t>4102</t>
  </si>
  <si>
    <t>0130601</t>
  </si>
  <si>
    <t>2004973679</t>
  </si>
  <si>
    <t>1211-8412-5957</t>
  </si>
  <si>
    <t>0900-0094-9581</t>
  </si>
  <si>
    <t>464-909-385</t>
  </si>
  <si>
    <t>0933-826-2997</t>
  </si>
  <si>
    <t>barron_ej@yahoo.com</t>
  </si>
  <si>
    <t>OSEC-DOHB-MDOF3-270004-2020</t>
  </si>
  <si>
    <t>Medical Officer III (ER)</t>
  </si>
  <si>
    <t>Bugna</t>
  </si>
  <si>
    <t>Marvin Jino</t>
  </si>
  <si>
    <t>Salazar</t>
  </si>
  <si>
    <t>715 Zebrina, Calathea Place Condominium</t>
  </si>
  <si>
    <t>San Antonio Valley I</t>
  </si>
  <si>
    <t>1715</t>
  </si>
  <si>
    <t>0136172</t>
  </si>
  <si>
    <t>2005940000</t>
  </si>
  <si>
    <t>1212-9219-9838</t>
  </si>
  <si>
    <t>1925-0012-4810</t>
  </si>
  <si>
    <t>253-793-436</t>
  </si>
  <si>
    <t>0917-843-7524</t>
  </si>
  <si>
    <t>jino.bugna@gmail.com</t>
  </si>
  <si>
    <t>OSEC-DOHB-MDOF3-270005-2020</t>
  </si>
  <si>
    <t>Contreras</t>
  </si>
  <si>
    <t>Ryan Jed</t>
  </si>
  <si>
    <t>Aquino</t>
  </si>
  <si>
    <t>Blk 27 Lot 21C Silver St,</t>
  </si>
  <si>
    <t>Pilar Village</t>
  </si>
  <si>
    <t>0139924</t>
  </si>
  <si>
    <t>2006333491</t>
  </si>
  <si>
    <t>1213-2047-1609</t>
  </si>
  <si>
    <t>0102-6298-0338</t>
  </si>
  <si>
    <t>718-941-513</t>
  </si>
  <si>
    <t>0977-820-4191</t>
  </si>
  <si>
    <t>rjedcontreras@yahoo.com</t>
  </si>
  <si>
    <t>OSEC-DOHB-MDOF3-270006-2020</t>
  </si>
  <si>
    <t>Medical Officer III</t>
  </si>
  <si>
    <t>Lu</t>
  </si>
  <si>
    <t>Maureen</t>
  </si>
  <si>
    <t>Alegre</t>
  </si>
  <si>
    <t>Imus City, Cavite</t>
  </si>
  <si>
    <t>Block 32 Lot 24, Clover St., Asian Leaf Subd.</t>
  </si>
  <si>
    <t>San Francisco</t>
  </si>
  <si>
    <t>4107</t>
  </si>
  <si>
    <t>0106956</t>
  </si>
  <si>
    <t>2006565804</t>
  </si>
  <si>
    <t>1213-5142-0164</t>
  </si>
  <si>
    <t>0802-5420-1719</t>
  </si>
  <si>
    <t>245-983-976</t>
  </si>
  <si>
    <t>0917-860-0978</t>
  </si>
  <si>
    <t>monengmd@yahoo.com</t>
  </si>
  <si>
    <t>OSEC-DOHB-MDOF3-270007-2020</t>
  </si>
  <si>
    <t>Magallanes</t>
  </si>
  <si>
    <t>Ma. Joeylynn</t>
  </si>
  <si>
    <t>Veluz</t>
  </si>
  <si>
    <t>Block 8 Lot 2, Gemini St., Cherry Homes 4</t>
  </si>
  <si>
    <t>Mambog II</t>
  </si>
  <si>
    <t>0133955</t>
  </si>
  <si>
    <t>2006360703</t>
  </si>
  <si>
    <t>1213-2515-9616</t>
  </si>
  <si>
    <t>0102-5548-1903</t>
  </si>
  <si>
    <t>475-623-880</t>
  </si>
  <si>
    <t>0927-962-9766</t>
  </si>
  <si>
    <t>(046) 4895-5272</t>
  </si>
  <si>
    <t>joeylynnmagallanes@gmail.com</t>
  </si>
  <si>
    <t>OSEC-DOHB-MDOF3-270008-2020</t>
  </si>
  <si>
    <t>Medical Officer III (IM)</t>
  </si>
  <si>
    <t>Ocomen</t>
  </si>
  <si>
    <t>Keitel Larraine</t>
  </si>
  <si>
    <t>Ferrer</t>
  </si>
  <si>
    <t>Block 12 Lot 25 Cagliari, Ponticelli Hills</t>
  </si>
  <si>
    <t>Molino IV</t>
  </si>
  <si>
    <t>0135737</t>
  </si>
  <si>
    <t>2005736067</t>
  </si>
  <si>
    <t>1212-6527-7518</t>
  </si>
  <si>
    <t>0102-6563-2888</t>
  </si>
  <si>
    <t>501-309-060</t>
  </si>
  <si>
    <t>0917-773-0729</t>
  </si>
  <si>
    <t>keitellarraineocomen@gmail.com</t>
  </si>
  <si>
    <t>OSEC-DOHB-MDOF3-270009-2020</t>
  </si>
  <si>
    <t>Cortez</t>
  </si>
  <si>
    <t>Jazel Anne</t>
  </si>
  <si>
    <t>De Guzman</t>
  </si>
  <si>
    <t>1311 San Nicolas Yacal St.</t>
  </si>
  <si>
    <t>255</t>
  </si>
  <si>
    <t>1014</t>
  </si>
  <si>
    <t>0138715</t>
  </si>
  <si>
    <t>2005367048</t>
  </si>
  <si>
    <t>1210-3115-3314</t>
  </si>
  <si>
    <t>0202-5569-2918</t>
  </si>
  <si>
    <t>714-132-314</t>
  </si>
  <si>
    <t>0932-870-0023</t>
  </si>
  <si>
    <t>252-4095</t>
  </si>
  <si>
    <t>jazelanne.cortez@yahoo.com</t>
  </si>
  <si>
    <t>OSEC-DOHB-MDOF3-270026-2022</t>
  </si>
  <si>
    <t>Medical Officer III (Surgeon)</t>
  </si>
  <si>
    <t>Castillo</t>
  </si>
  <si>
    <t>Norman</t>
  </si>
  <si>
    <t>Santiago</t>
  </si>
  <si>
    <t>B10 L3 Max's Village</t>
  </si>
  <si>
    <t>0112287</t>
  </si>
  <si>
    <t>1211-0510-7971</t>
  </si>
  <si>
    <t>0802-5352-3666</t>
  </si>
  <si>
    <t>209-395-244</t>
  </si>
  <si>
    <t>0917-169-1117</t>
  </si>
  <si>
    <t>(046) 416-7708</t>
  </si>
  <si>
    <t>norman.castillo1117@gmail.com</t>
  </si>
  <si>
    <t>OSEC-DOHB-MDOF3-270027-2022</t>
  </si>
  <si>
    <t>Cadiente</t>
  </si>
  <si>
    <t>Venessa Rose</t>
  </si>
  <si>
    <t>Cadizal</t>
  </si>
  <si>
    <t>B2 L2 Tindalo St., Meadowood Exec. Village</t>
  </si>
  <si>
    <t>0129502</t>
  </si>
  <si>
    <t>2006264722</t>
  </si>
  <si>
    <t>1213-1121-6934</t>
  </si>
  <si>
    <t>0202-7254-8014</t>
  </si>
  <si>
    <t>235-406-620</t>
  </si>
  <si>
    <t>0915-129-2296</t>
  </si>
  <si>
    <t>venessacadientemd@gmail.com</t>
  </si>
  <si>
    <t>OSEC-DOHB-MDOF3-270028-2022</t>
  </si>
  <si>
    <t>Miranda-Galang</t>
  </si>
  <si>
    <t>Barbara Marie</t>
  </si>
  <si>
    <t>Jamela</t>
  </si>
  <si>
    <t>#37 Saint Hilario St., St. Joseph Park Subd.</t>
  </si>
  <si>
    <t>Pulang Lupas Dos</t>
  </si>
  <si>
    <t>1742</t>
  </si>
  <si>
    <t>0125998</t>
  </si>
  <si>
    <t>2006497208</t>
  </si>
  <si>
    <t>1212-1880-7569</t>
  </si>
  <si>
    <t>0102-5290-9139</t>
  </si>
  <si>
    <t>421-842-737</t>
  </si>
  <si>
    <t>0917-357-1513</t>
  </si>
  <si>
    <t>bmjmiranda@gmail.com</t>
  </si>
  <si>
    <t>OSEC-DOHB-MDOF3-270029-2022</t>
  </si>
  <si>
    <t>Nueva España</t>
  </si>
  <si>
    <t>Rubilyn</t>
  </si>
  <si>
    <t>Casugay</t>
  </si>
  <si>
    <t>391 Salcedo St.</t>
  </si>
  <si>
    <t>Salcedo I</t>
  </si>
  <si>
    <t>0118081</t>
  </si>
  <si>
    <t>1210-8061-7589</t>
  </si>
  <si>
    <t>0102-5220-6944</t>
  </si>
  <si>
    <t>431-307-170</t>
  </si>
  <si>
    <t>0916-333-1036</t>
  </si>
  <si>
    <t>rcnemd@gmail.com</t>
  </si>
  <si>
    <t xml:space="preserve"> </t>
  </si>
  <si>
    <t>OSEC-DOHB-MDOF3-270030-2022</t>
  </si>
  <si>
    <t>Medical Officer III (OB)</t>
  </si>
  <si>
    <t>Arkoncel-Gonsalves</t>
  </si>
  <si>
    <t>Ma. Kristine Angela</t>
  </si>
  <si>
    <t>Oñate</t>
  </si>
  <si>
    <t>19 Ipo</t>
  </si>
  <si>
    <t>Salvacion</t>
  </si>
  <si>
    <t>1114</t>
  </si>
  <si>
    <t>0138437</t>
  </si>
  <si>
    <t>2005343451</t>
  </si>
  <si>
    <t>1212-1434-8059</t>
  </si>
  <si>
    <t>0302-5945-2496</t>
  </si>
  <si>
    <t>273-861-971</t>
  </si>
  <si>
    <t>0917-828-0201</t>
  </si>
  <si>
    <t>angela.arkoncel@gmail.com</t>
  </si>
  <si>
    <t>OSEC-DOHB-MDOF3-270031-2022</t>
  </si>
  <si>
    <t>Reyes</t>
  </si>
  <si>
    <t>Ma. Luz Carmencita</t>
  </si>
  <si>
    <t>Matias</t>
  </si>
  <si>
    <t>Mandaluyong City</t>
  </si>
  <si>
    <t>2 Adelfa Doña Manuela 1</t>
  </si>
  <si>
    <t>0136497</t>
  </si>
  <si>
    <t>1212-3922-2793</t>
  </si>
  <si>
    <t>0102-5946-6658</t>
  </si>
  <si>
    <t>297-850-583</t>
  </si>
  <si>
    <t>0917-880-0359</t>
  </si>
  <si>
    <t>(02) 8874-7623</t>
  </si>
  <si>
    <t>mlmcreyes@gmail.com</t>
  </si>
  <si>
    <t>OSEC-DOHB-MDOF3-270032-2022</t>
  </si>
  <si>
    <t>Patrick Edward</t>
  </si>
  <si>
    <t>Sabino</t>
  </si>
  <si>
    <t>Block 8 Lot 2 Kaimito St., Phase 1 West Camella Springville</t>
  </si>
  <si>
    <t>0137221</t>
  </si>
  <si>
    <t>2006423076</t>
  </si>
  <si>
    <t>1212-1576-6440</t>
  </si>
  <si>
    <t>0802-6122-2586</t>
  </si>
  <si>
    <t>252-429-408</t>
  </si>
  <si>
    <t>0917-123-6544</t>
  </si>
  <si>
    <t>(046) 970-9144</t>
  </si>
  <si>
    <t>pedeguzman7668@gmail.com</t>
  </si>
  <si>
    <t>OSEC-DOHB-MDOF3-270033-2022</t>
  </si>
  <si>
    <t>De Leon</t>
  </si>
  <si>
    <t>Kevin</t>
  </si>
  <si>
    <t>Dulce</t>
  </si>
  <si>
    <t>253</t>
  </si>
  <si>
    <t>Bucal</t>
  </si>
  <si>
    <t>0140995</t>
  </si>
  <si>
    <t>2005759572</t>
  </si>
  <si>
    <t>1210-2491-2327</t>
  </si>
  <si>
    <t>0802-5447-5851</t>
  </si>
  <si>
    <t>283-009-521</t>
  </si>
  <si>
    <t>0917-143-1383</t>
  </si>
  <si>
    <t>(046) 437-8849</t>
  </si>
  <si>
    <t>kevin_dulce2006@gmail.com</t>
  </si>
  <si>
    <t>OSEC-DOHB-MDOF3-270034-2022</t>
  </si>
  <si>
    <t>Martinez</t>
  </si>
  <si>
    <t>Franze Perry</t>
  </si>
  <si>
    <t>Caagbay</t>
  </si>
  <si>
    <t>B4 L2D JP Laurel Ave., Pilar Exec. Village</t>
  </si>
  <si>
    <t>Almanza Uno</t>
  </si>
  <si>
    <t>0143224</t>
  </si>
  <si>
    <t>20055499175</t>
  </si>
  <si>
    <t>1212-3984-3303</t>
  </si>
  <si>
    <t>0202-6973-7558</t>
  </si>
  <si>
    <t>709-897-161</t>
  </si>
  <si>
    <t>0998-855-6039</t>
  </si>
  <si>
    <t>franzeperrymartinez@yahoo.com</t>
  </si>
  <si>
    <t>OSEC-DOHB-NURS5-270025-2022</t>
  </si>
  <si>
    <t>Nurse V</t>
  </si>
  <si>
    <t>Samuel</t>
  </si>
  <si>
    <t xml:space="preserve">Ruffy </t>
  </si>
  <si>
    <t>Yap</t>
  </si>
  <si>
    <t>757 Tagumpay St.</t>
  </si>
  <si>
    <t>San Antonio</t>
  </si>
  <si>
    <t>0202444</t>
  </si>
  <si>
    <t>2001399490</t>
  </si>
  <si>
    <t>1030-0006-6325</t>
  </si>
  <si>
    <t>0800-0032-9634</t>
  </si>
  <si>
    <t>178-955-128</t>
  </si>
  <si>
    <t>0915-865-7898</t>
  </si>
  <si>
    <t>(046) 431-1257</t>
  </si>
  <si>
    <t>gngruffy@yahoo.com</t>
  </si>
  <si>
    <t>OSEC-DOHB-A3-270122-2020</t>
  </si>
  <si>
    <t>Accountant III</t>
  </si>
  <si>
    <t>Accounting Section</t>
  </si>
  <si>
    <t>Accountant</t>
  </si>
  <si>
    <t>Bongcac</t>
  </si>
  <si>
    <t xml:space="preserve">Irene </t>
  </si>
  <si>
    <t>Genson</t>
  </si>
  <si>
    <t>Carmen, Bohol</t>
  </si>
  <si>
    <t>B6 L4 Dreamhomes Subd.</t>
  </si>
  <si>
    <t>Tejero</t>
  </si>
  <si>
    <t>BS Accountancy</t>
  </si>
  <si>
    <t>0137120</t>
  </si>
  <si>
    <t>2005568486</t>
  </si>
  <si>
    <t>1210-9745-5776</t>
  </si>
  <si>
    <t>0105-0762-6632</t>
  </si>
  <si>
    <t>287-257-773</t>
  </si>
  <si>
    <t>0925-313-1222</t>
  </si>
  <si>
    <t>gensoni@yahoo.com</t>
  </si>
  <si>
    <t>OSEC-DOHB-ENG3-270002-2020</t>
  </si>
  <si>
    <t>Engineer III</t>
  </si>
  <si>
    <t>Engineering and Facilities Management</t>
  </si>
  <si>
    <t>Engineer</t>
  </si>
  <si>
    <t>Collado</t>
  </si>
  <si>
    <t>Arvin</t>
  </si>
  <si>
    <t>Gioglagon</t>
  </si>
  <si>
    <t>San Juan, Metro Manila</t>
  </si>
  <si>
    <t>P1 B24 L1, Cyberville Subd.</t>
  </si>
  <si>
    <t>BS Civil Engineering</t>
  </si>
  <si>
    <t>0140176</t>
  </si>
  <si>
    <t>2005911418</t>
  </si>
  <si>
    <t>1211-6273-7780</t>
  </si>
  <si>
    <t>0225-1682-1748</t>
  </si>
  <si>
    <t>326-223-361</t>
  </si>
  <si>
    <t>0916-771-5351</t>
  </si>
  <si>
    <t>arvincollado@yahoo.com</t>
  </si>
  <si>
    <t>OSEC-DOHB-NURS4-270024-2022</t>
  </si>
  <si>
    <t>Nurse IV</t>
  </si>
  <si>
    <t>Melchor</t>
  </si>
  <si>
    <t>Mia Rose</t>
  </si>
  <si>
    <t>Galanta</t>
  </si>
  <si>
    <t>Block P L20 RSG Gueventhomes</t>
  </si>
  <si>
    <t>Panapaan I</t>
  </si>
  <si>
    <t>0821595</t>
  </si>
  <si>
    <t>2005538707</t>
  </si>
  <si>
    <t>1210-2741-5551</t>
  </si>
  <si>
    <t>0105-1017-4048</t>
  </si>
  <si>
    <t>403-689-833</t>
  </si>
  <si>
    <t>0999-679-7134</t>
  </si>
  <si>
    <t>(046) 973-2993</t>
  </si>
  <si>
    <t>miaroseminianogalanta@yahoo.com</t>
  </si>
  <si>
    <t>OSEC-DOHB-ADOF5-270017-2022</t>
  </si>
  <si>
    <t>Administrative Officer V (Administrative Officer III)</t>
  </si>
  <si>
    <t>Administrative Officer V</t>
  </si>
  <si>
    <t>Health Information Management Section</t>
  </si>
  <si>
    <t>Purugganan</t>
  </si>
  <si>
    <t>Eden Enriqueta</t>
  </si>
  <si>
    <t>Aragon</t>
  </si>
  <si>
    <t>B3 L5 Sampaguita St., Camella Townhomes</t>
  </si>
  <si>
    <t>Salinas II</t>
  </si>
  <si>
    <t>BS Commerce</t>
  </si>
  <si>
    <t>2005911996</t>
  </si>
  <si>
    <t>1040-0091-7993</t>
  </si>
  <si>
    <t>0802-5192-8944</t>
  </si>
  <si>
    <t>253-753-973</t>
  </si>
  <si>
    <t>0917-494-8023</t>
  </si>
  <si>
    <t>(046) 456-5512</t>
  </si>
  <si>
    <t>epurugganan547@gmail.com</t>
  </si>
  <si>
    <t>OSEC-DOHB-ADOF5-270018-2022</t>
  </si>
  <si>
    <t>Administrative Officer V (Budget Officer III)</t>
  </si>
  <si>
    <t>Budget Section</t>
  </si>
  <si>
    <t>Pioquinto-Santos</t>
  </si>
  <si>
    <t>Ivy</t>
  </si>
  <si>
    <t>Toreja</t>
  </si>
  <si>
    <t>10 Continental St., Greenview Subd.</t>
  </si>
  <si>
    <t>BS Mathematics</t>
  </si>
  <si>
    <t>2005960636</t>
  </si>
  <si>
    <t>1210-1682-8934</t>
  </si>
  <si>
    <t>0902-5264-3329</t>
  </si>
  <si>
    <t>303-771-778</t>
  </si>
  <si>
    <t>0927-552-3908</t>
  </si>
  <si>
    <t>ivypioquinto2013@gmail.com</t>
  </si>
  <si>
    <t>OSEC-DOHB-ADOF5-270019-2022</t>
  </si>
  <si>
    <t>Administrative Officer V (Cashier III)</t>
  </si>
  <si>
    <t>Cash Operations Section</t>
  </si>
  <si>
    <t>Moraña</t>
  </si>
  <si>
    <t xml:space="preserve">Ruby </t>
  </si>
  <si>
    <t>Punongbayan</t>
  </si>
  <si>
    <t>General Trias, Cavite</t>
  </si>
  <si>
    <t>231 Maria Cecilia</t>
  </si>
  <si>
    <t>Mulawin</t>
  </si>
  <si>
    <t>BSBA Accounting</t>
  </si>
  <si>
    <t>2001397720</t>
  </si>
  <si>
    <t>1030-0009-0004</t>
  </si>
  <si>
    <t>0800-0013-8014</t>
  </si>
  <si>
    <t>123-218-628</t>
  </si>
  <si>
    <t>0908-866-5672</t>
  </si>
  <si>
    <t>rubymorana27@gmail.com</t>
  </si>
  <si>
    <t>OSEC-DOHB-ADOF5-270020-2022</t>
  </si>
  <si>
    <t>Administrative Officer V (Supply Officer III)</t>
  </si>
  <si>
    <t>Materials Management Section</t>
  </si>
  <si>
    <t>Niogan</t>
  </si>
  <si>
    <t xml:space="preserve">Leanard </t>
  </si>
  <si>
    <t>Romea</t>
  </si>
  <si>
    <t>Trece Martires City, Cavite</t>
  </si>
  <si>
    <t>Purok II</t>
  </si>
  <si>
    <t>Aguado</t>
  </si>
  <si>
    <t>Trece Martires City</t>
  </si>
  <si>
    <t>BS AB Engineering</t>
  </si>
  <si>
    <t>0010568</t>
  </si>
  <si>
    <t>2005911991</t>
  </si>
  <si>
    <t>1212-8379-1009</t>
  </si>
  <si>
    <t>0802-6744-8349</t>
  </si>
  <si>
    <t>497-085-220</t>
  </si>
  <si>
    <t>0935-651-3427</t>
  </si>
  <si>
    <t>leanardniogan13@gmail.com</t>
  </si>
  <si>
    <t>OSEC-DOHB-ADOF5-270021-2022</t>
  </si>
  <si>
    <t>Procurement Section</t>
  </si>
  <si>
    <t>Baccay</t>
  </si>
  <si>
    <t>Joel</t>
  </si>
  <si>
    <t>Mesias</t>
  </si>
  <si>
    <t>Santiago, Isabela</t>
  </si>
  <si>
    <t>Phase 8 Block 37 Lot 12 Wellington Place</t>
  </si>
  <si>
    <t>Pascam II</t>
  </si>
  <si>
    <t>BS Geodetic Engineering</t>
  </si>
  <si>
    <t>2006360745</t>
  </si>
  <si>
    <t>1211-2903-5720</t>
  </si>
  <si>
    <t>1705-0144-6567</t>
  </si>
  <si>
    <t>256-174-639</t>
  </si>
  <si>
    <t>0977-025-0828</t>
  </si>
  <si>
    <t>jaguar0796@yahoo.com</t>
  </si>
  <si>
    <t>OSEC-DOHB-ADOF5-270121-2020</t>
  </si>
  <si>
    <t>Administrative Officer V (HRMO III)</t>
  </si>
  <si>
    <t>Human Resource Management Section</t>
  </si>
  <si>
    <t>Bayas</t>
  </si>
  <si>
    <t xml:space="preserve">Wilma </t>
  </si>
  <si>
    <t>Panganiban</t>
  </si>
  <si>
    <t>Taysan, Batangas</t>
  </si>
  <si>
    <t>147 Mahogany Ave.</t>
  </si>
  <si>
    <t>Kaybagal South</t>
  </si>
  <si>
    <t>Tagaytay City</t>
  </si>
  <si>
    <t>MM Hospital Administration</t>
  </si>
  <si>
    <t>2000757758</t>
  </si>
  <si>
    <t>0013-2173-0206</t>
  </si>
  <si>
    <t>0800-0005-7200</t>
  </si>
  <si>
    <t>161-188-260</t>
  </si>
  <si>
    <t>0916-945-2473</t>
  </si>
  <si>
    <t>(046) 418-3644</t>
  </si>
  <si>
    <t>bayaswilma@gmail.com</t>
  </si>
  <si>
    <t>OSEC-DOHB-MDTK3-270022-2022</t>
  </si>
  <si>
    <t>Medical Technologist III</t>
  </si>
  <si>
    <t>Medical Technologist</t>
  </si>
  <si>
    <t>Legara</t>
  </si>
  <si>
    <t xml:space="preserve">Princess </t>
  </si>
  <si>
    <t>Constantino</t>
  </si>
  <si>
    <t>Mabolo III</t>
  </si>
  <si>
    <t>BS Medical Technology</t>
  </si>
  <si>
    <t>0060289</t>
  </si>
  <si>
    <t>2005997017</t>
  </si>
  <si>
    <t>1060-0064-9731</t>
  </si>
  <si>
    <t>0205-0429-9458</t>
  </si>
  <si>
    <t>218-152-173</t>
  </si>
  <si>
    <t>0917-556-0330</t>
  </si>
  <si>
    <t>pclegara@gmail.com</t>
  </si>
  <si>
    <t>OSEC-DOHB-MDTK3-270023-2022</t>
  </si>
  <si>
    <t>Santarin</t>
  </si>
  <si>
    <t>Nerissa</t>
  </si>
  <si>
    <t>Villanueva</t>
  </si>
  <si>
    <t>Kawit, Cavite</t>
  </si>
  <si>
    <t>1023 Rosalia Village</t>
  </si>
  <si>
    <t>Habay II</t>
  </si>
  <si>
    <t>0027127</t>
  </si>
  <si>
    <t>2001242643</t>
  </si>
  <si>
    <t>1030-0008-5321</t>
  </si>
  <si>
    <t>0802-5064-1781</t>
  </si>
  <si>
    <t>182-039-133</t>
  </si>
  <si>
    <t>0917-829-6776</t>
  </si>
  <si>
    <t>(046) 438-3315</t>
  </si>
  <si>
    <t>nev_santarin@yahoo.com</t>
  </si>
  <si>
    <t>OSEC-DOHB-ND3-270001-2021</t>
  </si>
  <si>
    <t>Nutritionist-Dietitian III</t>
  </si>
  <si>
    <t>Nutrition and Dietetics Section</t>
  </si>
  <si>
    <t>Nutritionist-Dietitian</t>
  </si>
  <si>
    <t>Bayot</t>
  </si>
  <si>
    <t>Imee Rose</t>
  </si>
  <si>
    <t>Araña</t>
  </si>
  <si>
    <t>Mlang, North Cotabato</t>
  </si>
  <si>
    <t>B26 L13 P3C, Lavanya Subd.</t>
  </si>
  <si>
    <t>Bacao I</t>
  </si>
  <si>
    <t>BS Nutrition and Dietetics</t>
  </si>
  <si>
    <t>0011193</t>
  </si>
  <si>
    <t>2004118286</t>
  </si>
  <si>
    <t>1890-0071-3023</t>
  </si>
  <si>
    <t>1705-0072-4229</t>
  </si>
  <si>
    <t>943-636-067</t>
  </si>
  <si>
    <t>0947-449-3873</t>
  </si>
  <si>
    <t>IRBayot@gmail.com</t>
  </si>
  <si>
    <t>OSEC-DOHB-PH3-270002-2021</t>
  </si>
  <si>
    <t>Pharmacist III</t>
  </si>
  <si>
    <t>Pharmacy Section</t>
  </si>
  <si>
    <t>Pharmacist</t>
  </si>
  <si>
    <t>Herrera</t>
  </si>
  <si>
    <t>Christopher Rey</t>
  </si>
  <si>
    <t>116 Cristo St., Holiday Village</t>
  </si>
  <si>
    <t>Bayan Luma II</t>
  </si>
  <si>
    <t>BS Pharamacy</t>
  </si>
  <si>
    <t>0039413</t>
  </si>
  <si>
    <t>2001397270</t>
  </si>
  <si>
    <t>1030-0009-7532</t>
  </si>
  <si>
    <t>1905-0800-0875</t>
  </si>
  <si>
    <t>202-642-142</t>
  </si>
  <si>
    <t>0932-553-9203</t>
  </si>
  <si>
    <t>(046) 471-9483</t>
  </si>
  <si>
    <t>christop_herrera@yahoo.com</t>
  </si>
  <si>
    <t>OSEC-DOHB-RT3-270043-2022</t>
  </si>
  <si>
    <t>Radiologic Technologist III</t>
  </si>
  <si>
    <t>Radiologic Technologist</t>
  </si>
  <si>
    <t>Tabing</t>
  </si>
  <si>
    <t>Dave AJ</t>
  </si>
  <si>
    <t>Jaleco vice Cabatian</t>
  </si>
  <si>
    <t>458 (New 191)</t>
  </si>
  <si>
    <t>Anabu 1-C</t>
  </si>
  <si>
    <t>4103</t>
  </si>
  <si>
    <t>BS Radiologic Technology</t>
  </si>
  <si>
    <t>0007444</t>
  </si>
  <si>
    <t>2006554346</t>
  </si>
  <si>
    <t>1210-0998-1403</t>
  </si>
  <si>
    <t>0805-1168-7997</t>
  </si>
  <si>
    <t>224-993-116</t>
  </si>
  <si>
    <t>0925-499-0709</t>
  </si>
  <si>
    <t>dave_tabing@yahoo.com</t>
  </si>
  <si>
    <t>OSEC-DOHB-SOCWO3-270016-2022</t>
  </si>
  <si>
    <t>Social Welfare Officer III</t>
  </si>
  <si>
    <t>Medical Social Service Section</t>
  </si>
  <si>
    <t>Social Welfare Officer</t>
  </si>
  <si>
    <t>Añano</t>
  </si>
  <si>
    <t xml:space="preserve">Angelica </t>
  </si>
  <si>
    <t>Bagares</t>
  </si>
  <si>
    <t>Guiuan, Eastern Samar</t>
  </si>
  <si>
    <t>B27 L28, Rovigo Courtyard, Golden Horizon</t>
  </si>
  <si>
    <t>Hugo Perez</t>
  </si>
  <si>
    <t>BS Social Work</t>
  </si>
  <si>
    <t>0024974</t>
  </si>
  <si>
    <t>2005911399</t>
  </si>
  <si>
    <t>1212-1881-9236</t>
  </si>
  <si>
    <t>0802-6357-2223</t>
  </si>
  <si>
    <t>716-701-971</t>
  </si>
  <si>
    <t>0935-855-9450</t>
  </si>
  <si>
    <t>angelicabagares@yahoo.com</t>
  </si>
  <si>
    <t>OSEC-DOHB-DENT2-270115-2020</t>
  </si>
  <si>
    <t>Dentist II</t>
  </si>
  <si>
    <t>Vice Rivera, Promotion</t>
  </si>
  <si>
    <t>OSEC-DOHB-NURS3-270013-2022</t>
  </si>
  <si>
    <t>Nurse III</t>
  </si>
  <si>
    <t>Nursing Service</t>
  </si>
  <si>
    <t>Angeles</t>
  </si>
  <si>
    <t>John Nichol</t>
  </si>
  <si>
    <t>Busa</t>
  </si>
  <si>
    <t>P1 B10 L22, Veraville Townhomes Arcadia</t>
  </si>
  <si>
    <t>078810</t>
  </si>
  <si>
    <t>2005911397</t>
  </si>
  <si>
    <t>1211-0774-8132</t>
  </si>
  <si>
    <t>0802-5726-2743</t>
  </si>
  <si>
    <t>269-648-623</t>
  </si>
  <si>
    <t>0915-661-7672</t>
  </si>
  <si>
    <t>(046) 435-7791</t>
  </si>
  <si>
    <t>nico.angeles15@gmail.com</t>
  </si>
  <si>
    <t>OSEC-DOHB-NURS3-270014-2022</t>
  </si>
  <si>
    <t>Capistrano</t>
  </si>
  <si>
    <t>Bryan John</t>
  </si>
  <si>
    <t>Cortes</t>
  </si>
  <si>
    <t>860 Inocencio St.</t>
  </si>
  <si>
    <t>58-A San Roque</t>
  </si>
  <si>
    <t>0403790</t>
  </si>
  <si>
    <t>2004118497</t>
  </si>
  <si>
    <t>1211-6834-9152</t>
  </si>
  <si>
    <t>0800-0107-8457</t>
  </si>
  <si>
    <t>282-059-539</t>
  </si>
  <si>
    <t>0927-120-1134</t>
  </si>
  <si>
    <t>(046) 431-0747</t>
  </si>
  <si>
    <t>bryancapistrano@yahoo.com</t>
  </si>
  <si>
    <t>OSEC-DOHB-NURS3-270015-2022</t>
  </si>
  <si>
    <t>Santos</t>
  </si>
  <si>
    <t xml:space="preserve">Marissa </t>
  </si>
  <si>
    <t>Moran</t>
  </si>
  <si>
    <t>Beti Aritao, Nueva Vizcaya</t>
  </si>
  <si>
    <t>B5 L37-39 Yakal St., Sagana Remville Homes</t>
  </si>
  <si>
    <t>0888723</t>
  </si>
  <si>
    <t>2005911999</t>
  </si>
  <si>
    <t>1211-2390-0641</t>
  </si>
  <si>
    <t>0620-1092-7345</t>
  </si>
  <si>
    <t>472-930-140</t>
  </si>
  <si>
    <t>0926-369-7382</t>
  </si>
  <si>
    <t>santosmarissa28@yahoo.com</t>
  </si>
  <si>
    <t>OSEC-DOHB-NUR3-270116-2020</t>
  </si>
  <si>
    <t>Caimol-Gabuten</t>
  </si>
  <si>
    <t>Charissa Mara</t>
  </si>
  <si>
    <t>Pabalinas</t>
  </si>
  <si>
    <t>181 Manggahan St.</t>
  </si>
  <si>
    <t>Binkayan</t>
  </si>
  <si>
    <t>Kawit</t>
  </si>
  <si>
    <t>0743881</t>
  </si>
  <si>
    <t>2005046466</t>
  </si>
  <si>
    <t>1211-2712-1181</t>
  </si>
  <si>
    <t>0202-6320-3381</t>
  </si>
  <si>
    <t>169-808-918</t>
  </si>
  <si>
    <t>0956-1204-856</t>
  </si>
  <si>
    <t>(046) 434-5643</t>
  </si>
  <si>
    <t>charissamara_caimol@yahoo.com</t>
  </si>
  <si>
    <t>OSEC-DOHB-NUR3-270117-2020</t>
  </si>
  <si>
    <t>Vice Atmosfera, Promotion</t>
  </si>
  <si>
    <t>OSEC-DOHB-NUR3-270118-2020</t>
  </si>
  <si>
    <t>Arpa</t>
  </si>
  <si>
    <t xml:space="preserve">Geraldine </t>
  </si>
  <si>
    <t>Crisostomo</t>
  </si>
  <si>
    <t>B7 L59 P1 Arcadia Veraville</t>
  </si>
  <si>
    <t>0289857</t>
  </si>
  <si>
    <t>2001397865</t>
  </si>
  <si>
    <t>1030-0006-9355</t>
  </si>
  <si>
    <t>1902-5622-5135</t>
  </si>
  <si>
    <t>151-410-632</t>
  </si>
  <si>
    <t>0915-558-8283</t>
  </si>
  <si>
    <t>(046) 343 4044</t>
  </si>
  <si>
    <t>ghee_arpa@yahoo.com</t>
  </si>
  <si>
    <t>OSEC-DOHB-NUR3-270119-2020</t>
  </si>
  <si>
    <t>Felonia</t>
  </si>
  <si>
    <t xml:space="preserve">Strawberry </t>
  </si>
  <si>
    <t>Carigara, Leyte</t>
  </si>
  <si>
    <t>#306, 1st Reyville Subd.</t>
  </si>
  <si>
    <t>0632929</t>
  </si>
  <si>
    <t>2004878943</t>
  </si>
  <si>
    <t>1211-6481-0362</t>
  </si>
  <si>
    <t>0800-0112-4300</t>
  </si>
  <si>
    <t>479-188-850</t>
  </si>
  <si>
    <t>0955-370-3738</t>
  </si>
  <si>
    <t>strawberryfelonia@gmail.com</t>
  </si>
  <si>
    <t>OSEC-DOHB-NUR3-270120-2020</t>
  </si>
  <si>
    <t>Siazon</t>
  </si>
  <si>
    <t xml:space="preserve">Lolita </t>
  </si>
  <si>
    <t>Chuaseco</t>
  </si>
  <si>
    <t>B10 L3 Marbella St. Maravilla</t>
  </si>
  <si>
    <t>0376694</t>
  </si>
  <si>
    <t>2005933968</t>
  </si>
  <si>
    <t>1505-0011-4683</t>
  </si>
  <si>
    <t>1902-5819-4695</t>
  </si>
  <si>
    <t>909-226-617</t>
  </si>
  <si>
    <t>0938-044-4800</t>
  </si>
  <si>
    <t>OSEC-DOHB-A2-270041-2022</t>
  </si>
  <si>
    <t>Accountant II</t>
  </si>
  <si>
    <t>Mallillin</t>
  </si>
  <si>
    <t>Ericka Joy</t>
  </si>
  <si>
    <t>Lauzon</t>
  </si>
  <si>
    <t>Block 3 Lot 5 Laurel, Villa Elisa Subdivision</t>
  </si>
  <si>
    <t>Anabu 2-E</t>
  </si>
  <si>
    <t>0194929</t>
  </si>
  <si>
    <t>2006098579</t>
  </si>
  <si>
    <t>1212-3898-4682</t>
  </si>
  <si>
    <t>0225-1817-0906</t>
  </si>
  <si>
    <t>353-414-607</t>
  </si>
  <si>
    <t>0919-098-1109</t>
  </si>
  <si>
    <t>erickamallillin@gmail.com</t>
  </si>
  <si>
    <t>OSEC-DOHB-ENG2-270042-2022</t>
  </si>
  <si>
    <t>Engineer II</t>
  </si>
  <si>
    <t>Engineering and Facilities Management Section</t>
  </si>
  <si>
    <t>Lo</t>
  </si>
  <si>
    <t>James</t>
  </si>
  <si>
    <t>Arbiz</t>
  </si>
  <si>
    <t>Borongan, Eastern Samar</t>
  </si>
  <si>
    <t>Block 25 Lot 14 Anemone St., Villa Felicia Subd.</t>
  </si>
  <si>
    <t>Bayanan</t>
  </si>
  <si>
    <t>0087228</t>
  </si>
  <si>
    <t>2006360700</t>
  </si>
  <si>
    <t>1210-0118-4992</t>
  </si>
  <si>
    <t>1305-0041-3094</t>
  </si>
  <si>
    <t>927-728-199</t>
  </si>
  <si>
    <t>0968-746-6158</t>
  </si>
  <si>
    <t>(046) 230-0366</t>
  </si>
  <si>
    <t>jabre_0078@yahoo.com</t>
  </si>
  <si>
    <t>OSEC-DOHB-NURS2-14-2025</t>
  </si>
  <si>
    <t>Nurse II</t>
  </si>
  <si>
    <t>Central Supply and Sterilization Unit</t>
  </si>
  <si>
    <t>Paraoan</t>
  </si>
  <si>
    <t>Erlwin Genesis</t>
  </si>
  <si>
    <t>Alvez</t>
  </si>
  <si>
    <t>Block 47 Lot 5 Almeria St., Hacienda La Joya Subd.</t>
  </si>
  <si>
    <t>0872189</t>
  </si>
  <si>
    <t>2005531877</t>
  </si>
  <si>
    <t>1211-4238-9919</t>
  </si>
  <si>
    <t>0202-6476-2473</t>
  </si>
  <si>
    <t>453-609-457</t>
  </si>
  <si>
    <t>0997-603-9964</t>
  </si>
  <si>
    <t>egparoanrn@gmail.com</t>
  </si>
  <si>
    <t xml:space="preserve">                                                                                                                                                             </t>
  </si>
  <si>
    <t>OSEC-DOHB-NURS2-15-2025</t>
  </si>
  <si>
    <t>Manlutac</t>
  </si>
  <si>
    <t>Rose Ann</t>
  </si>
  <si>
    <t>Figueroa</t>
  </si>
  <si>
    <t>245 Palosapis St., St. Anthony Subd.</t>
  </si>
  <si>
    <t>Baranggay 4</t>
  </si>
  <si>
    <t>0648273</t>
  </si>
  <si>
    <t>1210-8610-2229</t>
  </si>
  <si>
    <t>0800-0102-6813</t>
  </si>
  <si>
    <t>004-691-798</t>
  </si>
  <si>
    <t>0917-303-9194</t>
  </si>
  <si>
    <t>manlutac.roseann@gmail.com</t>
  </si>
  <si>
    <t>OSEC-DOHB-NURS2-16-2025</t>
  </si>
  <si>
    <t>Samoza</t>
  </si>
  <si>
    <t>John Paolo</t>
  </si>
  <si>
    <t>Magsino</t>
  </si>
  <si>
    <t>Kalayaan, Kawit, Cavite</t>
  </si>
  <si>
    <t>Block 1 Lot 22 Ph. 8, Spain St., ACM Woodstock Village</t>
  </si>
  <si>
    <t>Alapan 1-A</t>
  </si>
  <si>
    <t>0923582</t>
  </si>
  <si>
    <t>2006264729</t>
  </si>
  <si>
    <t>1212-6665-9450</t>
  </si>
  <si>
    <t>0802-6688-6601</t>
  </si>
  <si>
    <t>375-939-471</t>
  </si>
  <si>
    <t>0919-093-7285</t>
  </si>
  <si>
    <t>jpaolo.samoza@gmai.com</t>
  </si>
  <si>
    <t>OSEC-DOHB-NURS2-17-2025</t>
  </si>
  <si>
    <t>Jean Pierre</t>
  </si>
  <si>
    <t>Block 5 Lot 49 KS8, Kinbalu St. Lancaster New City</t>
  </si>
  <si>
    <t>0631378</t>
  </si>
  <si>
    <t>2006360713</t>
  </si>
  <si>
    <t>1210-5830-9104</t>
  </si>
  <si>
    <t>0305-0890-1018</t>
  </si>
  <si>
    <t>298-706-697</t>
  </si>
  <si>
    <t>0968-763-6697</t>
  </si>
  <si>
    <t>japi19@yahoo.com</t>
  </si>
  <si>
    <t>OSEC-DOHB-NURS2-18-2025</t>
  </si>
  <si>
    <t>Encia</t>
  </si>
  <si>
    <t>Jessica Joy</t>
  </si>
  <si>
    <t>Miguel</t>
  </si>
  <si>
    <t>Lubao, Pampanga</t>
  </si>
  <si>
    <t>Block 3 Lot 4 Phase 1, Veraville Arcadia</t>
  </si>
  <si>
    <t>0677373</t>
  </si>
  <si>
    <t>2006346109</t>
  </si>
  <si>
    <t>1210-5964-3216</t>
  </si>
  <si>
    <t>0202-5393-2717</t>
  </si>
  <si>
    <t>400-300-174</t>
  </si>
  <si>
    <t>0926-614-2420</t>
  </si>
  <si>
    <t>iamanurse18@gmail.com</t>
  </si>
  <si>
    <t>OSEC-DOHB-NURS2-19-2025</t>
  </si>
  <si>
    <t>Crawford</t>
  </si>
  <si>
    <t>Kryssan</t>
  </si>
  <si>
    <t>Noveleta, Cavite</t>
  </si>
  <si>
    <t>491 Ejercito</t>
  </si>
  <si>
    <t>Brgy. 16 Martinez</t>
  </si>
  <si>
    <t>0928805</t>
  </si>
  <si>
    <t>2006306693</t>
  </si>
  <si>
    <t>1210-9860-2091</t>
  </si>
  <si>
    <t>0105-1438-5705</t>
  </si>
  <si>
    <t>422-504-701</t>
  </si>
  <si>
    <t>0965-387-3903</t>
  </si>
  <si>
    <t>(046) 431-8112</t>
  </si>
  <si>
    <t>kryssan06@gmail.com</t>
  </si>
  <si>
    <t>OSEC-DOHB-NURS2-20-2025</t>
  </si>
  <si>
    <t>Cargo</t>
  </si>
  <si>
    <t>Jerome</t>
  </si>
  <si>
    <t>Enrile</t>
  </si>
  <si>
    <t>41 A-Annex Camella Homes</t>
  </si>
  <si>
    <t>Salinas IV</t>
  </si>
  <si>
    <t>0594804</t>
  </si>
  <si>
    <t>2006264741</t>
  </si>
  <si>
    <t>1211-3275-3682</t>
  </si>
  <si>
    <t>0802-2587-6905</t>
  </si>
  <si>
    <t>341-643-794</t>
  </si>
  <si>
    <t>0995-799-4359</t>
  </si>
  <si>
    <t>(046) 472-1322</t>
  </si>
  <si>
    <t>jeromenrilecargo@gmail.com</t>
  </si>
  <si>
    <t>OSEC-DOHB-NURS2-270018-2022</t>
  </si>
  <si>
    <t>Bustos</t>
  </si>
  <si>
    <t>Jan-rael</t>
  </si>
  <si>
    <t>Dones</t>
  </si>
  <si>
    <t>Tanzang Luma 5</t>
  </si>
  <si>
    <t>0810121</t>
  </si>
  <si>
    <t>2005911415</t>
  </si>
  <si>
    <t>1211-2147-7212</t>
  </si>
  <si>
    <t>0802-5791-5933</t>
  </si>
  <si>
    <t>454-073-202</t>
  </si>
  <si>
    <t>0905-521-7780</t>
  </si>
  <si>
    <t>(046) 437-8043</t>
  </si>
  <si>
    <t>janraelbustos@gmail.com</t>
  </si>
  <si>
    <t>OSEC-DOHB-NURS2-270019-2022</t>
  </si>
  <si>
    <t>Matic</t>
  </si>
  <si>
    <t>Marilou</t>
  </si>
  <si>
    <t>Lising</t>
  </si>
  <si>
    <t>San Fernando, La Union</t>
  </si>
  <si>
    <t>B10 L40 P1 Bonn St., Pallas Athena Executive Village</t>
  </si>
  <si>
    <t>Anabu II-C</t>
  </si>
  <si>
    <t>0823330</t>
  </si>
  <si>
    <t>2006306639</t>
  </si>
  <si>
    <t>1210-3452-7016</t>
  </si>
  <si>
    <t>1905-0136-8338</t>
  </si>
  <si>
    <t>207-364-089</t>
  </si>
  <si>
    <t>0960-696-2685</t>
  </si>
  <si>
    <t>(046) 431-3007</t>
  </si>
  <si>
    <t>mariloumatic@gmail.com</t>
  </si>
  <si>
    <t>OSEC-DOHB-NURS2-270020-2022</t>
  </si>
  <si>
    <t>Encarnacion</t>
  </si>
  <si>
    <t>Revin Anjulia</t>
  </si>
  <si>
    <t>Laderas</t>
  </si>
  <si>
    <t>Tabon I</t>
  </si>
  <si>
    <t>0787539</t>
  </si>
  <si>
    <t>2006264720</t>
  </si>
  <si>
    <t>1212-1677-1161</t>
  </si>
  <si>
    <t>0105-1786-7115</t>
  </si>
  <si>
    <t>313-500-518</t>
  </si>
  <si>
    <t>0916-431-7095</t>
  </si>
  <si>
    <t>laderasrevin@yahoo.com</t>
  </si>
  <si>
    <t>OSEC-DOHB-NURS2-270021-2022</t>
  </si>
  <si>
    <t>Omiles</t>
  </si>
  <si>
    <t xml:space="preserve">Lorenze </t>
  </si>
  <si>
    <t>Sayaman</t>
  </si>
  <si>
    <t>Ipil St., Seaview</t>
  </si>
  <si>
    <t>San Rafael II</t>
  </si>
  <si>
    <t>0722059</t>
  </si>
  <si>
    <t>2005662334</t>
  </si>
  <si>
    <t>1211-3520-5693</t>
  </si>
  <si>
    <t>0802-5883-8193</t>
  </si>
  <si>
    <t>443-617-969</t>
  </si>
  <si>
    <t>0915-472-1145</t>
  </si>
  <si>
    <t>(046) 438-7216</t>
  </si>
  <si>
    <t>renzeomiles@gmail.com</t>
  </si>
  <si>
    <t>OSEC-DOHB-NURS2-270022-2022</t>
  </si>
  <si>
    <t xml:space="preserve">Laarnie </t>
  </si>
  <si>
    <t>Temporaza</t>
  </si>
  <si>
    <t>Tangalan, Aklan</t>
  </si>
  <si>
    <t>B2 L11 Santan St., City Homes</t>
  </si>
  <si>
    <t>0626820</t>
  </si>
  <si>
    <t>2005670348</t>
  </si>
  <si>
    <t>1210-0967-9568</t>
  </si>
  <si>
    <t>0202-5373-7892</t>
  </si>
  <si>
    <t>400-381-846</t>
  </si>
  <si>
    <t>0926-478-0259</t>
  </si>
  <si>
    <t>laarnietemporaza@gmail.com</t>
  </si>
  <si>
    <t>OSEC-DOHB-NURS2-270023-2022</t>
  </si>
  <si>
    <t>Filled</t>
  </si>
  <si>
    <t>Abrigo</t>
  </si>
  <si>
    <t>Mae Hazel Jade</t>
  </si>
  <si>
    <t>Solis</t>
  </si>
  <si>
    <t>289 Dona Epifania St., Josephine Subd.</t>
  </si>
  <si>
    <t>Panamitan</t>
  </si>
  <si>
    <t>0733029</t>
  </si>
  <si>
    <t>2005421317</t>
  </si>
  <si>
    <t>1212-2829-6828</t>
  </si>
  <si>
    <t>0805-1118-1856</t>
  </si>
  <si>
    <t>279-624-810</t>
  </si>
  <si>
    <t>0915-087-2567</t>
  </si>
  <si>
    <t>mjade_27@yahoo.com</t>
  </si>
  <si>
    <t>OSEC-DOHB-NURS2-270024-2022</t>
  </si>
  <si>
    <t xml:space="preserve">Kristine </t>
  </si>
  <si>
    <t>Villegas</t>
  </si>
  <si>
    <t>B4 L2 J. Abad Santos St., Cherryhomes Subd.</t>
  </si>
  <si>
    <t>Mambog I</t>
  </si>
  <si>
    <t>0521791</t>
  </si>
  <si>
    <t>2005666507</t>
  </si>
  <si>
    <t>1211-8534-9273</t>
  </si>
  <si>
    <t>0802-6493-1669</t>
  </si>
  <si>
    <t>728-099-008</t>
  </si>
  <si>
    <t>0927-438-7330</t>
  </si>
  <si>
    <t>(046) 438-3442</t>
  </si>
  <si>
    <t>kvillegasaragon@gmail.com</t>
  </si>
  <si>
    <t>OSEC-DOHB-NURS2-270025-2022</t>
  </si>
  <si>
    <t>Balmes-Bernardo</t>
  </si>
  <si>
    <t xml:space="preserve">Kimberly </t>
  </si>
  <si>
    <t>Lipa, Batangas</t>
  </si>
  <si>
    <t>B3 L12 Josefina St., Baytown Village</t>
  </si>
  <si>
    <t>Habay I</t>
  </si>
  <si>
    <t>0791181</t>
  </si>
  <si>
    <t>2005990730</t>
  </si>
  <si>
    <t>1210-9220-2074</t>
  </si>
  <si>
    <t>0802-5531-0503</t>
  </si>
  <si>
    <t>437-895-944</t>
  </si>
  <si>
    <t>0910-509-3921</t>
  </si>
  <si>
    <t>(046) 434-3644</t>
  </si>
  <si>
    <t>kim_shimmerinluv@yahoo.com.ph</t>
  </si>
  <si>
    <t>OSEC-DOHB-NURS2-270026-2022</t>
  </si>
  <si>
    <t>Gervacio</t>
  </si>
  <si>
    <t>Kristina</t>
  </si>
  <si>
    <t>Santelices</t>
  </si>
  <si>
    <t>Bacoor City, Cavite</t>
  </si>
  <si>
    <t>Niog I</t>
  </si>
  <si>
    <t>643600</t>
  </si>
  <si>
    <t>2005532112</t>
  </si>
  <si>
    <t>1210-9090-1538</t>
  </si>
  <si>
    <t>0105-0895-2215</t>
  </si>
  <si>
    <t>313-700-540</t>
  </si>
  <si>
    <t>0977-257-0315</t>
  </si>
  <si>
    <t>kristinagervacio09@gmail.com</t>
  </si>
  <si>
    <t>OSEC-DOHB-NURS2-270027-2022</t>
  </si>
  <si>
    <t>Vargas</t>
  </si>
  <si>
    <t>Camille</t>
  </si>
  <si>
    <t>Cabases</t>
  </si>
  <si>
    <t>05 Rosal St. Cuevas Subd.</t>
  </si>
  <si>
    <t>0718618</t>
  </si>
  <si>
    <t>2006264726</t>
  </si>
  <si>
    <t>1210-2587-7482</t>
  </si>
  <si>
    <t>0805-1205-2251</t>
  </si>
  <si>
    <t>311-046-430</t>
  </si>
  <si>
    <t>0939-310-1805</t>
  </si>
  <si>
    <t>(046) 438-1874</t>
  </si>
  <si>
    <t>camillevargas2000@gmail.com</t>
  </si>
  <si>
    <t>OSEC-DOHB-NURS2-270028-2022</t>
  </si>
  <si>
    <t>Lorenzo</t>
  </si>
  <si>
    <t>Ghia Lariza</t>
  </si>
  <si>
    <t>Flores</t>
  </si>
  <si>
    <t>B7 L39 P1 Main Rd., Villa Antonina Subd.</t>
  </si>
  <si>
    <t>San Nicolas II</t>
  </si>
  <si>
    <t>0761706</t>
  </si>
  <si>
    <t>2006064855</t>
  </si>
  <si>
    <t>1211-7639-2526</t>
  </si>
  <si>
    <t>0802-5683-8110</t>
  </si>
  <si>
    <t>478-185-001</t>
  </si>
  <si>
    <t>0926-145-7343</t>
  </si>
  <si>
    <t>ghialorenzo123@gmail.com</t>
  </si>
  <si>
    <t>OSEC-DOHB-NURS2-270029-2022</t>
  </si>
  <si>
    <t>Pagaran</t>
  </si>
  <si>
    <t>Donabel</t>
  </si>
  <si>
    <t>Lazaro</t>
  </si>
  <si>
    <t>Balungao, Pangasinan</t>
  </si>
  <si>
    <t>P1 B22 L24 Garden Grove Village</t>
  </si>
  <si>
    <t>Salitran IV</t>
  </si>
  <si>
    <t>0283308</t>
  </si>
  <si>
    <t>2001397569</t>
  </si>
  <si>
    <t>1030-0009-4881</t>
  </si>
  <si>
    <t>1908-8733-9159</t>
  </si>
  <si>
    <t>201-765-419</t>
  </si>
  <si>
    <t>0922-801-4078</t>
  </si>
  <si>
    <t>(046) 541-0334</t>
  </si>
  <si>
    <t>donabelpagaran@gmail.com</t>
  </si>
  <si>
    <t>OSEC-DOHB-NURS2-270030-2022</t>
  </si>
  <si>
    <t>Bulante</t>
  </si>
  <si>
    <t>Jenna Joy</t>
  </si>
  <si>
    <t>Olongapo City</t>
  </si>
  <si>
    <t>Block 6 Lot 4B, Calle Del Rey, Villa Cañacao Subd.</t>
  </si>
  <si>
    <t>Santa Isabel</t>
  </si>
  <si>
    <t>0531400</t>
  </si>
  <si>
    <t>2006396215</t>
  </si>
  <si>
    <t>1210-0316-6650</t>
  </si>
  <si>
    <t>0805-0857-4804</t>
  </si>
  <si>
    <t>274-337-795</t>
  </si>
  <si>
    <t>0927-161-9723</t>
  </si>
  <si>
    <t>(046) 458-2541</t>
  </si>
  <si>
    <t>jennajick@gmail.com</t>
  </si>
  <si>
    <t>OSEC-DOHB-NURS2-270031-2022</t>
  </si>
  <si>
    <t>Talactac</t>
  </si>
  <si>
    <t>Kathrene Kim</t>
  </si>
  <si>
    <t>Advincula</t>
  </si>
  <si>
    <t>685 1-E</t>
  </si>
  <si>
    <t>Anabu</t>
  </si>
  <si>
    <t>0785151</t>
  </si>
  <si>
    <t>2005911396</t>
  </si>
  <si>
    <t>1211-0237-5737</t>
  </si>
  <si>
    <t>0805-1374-1980</t>
  </si>
  <si>
    <t>289-888-594</t>
  </si>
  <si>
    <t>0961-096-8485</t>
  </si>
  <si>
    <t>kimadvincula6@gmail.com</t>
  </si>
  <si>
    <t>OSEC-DOHB-NURS2-270032-2022</t>
  </si>
  <si>
    <t>Ricafrente</t>
  </si>
  <si>
    <t xml:space="preserve">Maria Nicole </t>
  </si>
  <si>
    <t>Valeriano</t>
  </si>
  <si>
    <t>B 12 L11 Pearl St., Silvercrest Villas</t>
  </si>
  <si>
    <t>0845589</t>
  </si>
  <si>
    <t>2006064857</t>
  </si>
  <si>
    <t>1211-7205-9903</t>
  </si>
  <si>
    <t>1325-2004-7739</t>
  </si>
  <si>
    <t>464-916-714</t>
  </si>
  <si>
    <t>0939-930-1439</t>
  </si>
  <si>
    <t>mnricafrente@gmail.com</t>
  </si>
  <si>
    <t>OSEC-DOHB-NURS2-270033-2022</t>
  </si>
  <si>
    <t xml:space="preserve">Germaine </t>
  </si>
  <si>
    <t>De Jesus</t>
  </si>
  <si>
    <t>Tondo, Manila</t>
  </si>
  <si>
    <t>8 Romualdez St., Magsaysay Village</t>
  </si>
  <si>
    <t>100</t>
  </si>
  <si>
    <t>Tondo</t>
  </si>
  <si>
    <t>0604060</t>
  </si>
  <si>
    <t>2005753990</t>
  </si>
  <si>
    <t>1211-5378-8293</t>
  </si>
  <si>
    <t>02000-0247-3772</t>
  </si>
  <si>
    <t>407-565-470</t>
  </si>
  <si>
    <t>0905-706-1974</t>
  </si>
  <si>
    <t>germainesantos@yahoo.com</t>
  </si>
  <si>
    <t>OSEC-DOHB-NURS2-270034-2022</t>
  </si>
  <si>
    <t>Bobis</t>
  </si>
  <si>
    <t>John Darrel</t>
  </si>
  <si>
    <t>Ladines</t>
  </si>
  <si>
    <t>Mabalacat, Pampanga</t>
  </si>
  <si>
    <t>B10 L47 Ph4 City Homes Resort Ville</t>
  </si>
  <si>
    <t>Langkaan II</t>
  </si>
  <si>
    <t>0785126</t>
  </si>
  <si>
    <t>2005569201</t>
  </si>
  <si>
    <t>1212-4361-9407</t>
  </si>
  <si>
    <t>0802-6554-3611</t>
  </si>
  <si>
    <t>410-231-051</t>
  </si>
  <si>
    <t>0935-634-1454</t>
  </si>
  <si>
    <t>johndarellbobis@gmail.com</t>
  </si>
  <si>
    <t>OSEC-DOHB-NURS2-270035-2022</t>
  </si>
  <si>
    <t>Nervy</t>
  </si>
  <si>
    <t>B2 L16 Yakal St., Westwood Homes</t>
  </si>
  <si>
    <t>Alapan I-B</t>
  </si>
  <si>
    <t>0564988</t>
  </si>
  <si>
    <t>2005911549</t>
  </si>
  <si>
    <t>1210-0472-4704</t>
  </si>
  <si>
    <t>0105-1097-9996</t>
  </si>
  <si>
    <t>311-553-620</t>
  </si>
  <si>
    <t>0998-946-2271</t>
  </si>
  <si>
    <t>nervy_18@yahoo.com</t>
  </si>
  <si>
    <t>OSEC-DOHB-NURS2-270036-2022</t>
  </si>
  <si>
    <t>Patlin</t>
  </si>
  <si>
    <t>Anne Pherlyn</t>
  </si>
  <si>
    <t>Octavo</t>
  </si>
  <si>
    <t>Manggahan Comp.</t>
  </si>
  <si>
    <t>Carsadang Bago I</t>
  </si>
  <si>
    <t>0764646</t>
  </si>
  <si>
    <t>2006213285</t>
  </si>
  <si>
    <t>1211-5357-4624</t>
  </si>
  <si>
    <t>0802-5763-2184</t>
  </si>
  <si>
    <t>446-423-485</t>
  </si>
  <si>
    <t>0905-390-8365</t>
  </si>
  <si>
    <t>annpherlyn@gmail.com</t>
  </si>
  <si>
    <t>OSEC-DOHB-NURS2-270037-2022</t>
  </si>
  <si>
    <t>Mary Grace</t>
  </si>
  <si>
    <t>Sotto</t>
  </si>
  <si>
    <t>0410832</t>
  </si>
  <si>
    <t>2006372363</t>
  </si>
  <si>
    <t>1210-0433-9275</t>
  </si>
  <si>
    <t>1902-6785-6250</t>
  </si>
  <si>
    <t>257-344-230</t>
  </si>
  <si>
    <t>0917-143-9218</t>
  </si>
  <si>
    <t>graceysabal@gmail.com</t>
  </si>
  <si>
    <t>OSEC-DOHB-NURS2-270038-2022</t>
  </si>
  <si>
    <t>Arada</t>
  </si>
  <si>
    <t>Aziel</t>
  </si>
  <si>
    <t>Corciega</t>
  </si>
  <si>
    <t>B15 L2 Arayat St. Valleyfield Suvd.</t>
  </si>
  <si>
    <t>0835790</t>
  </si>
  <si>
    <t>2006083641</t>
  </si>
  <si>
    <t>1211-4319-2204</t>
  </si>
  <si>
    <t>0205-1124-9288</t>
  </si>
  <si>
    <t>467-927-745</t>
  </si>
  <si>
    <t>0906-228-5757</t>
  </si>
  <si>
    <t>azielc.arada@yahoo.com</t>
  </si>
  <si>
    <t>OSEC-DOHB-NURS2-270039-2022</t>
  </si>
  <si>
    <t>Caoili</t>
  </si>
  <si>
    <t>Darlene</t>
  </si>
  <si>
    <t>Macasuhot</t>
  </si>
  <si>
    <t>Jimenez, Misamis Occidental</t>
  </si>
  <si>
    <t>Block 10 Lot 10 Villa Lessandra Phase 9</t>
  </si>
  <si>
    <t>Salinas I</t>
  </si>
  <si>
    <t>0882488</t>
  </si>
  <si>
    <t>2006115772</t>
  </si>
  <si>
    <t>1212-1643-1155</t>
  </si>
  <si>
    <t>1520-1538-5205</t>
  </si>
  <si>
    <t>482-522-655</t>
  </si>
  <si>
    <t>OSEC-DOHB-NURS2-270040-2022</t>
  </si>
  <si>
    <t>Paredes</t>
  </si>
  <si>
    <t>Ryan Russ</t>
  </si>
  <si>
    <t>Erasmo</t>
  </si>
  <si>
    <t>B5 L65 Jasmine St, Mary Homes Subd.</t>
  </si>
  <si>
    <t>0602039</t>
  </si>
  <si>
    <t>2006160509</t>
  </si>
  <si>
    <t>1210-8346-3013</t>
  </si>
  <si>
    <t>0902-5290-1498</t>
  </si>
  <si>
    <t>946-010-326</t>
  </si>
  <si>
    <t>0956-987-7756</t>
  </si>
  <si>
    <t>(046) 884-7242</t>
  </si>
  <si>
    <t>ryanrussparedes@gmail.com</t>
  </si>
  <si>
    <t>OSEC-DOHB-NURS2-270041-2022</t>
  </si>
  <si>
    <t>Jarapa</t>
  </si>
  <si>
    <t>Bonn Jovi</t>
  </si>
  <si>
    <t>Villafuerte</t>
  </si>
  <si>
    <t>Camarines Norte</t>
  </si>
  <si>
    <t>B8 L18 Corso Falier, Cita Italia Subd.</t>
  </si>
  <si>
    <t>Mabog III</t>
  </si>
  <si>
    <t>0653062</t>
  </si>
  <si>
    <t>2004777691</t>
  </si>
  <si>
    <t>1211-4514-2461</t>
  </si>
  <si>
    <t>1002-5098-8464</t>
  </si>
  <si>
    <t>432-438-500</t>
  </si>
  <si>
    <t>0915-809-9470</t>
  </si>
  <si>
    <t>(046) 417-5763</t>
  </si>
  <si>
    <t>bjjarapa@gmail.com</t>
  </si>
  <si>
    <t>OSEC-DOHB-NURS2-270042-2022</t>
  </si>
  <si>
    <t>Centeno</t>
  </si>
  <si>
    <t>Dinavie</t>
  </si>
  <si>
    <t>124 Purok 3</t>
  </si>
  <si>
    <t>Malagasang 2-C</t>
  </si>
  <si>
    <t>0857006</t>
  </si>
  <si>
    <t>2006160497</t>
  </si>
  <si>
    <t>1211-0388-7678</t>
  </si>
  <si>
    <t>0802-5255-1666</t>
  </si>
  <si>
    <t>426-472-850</t>
  </si>
  <si>
    <t>0935-1924846</t>
  </si>
  <si>
    <t>dinaviewata@gmail.com</t>
  </si>
  <si>
    <t>OSEC-DOHB-NURS2-270043-2022</t>
  </si>
  <si>
    <t>Oncinian</t>
  </si>
  <si>
    <t>John Norris</t>
  </si>
  <si>
    <t>Guyamin</t>
  </si>
  <si>
    <t>443 A. Reyes St.</t>
  </si>
  <si>
    <t>Dalahican</t>
  </si>
  <si>
    <t>0936820</t>
  </si>
  <si>
    <t>2004118548</t>
  </si>
  <si>
    <t>1211-9502-4422</t>
  </si>
  <si>
    <t>278-591-355</t>
  </si>
  <si>
    <t>0916-716-1487</t>
  </si>
  <si>
    <t>(046) 431-9624</t>
  </si>
  <si>
    <t>norrisoncinian@yahoo.com</t>
  </si>
  <si>
    <t>OSEC-DOHB-NURS2-270044-2022</t>
  </si>
  <si>
    <t>Solamin</t>
  </si>
  <si>
    <t>Shella Marie</t>
  </si>
  <si>
    <t>Ceda</t>
  </si>
  <si>
    <t>Alamada, North Cotabato</t>
  </si>
  <si>
    <t>Gemoto Apartment, Cordillera St., Valleyfield Subd.</t>
  </si>
  <si>
    <t>0919690</t>
  </si>
  <si>
    <t>2006213214</t>
  </si>
  <si>
    <t>7006-2717-4935</t>
  </si>
  <si>
    <t>0202-5608-7759</t>
  </si>
  <si>
    <t>391-978-903</t>
  </si>
  <si>
    <t>0967-410-9248</t>
  </si>
  <si>
    <t>shellaceda@gmail.com</t>
  </si>
  <si>
    <t>OSEC-DOHB-NURS2-270045-2022</t>
  </si>
  <si>
    <t>Tujon</t>
  </si>
  <si>
    <t xml:space="preserve">Laarni </t>
  </si>
  <si>
    <t>Alip</t>
  </si>
  <si>
    <t>B3 L9 Rose St.</t>
  </si>
  <si>
    <t>Queens Row West</t>
  </si>
  <si>
    <t>0286480</t>
  </si>
  <si>
    <t>2001819285</t>
  </si>
  <si>
    <t>1040-0133-3368</t>
  </si>
  <si>
    <t>0200-0215-0825</t>
  </si>
  <si>
    <t>216-915-402</t>
  </si>
  <si>
    <t>0915-604-6175</t>
  </si>
  <si>
    <t>(046) 507-4521</t>
  </si>
  <si>
    <t>laarnialip311@gmail.com</t>
  </si>
  <si>
    <t>OSEC-DOHB-ADOF4-270112-2020</t>
  </si>
  <si>
    <t>Administrative Officer IV (Financial Analyst II)</t>
  </si>
  <si>
    <t>Administrative Officer IV</t>
  </si>
  <si>
    <t>Fernandez</t>
  </si>
  <si>
    <t>Iris Marie</t>
  </si>
  <si>
    <t>Lim</t>
  </si>
  <si>
    <t>Block 9 Lot 18, Villa Lessandra Ph. 7</t>
  </si>
  <si>
    <t>1211-3295-4415</t>
  </si>
  <si>
    <t>0202-5277-2007</t>
  </si>
  <si>
    <t>278-159-419</t>
  </si>
  <si>
    <t>0923-852-3931</t>
  </si>
  <si>
    <t>yen_lim18@yahoo.com.ph</t>
  </si>
  <si>
    <t>OSEC-DOHB-ADOF4-270113-2020</t>
  </si>
  <si>
    <t>Administrative Officer IV (HRMO II)</t>
  </si>
  <si>
    <t>Billing and Claims Section</t>
  </si>
  <si>
    <t>Neil Hazel</t>
  </si>
  <si>
    <t>Asuncion</t>
  </si>
  <si>
    <t>San Fernando, Pampanga</t>
  </si>
  <si>
    <t>2001397214</t>
  </si>
  <si>
    <t>1030-0106-1910</t>
  </si>
  <si>
    <t>0800-0068-0986</t>
  </si>
  <si>
    <t>304-568-413</t>
  </si>
  <si>
    <t>0997-815-0736</t>
  </si>
  <si>
    <t>(046) 573-7564</t>
  </si>
  <si>
    <t>hazhel_22@yahoo.com</t>
  </si>
  <si>
    <t>OSEC-DOHB-ADOF4-270114-2020</t>
  </si>
  <si>
    <t>Administrative Officer IV (Information Officer II)</t>
  </si>
  <si>
    <t>Anabe</t>
  </si>
  <si>
    <t>Lexter</t>
  </si>
  <si>
    <t>Ancheta</t>
  </si>
  <si>
    <t>Block 23 Lot 2</t>
  </si>
  <si>
    <t>San Dionisio</t>
  </si>
  <si>
    <t>4114</t>
  </si>
  <si>
    <t>BS Industrial Engineering/Diploma in Public Management</t>
  </si>
  <si>
    <t>2005853783</t>
  </si>
  <si>
    <t>1211-2412-7163</t>
  </si>
  <si>
    <t>0802-5762-0488</t>
  </si>
  <si>
    <t>458-801-002</t>
  </si>
  <si>
    <t>0916-155-3299</t>
  </si>
  <si>
    <t>(046) 853-1481</t>
  </si>
  <si>
    <t>lexteranabe@yahoo.com</t>
  </si>
  <si>
    <t>OSEC-DOHB-CMT2-270022-2022</t>
  </si>
  <si>
    <t>Chemist II</t>
  </si>
  <si>
    <t>Chemist</t>
  </si>
  <si>
    <t>Dultra</t>
  </si>
  <si>
    <t>Evangele Rose</t>
  </si>
  <si>
    <t>Tabigue</t>
  </si>
  <si>
    <t>Mabini, Bohol</t>
  </si>
  <si>
    <t>369 Sitio Pugadlawin</t>
  </si>
  <si>
    <t>Almanza Dos</t>
  </si>
  <si>
    <t>1750</t>
  </si>
  <si>
    <t>BS Chemistry</t>
  </si>
  <si>
    <t>0013625</t>
  </si>
  <si>
    <t>2005757317</t>
  </si>
  <si>
    <t>1211-6080-1233</t>
  </si>
  <si>
    <t>0125-0084-1158</t>
  </si>
  <si>
    <t>334-131-489</t>
  </si>
  <si>
    <t>0945-728-0957</t>
  </si>
  <si>
    <t>erdultra@yahoo.com</t>
  </si>
  <si>
    <t>OSEC-DOHB-MDTK2-270039-2022</t>
  </si>
  <si>
    <t>Medical Technologist II</t>
  </si>
  <si>
    <t>Cadaon</t>
  </si>
  <si>
    <t>Arabella Rinah</t>
  </si>
  <si>
    <t>Naujan, Oriental Mindoro</t>
  </si>
  <si>
    <t>B9 L5 T. Jefferson Ph. 2, Princeton Heights Subd.</t>
  </si>
  <si>
    <t>Mambog IV</t>
  </si>
  <si>
    <t>0030359</t>
  </si>
  <si>
    <t>2002042086</t>
  </si>
  <si>
    <t>1050-1303-5178</t>
  </si>
  <si>
    <t>0900-0460-035</t>
  </si>
  <si>
    <t>179-622-238</t>
  </si>
  <si>
    <t>0923-900-1285</t>
  </si>
  <si>
    <t>arabellrinah_cadaon@yahoo.com</t>
  </si>
  <si>
    <t>OSEC-DOHB-MDTK2-270040-2022</t>
  </si>
  <si>
    <t>Hadji Ali</t>
  </si>
  <si>
    <t xml:space="preserve">Norhana </t>
  </si>
  <si>
    <t>Mipanga</t>
  </si>
  <si>
    <t>Lanao Del Sur</t>
  </si>
  <si>
    <t>B13 L8 Fairgrounds Vallejo Place IV</t>
  </si>
  <si>
    <t>Pasong Buaya II</t>
  </si>
  <si>
    <t>0075439</t>
  </si>
  <si>
    <t>2005932063</t>
  </si>
  <si>
    <t>1211-7207-4172</t>
  </si>
  <si>
    <t>0205-1174-0755</t>
  </si>
  <si>
    <t>210-489-754</t>
  </si>
  <si>
    <t>0936-157-3886</t>
  </si>
  <si>
    <t>norhana_hadjiali@yahoo.com</t>
  </si>
  <si>
    <t>OSEC-DOHB-MDTK2-270110-2020</t>
  </si>
  <si>
    <t>Amon</t>
  </si>
  <si>
    <t>Charlemagne</t>
  </si>
  <si>
    <t>182 By-Pass</t>
  </si>
  <si>
    <t>Tubuan II</t>
  </si>
  <si>
    <t>Silang</t>
  </si>
  <si>
    <t>0095121</t>
  </si>
  <si>
    <t>2006407365</t>
  </si>
  <si>
    <t>1212-4302-5205</t>
  </si>
  <si>
    <t>0825-3030-3442</t>
  </si>
  <si>
    <t>356-312-501</t>
  </si>
  <si>
    <t>0917-637-8169</t>
  </si>
  <si>
    <t>mheg12amon@gmail.com</t>
  </si>
  <si>
    <t>OSEC-DOHB-MDTK2-270111-2020</t>
  </si>
  <si>
    <t>Abratigue</t>
  </si>
  <si>
    <t>Fred Neil</t>
  </si>
  <si>
    <t>Austria</t>
  </si>
  <si>
    <t>Lopez, Quezon</t>
  </si>
  <si>
    <t>Block 5 Lot 3 Phase 2, Salinas Ville</t>
  </si>
  <si>
    <t>Salinas 1</t>
  </si>
  <si>
    <t>0093229</t>
  </si>
  <si>
    <t>2006464445</t>
  </si>
  <si>
    <t>1212-4823-7210</t>
  </si>
  <si>
    <t>0802-6645-4884</t>
  </si>
  <si>
    <t>751-196-461</t>
  </si>
  <si>
    <t>0915-924-6521</t>
  </si>
  <si>
    <t>fredabratigue@gmail.com</t>
  </si>
  <si>
    <t>OSEC-DOHB-NUR1-270025-2022</t>
  </si>
  <si>
    <t>Nurse I</t>
  </si>
  <si>
    <t>Albert</t>
  </si>
  <si>
    <t>P9 B9 L32 Grover St., Covina Subd.</t>
  </si>
  <si>
    <t>0289180</t>
  </si>
  <si>
    <t>2001397252</t>
  </si>
  <si>
    <t>1210-0090-5222</t>
  </si>
  <si>
    <t>1908-9722-1776</t>
  </si>
  <si>
    <t>933-112-925</t>
  </si>
  <si>
    <t>0939-005-5445</t>
  </si>
  <si>
    <t>(046) 458-9527</t>
  </si>
  <si>
    <t>albertalegre011075@gmail.com</t>
  </si>
  <si>
    <t>OSEC-DOHB-NUR1-270026-2022</t>
  </si>
  <si>
    <t>Naniong</t>
  </si>
  <si>
    <t>Crizelle Ann</t>
  </si>
  <si>
    <t>Rollo</t>
  </si>
  <si>
    <t>Lot 2 Block 5 Cervantes, Phase 6, Town and Country West</t>
  </si>
  <si>
    <t>0832549</t>
  </si>
  <si>
    <t>2006523896</t>
  </si>
  <si>
    <t>1211-3784-4623</t>
  </si>
  <si>
    <t>0802-5767-9830</t>
  </si>
  <si>
    <t>455-392-485</t>
  </si>
  <si>
    <t>0991-355-5655</t>
  </si>
  <si>
    <t>(046) 970-9451</t>
  </si>
  <si>
    <t>zellybean10@gmail.com</t>
  </si>
  <si>
    <t>OSEC-DOHB-NUR1-270027-2022</t>
  </si>
  <si>
    <t>Manansala</t>
  </si>
  <si>
    <t>Irwin</t>
  </si>
  <si>
    <t>Macabebe, Pampanga</t>
  </si>
  <si>
    <t>B3 L30 Mt. Mayon St., Soldier Hills IV</t>
  </si>
  <si>
    <t>Molino VI</t>
  </si>
  <si>
    <t>0674509</t>
  </si>
  <si>
    <t>2006203440</t>
  </si>
  <si>
    <t>1210-9161-5469</t>
  </si>
  <si>
    <t>0102-5506-0258</t>
  </si>
  <si>
    <t>437-481-611</t>
  </si>
  <si>
    <t>0915-471-6643</t>
  </si>
  <si>
    <t>irwinmanansala@gmail.com</t>
  </si>
  <si>
    <t>OSEC-DOHB-NUR1-270028-2022</t>
  </si>
  <si>
    <t>Undap</t>
  </si>
  <si>
    <t>Michael Angelo</t>
  </si>
  <si>
    <t>Cinco</t>
  </si>
  <si>
    <t>Blocl 9 Lot 14 Aquamarine St., Casimiro Townhomes</t>
  </si>
  <si>
    <t>Pulanglupa</t>
  </si>
  <si>
    <t>1774</t>
  </si>
  <si>
    <t>0533648</t>
  </si>
  <si>
    <t>2005304234</t>
  </si>
  <si>
    <t>1210-5462-8127</t>
  </si>
  <si>
    <t>0105-0805-7003</t>
  </si>
  <si>
    <t>288-264-164</t>
  </si>
  <si>
    <t>0968-893-6666</t>
  </si>
  <si>
    <t>sfds128@yahoo.com</t>
  </si>
  <si>
    <t>OSEC-DOHB-NUR1-270029-2022</t>
  </si>
  <si>
    <t>Mojica</t>
  </si>
  <si>
    <t>Maragondon, Cavite</t>
  </si>
  <si>
    <t>Block D Lot 47, Christine Village</t>
  </si>
  <si>
    <t>Biga</t>
  </si>
  <si>
    <t>0646075</t>
  </si>
  <si>
    <t>2005914708</t>
  </si>
  <si>
    <t>1211-5827-1080</t>
  </si>
  <si>
    <t>0805-0748-9358</t>
  </si>
  <si>
    <t>258-880-384</t>
  </si>
  <si>
    <t>0976-142-4154</t>
  </si>
  <si>
    <t>jermacemojica18@gmail.com</t>
  </si>
  <si>
    <t>OSEC-DOHB-NUR1-270030-2022</t>
  </si>
  <si>
    <t>Saavedra</t>
  </si>
  <si>
    <t>Niño</t>
  </si>
  <si>
    <t>Maceda</t>
  </si>
  <si>
    <t>Block 10 Lot 16 Carnation, Addas 4A</t>
  </si>
  <si>
    <t>0893658</t>
  </si>
  <si>
    <t>2006464651</t>
  </si>
  <si>
    <t>1212-1160-5981</t>
  </si>
  <si>
    <t>0302-6203-9095</t>
  </si>
  <si>
    <t>703-656-163</t>
  </si>
  <si>
    <t>0976-123-3160</t>
  </si>
  <si>
    <t>onin.saavedra@yahoo.com</t>
  </si>
  <si>
    <t>OSEC-DOHB-NUR1-270031-2022</t>
  </si>
  <si>
    <t>Dalagon</t>
  </si>
  <si>
    <t>Michelle</t>
  </si>
  <si>
    <t>Lagod</t>
  </si>
  <si>
    <t>Dipolog City</t>
  </si>
  <si>
    <t>Victoria Bldg 22 Unit 309 La Joya St., Urban Deca Homes Hampton</t>
  </si>
  <si>
    <t>0879983</t>
  </si>
  <si>
    <t>1211-0027-5292</t>
  </si>
  <si>
    <t>1902-6794-9992</t>
  </si>
  <si>
    <t>259-826-485</t>
  </si>
  <si>
    <t>0994-055-0074</t>
  </si>
  <si>
    <t>dalagonmichelle84@gmail.com</t>
  </si>
  <si>
    <t>OSEC-DOHB-NUR1-270032-2022</t>
  </si>
  <si>
    <t>Vilanio</t>
  </si>
  <si>
    <t>Sheena Marie</t>
  </si>
  <si>
    <t>237 Gulod</t>
  </si>
  <si>
    <t>Bendita I</t>
  </si>
  <si>
    <t>0854547</t>
  </si>
  <si>
    <t>2006347275</t>
  </si>
  <si>
    <t>1212-4419-8856</t>
  </si>
  <si>
    <t>0805-1478-5981</t>
  </si>
  <si>
    <t>465-705-735</t>
  </si>
  <si>
    <t>0917-157-7661</t>
  </si>
  <si>
    <t>smvilanio@yahoo.com</t>
  </si>
  <si>
    <t>OSEC-DOHB-NUR1-270033-2022</t>
  </si>
  <si>
    <t>Aluyen</t>
  </si>
  <si>
    <t>Jean</t>
  </si>
  <si>
    <t>Fermin</t>
  </si>
  <si>
    <t>Claveria, Cagayan Valley</t>
  </si>
  <si>
    <t>Blk 01 Lot 129, Sta. Elena, Kennsington Subd. Ph 17 Lancaster</t>
  </si>
  <si>
    <t>0584014</t>
  </si>
  <si>
    <t>2006407355</t>
  </si>
  <si>
    <t>1210-0133-4881</t>
  </si>
  <si>
    <t>0202-5376-2145</t>
  </si>
  <si>
    <t>711-117-575</t>
  </si>
  <si>
    <t>0945-376-0246</t>
  </si>
  <si>
    <t>jeanaluyen@yahoo.com</t>
  </si>
  <si>
    <t>OSEC-DOHB-NUR1-270034-2022</t>
  </si>
  <si>
    <t>Torres</t>
  </si>
  <si>
    <t>Krystel-Marie</t>
  </si>
  <si>
    <t>Veloro</t>
  </si>
  <si>
    <t>Block 46 Lot 5, Matapat Street</t>
  </si>
  <si>
    <t>San Miguel II</t>
  </si>
  <si>
    <t>0879575</t>
  </si>
  <si>
    <t>1210-9760-4411</t>
  </si>
  <si>
    <t>0105-1729-8625</t>
  </si>
  <si>
    <t>315-143-725</t>
  </si>
  <si>
    <t>0994-889-7221</t>
  </si>
  <si>
    <t>krystelmarietorres@gmail.com</t>
  </si>
  <si>
    <t>OSEC-DOHB-NUR1-270035-2022</t>
  </si>
  <si>
    <t>Uyag</t>
  </si>
  <si>
    <t>Carnation</t>
  </si>
  <si>
    <t>Parot</t>
  </si>
  <si>
    <t>Block 26 Lot 40 Barcelona St., Costa Verde</t>
  </si>
  <si>
    <t>Tejero Convention</t>
  </si>
  <si>
    <t>Rosario</t>
  </si>
  <si>
    <t>4106</t>
  </si>
  <si>
    <t>0314708</t>
  </si>
  <si>
    <t>2005992814</t>
  </si>
  <si>
    <t>1210-0280-6098</t>
  </si>
  <si>
    <t>1902-5591-1698</t>
  </si>
  <si>
    <t>199-638-820</t>
  </si>
  <si>
    <t>0929-260-0719</t>
  </si>
  <si>
    <t>(046) 443-2350</t>
  </si>
  <si>
    <t>uyagcarnation@gmail.com</t>
  </si>
  <si>
    <t>OSEC-DOHB-NUR1-270036-2022</t>
  </si>
  <si>
    <t>Gumama</t>
  </si>
  <si>
    <t>Hanna</t>
  </si>
  <si>
    <t>Lidangan</t>
  </si>
  <si>
    <t>Maliwanag, Pantao, Lanao Del Norte</t>
  </si>
  <si>
    <t>Unit 2 4th Floor Macaangcos Bldg., Arlegui St., Quezon Boulevard</t>
  </si>
  <si>
    <t>383 Quiapo</t>
  </si>
  <si>
    <t>1001</t>
  </si>
  <si>
    <t>0987380</t>
  </si>
  <si>
    <t>1213-3876-0801</t>
  </si>
  <si>
    <t>1525-0928-1488</t>
  </si>
  <si>
    <t>648-518-882</t>
  </si>
  <si>
    <t>0963-830-3051</t>
  </si>
  <si>
    <t>hannagumama0225@gmail.com</t>
  </si>
  <si>
    <t>OSEC-DOHB-NUR1-270037-2022</t>
  </si>
  <si>
    <t>Coleen</t>
  </si>
  <si>
    <t>Block 10 Lot 3 Marbella, Maravilla</t>
  </si>
  <si>
    <t>0964371</t>
  </si>
  <si>
    <t>2006510809</t>
  </si>
  <si>
    <t>1213-2114-9658</t>
  </si>
  <si>
    <t>0825-0544-8029</t>
  </si>
  <si>
    <t>634-372-985</t>
  </si>
  <si>
    <t>0946-604-2776</t>
  </si>
  <si>
    <t>siazoncoleen@gmail.com</t>
  </si>
  <si>
    <t>OSEC-DOHB-NUR1-270038-2022</t>
  </si>
  <si>
    <t>Moreno</t>
  </si>
  <si>
    <t xml:space="preserve">Veronica </t>
  </si>
  <si>
    <t>Taguig, Metro Manila</t>
  </si>
  <si>
    <t>#57 Blk 13 Lot 24 Chrysantheum, Parkplace Village</t>
  </si>
  <si>
    <t>Anabu 1-D</t>
  </si>
  <si>
    <t>0531851</t>
  </si>
  <si>
    <t>1210-2796-3250</t>
  </si>
  <si>
    <t>0802-5330-8919</t>
  </si>
  <si>
    <t>621-412-207</t>
  </si>
  <si>
    <t>0998-543-7852</t>
  </si>
  <si>
    <t>(046) 718-8183</t>
  </si>
  <si>
    <t>moreno.vs0328@gmail.com</t>
  </si>
  <si>
    <t>OSEC-DOHB-NUR1-270077-2020</t>
  </si>
  <si>
    <t>Comedia</t>
  </si>
  <si>
    <t>Angelo</t>
  </si>
  <si>
    <t>Cuenco</t>
  </si>
  <si>
    <t>B4 L6</t>
  </si>
  <si>
    <t>Victoria Reyes</t>
  </si>
  <si>
    <t>Master's in Nursing</t>
  </si>
  <si>
    <t>0671799</t>
  </si>
  <si>
    <t>2006407370</t>
  </si>
  <si>
    <t>1211-0142-8989</t>
  </si>
  <si>
    <t>0205-0948-8801</t>
  </si>
  <si>
    <t>309-231-259</t>
  </si>
  <si>
    <t>0908-709-5758</t>
  </si>
  <si>
    <t>gelocomediarn@gmail.com</t>
  </si>
  <si>
    <t>OSEC-DOHB-NUR1-270078-2020</t>
  </si>
  <si>
    <t>Dizon</t>
  </si>
  <si>
    <t>Reina</t>
  </si>
  <si>
    <t>Peralta</t>
  </si>
  <si>
    <t>B45 L4</t>
  </si>
  <si>
    <t>San Antonio De Padua</t>
  </si>
  <si>
    <t>0505832</t>
  </si>
  <si>
    <t>2006420559</t>
  </si>
  <si>
    <t>1211-8795-7628</t>
  </si>
  <si>
    <t>0805-0933-9094</t>
  </si>
  <si>
    <t>314-990-240</t>
  </si>
  <si>
    <t>0956-487-3300</t>
  </si>
  <si>
    <t>reinamanzanoperalta@gmail.com</t>
  </si>
  <si>
    <t>OSEC-DOHB-NUR1-270079-2020</t>
  </si>
  <si>
    <t>Tiña</t>
  </si>
  <si>
    <t>Maria Victoria</t>
  </si>
  <si>
    <t>Baltazar</t>
  </si>
  <si>
    <t>Block 3 Lot 20, Road 21, Acacia Townhomes</t>
  </si>
  <si>
    <t>Toclong</t>
  </si>
  <si>
    <t>4104</t>
  </si>
  <si>
    <t>0305085</t>
  </si>
  <si>
    <t>1210-0034-7434</t>
  </si>
  <si>
    <t>1908-9302-7401</t>
  </si>
  <si>
    <t>239-220-803</t>
  </si>
  <si>
    <t>0939-726-2254</t>
  </si>
  <si>
    <t>mariavictoriatina0504@gmail.com</t>
  </si>
  <si>
    <t>OSEC-DOHB-NUR1-270080-2020</t>
  </si>
  <si>
    <t>vice Bulante, Promotion</t>
  </si>
  <si>
    <t>OSEC-DOHB-NUR1-270081-2020</t>
  </si>
  <si>
    <t>Jepanie</t>
  </si>
  <si>
    <t>Topacio</t>
  </si>
  <si>
    <t>Block 17 Lot 16 San Benito Homes</t>
  </si>
  <si>
    <t>Pasong Camachile II</t>
  </si>
  <si>
    <t>0819779</t>
  </si>
  <si>
    <t>1212-2338-9313</t>
  </si>
  <si>
    <t>0802-5764-0683</t>
  </si>
  <si>
    <t>348-874-255</t>
  </si>
  <si>
    <t>0968-703-2997</t>
  </si>
  <si>
    <t>(046) 8941-415</t>
  </si>
  <si>
    <t>jepaniemorales@gmail.com</t>
  </si>
  <si>
    <t>OSEC-DOHB-NUR1-270082-2020</t>
  </si>
  <si>
    <t>Busico</t>
  </si>
  <si>
    <t>Kristhea Mae</t>
  </si>
  <si>
    <t>Tuala</t>
  </si>
  <si>
    <t>Dapitan City</t>
  </si>
  <si>
    <t>Block 5 Lot 35 Goldfinch St., Westwood 5</t>
  </si>
  <si>
    <t>Pasong Camachile I</t>
  </si>
  <si>
    <t>0731294</t>
  </si>
  <si>
    <t>2006334885</t>
  </si>
  <si>
    <t>1210-1143-2915</t>
  </si>
  <si>
    <t>1205-0879-7082</t>
  </si>
  <si>
    <t>296-760-258</t>
  </si>
  <si>
    <t>0977-780-2571</t>
  </si>
  <si>
    <t>kristheamaeb@gmail.com</t>
  </si>
  <si>
    <t>OSEC-DOHB-NUR1-270083-2020</t>
  </si>
  <si>
    <t>Butcon</t>
  </si>
  <si>
    <t>Mary Joyce</t>
  </si>
  <si>
    <t>Rodriguez</t>
  </si>
  <si>
    <t>Block 7 Lot 2 Johnson St., Sarreal Village</t>
  </si>
  <si>
    <t>Bucandala II</t>
  </si>
  <si>
    <t>0594287</t>
  </si>
  <si>
    <t>2006396192</t>
  </si>
  <si>
    <t>1210-3072-8618</t>
  </si>
  <si>
    <t>1920-0792-1620</t>
  </si>
  <si>
    <t>409-471-269</t>
  </si>
  <si>
    <t>0916-248-3365</t>
  </si>
  <si>
    <t>mjbutcon@yahoo.com</t>
  </si>
  <si>
    <t>OSEC-DOHB-NUR1-270084-2020</t>
  </si>
  <si>
    <t>Niones</t>
  </si>
  <si>
    <t>Jenni Faye</t>
  </si>
  <si>
    <t>Oliveros</t>
  </si>
  <si>
    <t>Maria, Siquijor</t>
  </si>
  <si>
    <t>Block 1 Lot 57, Amazon, KS 17 Lancaster New City</t>
  </si>
  <si>
    <t>0519589</t>
  </si>
  <si>
    <t>2006407409</t>
  </si>
  <si>
    <t>1210-2604-8495</t>
  </si>
  <si>
    <t>1202-5208-6051</t>
  </si>
  <si>
    <t>489-261-488</t>
  </si>
  <si>
    <t>0927-117-8845</t>
  </si>
  <si>
    <t>(046) 501-745</t>
  </si>
  <si>
    <t>tzoopwetty@gmail.com</t>
  </si>
  <si>
    <t>OSEC-DOHB-NUR1-270085-2020</t>
  </si>
  <si>
    <t>Regalado</t>
  </si>
  <si>
    <t>Juan Yuri Mikhail</t>
  </si>
  <si>
    <t>Almario</t>
  </si>
  <si>
    <t>108 Avenida Rizal, Bahayang Pag-Asa</t>
  </si>
  <si>
    <t>Mariano Espeleta 1</t>
  </si>
  <si>
    <t>0603480</t>
  </si>
  <si>
    <t>1210-2085-4355</t>
  </si>
  <si>
    <t>0205-0800-7486</t>
  </si>
  <si>
    <t>308-746-665</t>
  </si>
  <si>
    <t>0917-813-2165</t>
  </si>
  <si>
    <t>(046) 476-3330</t>
  </si>
  <si>
    <t>yuriregalado30@gmail.com</t>
  </si>
  <si>
    <t>OSEC-DOHB-NUR1-270086-2020</t>
  </si>
  <si>
    <t>Abion</t>
  </si>
  <si>
    <t>Mary Ann</t>
  </si>
  <si>
    <t>Pacatang</t>
  </si>
  <si>
    <t>3 Nia Road, Kudarat St. Phase 6, Bahayang Pag Asa</t>
  </si>
  <si>
    <t>Molino V</t>
  </si>
  <si>
    <t>0603007</t>
  </si>
  <si>
    <t>2006396213</t>
  </si>
  <si>
    <t>1210-2048-4000</t>
  </si>
  <si>
    <t>2102-5065-0447</t>
  </si>
  <si>
    <t>418-646-665</t>
  </si>
  <si>
    <t>0927-497-7549</t>
  </si>
  <si>
    <t>(046) 517-6711</t>
  </si>
  <si>
    <t>maryann.abion@gmail.com</t>
  </si>
  <si>
    <t>OSEC-DOHB-NUR1-270087-2020</t>
  </si>
  <si>
    <t>Villaseñor</t>
  </si>
  <si>
    <t>Jason</t>
  </si>
  <si>
    <t>Cunanan</t>
  </si>
  <si>
    <t>Block 5 Lot 17-19 Castro St., Woodsite 4</t>
  </si>
  <si>
    <t>0643825</t>
  </si>
  <si>
    <t>2004800984</t>
  </si>
  <si>
    <t>1211-5811-0086</t>
  </si>
  <si>
    <t>0300-0251-4679</t>
  </si>
  <si>
    <t>415-941-608</t>
  </si>
  <si>
    <t>0906-448-9681</t>
  </si>
  <si>
    <t>jasonvillasenor080189@gmail.com</t>
  </si>
  <si>
    <t>OSEC-DOHB-NUR1-270088-2020</t>
  </si>
  <si>
    <t>Ferrera</t>
  </si>
  <si>
    <t>Rachel</t>
  </si>
  <si>
    <t>Fababeir</t>
  </si>
  <si>
    <t>Banton, Romblon</t>
  </si>
  <si>
    <t>Block 18 Lot 1 Phase 4 Boston Heights</t>
  </si>
  <si>
    <t>0786291</t>
  </si>
  <si>
    <t>2006360689</t>
  </si>
  <si>
    <t>1210-5605-2389</t>
  </si>
  <si>
    <t>0105-1480-3558</t>
  </si>
  <si>
    <t>312-410-898</t>
  </si>
  <si>
    <t>0998-908-7520</t>
  </si>
  <si>
    <t>rachelferrera.rf@gmail.com</t>
  </si>
  <si>
    <t>OSEC-DOHB-NUR1-270089-2020</t>
  </si>
  <si>
    <t>Ma. Rowena</t>
  </si>
  <si>
    <t>Calvario</t>
  </si>
  <si>
    <t>Block 2 Lot 18 Joy St., Good Family Homes</t>
  </si>
  <si>
    <t>Anabu I-A</t>
  </si>
  <si>
    <t>0523323</t>
  </si>
  <si>
    <t>2006098895</t>
  </si>
  <si>
    <t>1210-2292-3985</t>
  </si>
  <si>
    <t>0202-5186-9341</t>
  </si>
  <si>
    <t>299-305-248</t>
  </si>
  <si>
    <t>0945-633-0517</t>
  </si>
  <si>
    <t>(046) 431-1639</t>
  </si>
  <si>
    <t>rosariomarowena@gmail.com</t>
  </si>
  <si>
    <t>OSEC-DOHB-NUR1-270090-2020</t>
  </si>
  <si>
    <t>Syrel</t>
  </si>
  <si>
    <t>Perez</t>
  </si>
  <si>
    <t>154 Ave Maria St.</t>
  </si>
  <si>
    <t>Silangan I</t>
  </si>
  <si>
    <t>0864932</t>
  </si>
  <si>
    <t>2006306651</t>
  </si>
  <si>
    <t>1211-6074-4985</t>
  </si>
  <si>
    <t>0802-6044-7843</t>
  </si>
  <si>
    <t>496-585-076</t>
  </si>
  <si>
    <t>0923-176-4075</t>
  </si>
  <si>
    <t>(046) 438-7377</t>
  </si>
  <si>
    <t>syrelgonzales@rocketmail.com</t>
  </si>
  <si>
    <t>OSEC-DOHB-NUR1-270091-2020</t>
  </si>
  <si>
    <t>Herbsman</t>
  </si>
  <si>
    <t>Lalaine</t>
  </si>
  <si>
    <t>Sahagun</t>
  </si>
  <si>
    <t>0001 Ronquillo</t>
  </si>
  <si>
    <t>19-Gemini</t>
  </si>
  <si>
    <t>0850569</t>
  </si>
  <si>
    <t>2006396193</t>
  </si>
  <si>
    <t>1212-0219-0160</t>
  </si>
  <si>
    <t>0802-5493-0362</t>
  </si>
  <si>
    <t>246-603-587</t>
  </si>
  <si>
    <t>0915-653-3014</t>
  </si>
  <si>
    <t>471-3862</t>
  </si>
  <si>
    <t>laineherbsman31@yahoo.com</t>
  </si>
  <si>
    <t>OSEC-DOHB-NUR1-270092-2020</t>
  </si>
  <si>
    <t>Vice Clapano, Resigned</t>
  </si>
  <si>
    <t>OSEC-DOHB-NUR1-270093-2020</t>
  </si>
  <si>
    <t>Mark Greyson</t>
  </si>
  <si>
    <t>Zamora</t>
  </si>
  <si>
    <t>Pag-asa I</t>
  </si>
  <si>
    <t>0758140</t>
  </si>
  <si>
    <t>2006464461</t>
  </si>
  <si>
    <t>1210-8380-1263</t>
  </si>
  <si>
    <t>0105-1376-7043</t>
  </si>
  <si>
    <t>311-015-473</t>
  </si>
  <si>
    <t>0916-305-6465</t>
  </si>
  <si>
    <t>markgreysonblanco@gmail.com</t>
  </si>
  <si>
    <t>OSEC-DOHB-NUR1-270094-2020</t>
  </si>
  <si>
    <t>Evangelista</t>
  </si>
  <si>
    <t>Joan Dian</t>
  </si>
  <si>
    <t>Saribay</t>
  </si>
  <si>
    <t>Block 6 Lot 10 Fremont St., Pacific Woods</t>
  </si>
  <si>
    <t>Carsadang Bago II</t>
  </si>
  <si>
    <t>0853796</t>
  </si>
  <si>
    <t>2006396191</t>
  </si>
  <si>
    <t>1212-1923-6893</t>
  </si>
  <si>
    <t>0102-8888-8656</t>
  </si>
  <si>
    <t>304-761-263</t>
  </si>
  <si>
    <t>0999-868-3415</t>
  </si>
  <si>
    <t>(046) 851-8801</t>
  </si>
  <si>
    <t>dimes42814@gmail.com</t>
  </si>
  <si>
    <t>OSEC-DOHB-NUR1-270095-2020</t>
  </si>
  <si>
    <t>Arandia</t>
  </si>
  <si>
    <t>Hershey Lynn</t>
  </si>
  <si>
    <t>Imus, Cavite</t>
  </si>
  <si>
    <t>Block 7 Lot 11 Riverlane Trail</t>
  </si>
  <si>
    <t>Tapia</t>
  </si>
  <si>
    <t>0862587</t>
  </si>
  <si>
    <t>2003918769</t>
  </si>
  <si>
    <t>1211-5678-2466</t>
  </si>
  <si>
    <t>0800-0085-5883</t>
  </si>
  <si>
    <t>267-279-522</t>
  </si>
  <si>
    <t>0916-102-6814</t>
  </si>
  <si>
    <t>(046) 423-7791</t>
  </si>
  <si>
    <t>hersheyarandia@gmail.com</t>
  </si>
  <si>
    <t>OSEC-DOHB-NUR1-270096-2020</t>
  </si>
  <si>
    <t>Oliva</t>
  </si>
  <si>
    <t>Jiezl</t>
  </si>
  <si>
    <t>Block 24 Lot 1 Heather St., Amaryllis Corner, Parksville Masaito</t>
  </si>
  <si>
    <t>Alapan II-A</t>
  </si>
  <si>
    <t xml:space="preserve">             </t>
  </si>
  <si>
    <t>0935996</t>
  </si>
  <si>
    <t>2006438874</t>
  </si>
  <si>
    <t>1212-3047-5057</t>
  </si>
  <si>
    <t>0120-0214-9859</t>
  </si>
  <si>
    <t>626-557-366</t>
  </si>
  <si>
    <t>0936-692-1775</t>
  </si>
  <si>
    <t>olivajiezl03@gmail.com</t>
  </si>
  <si>
    <t>OSEC-DOHB-NUR1-270097-2020</t>
  </si>
  <si>
    <t>Violago</t>
  </si>
  <si>
    <t xml:space="preserve">Jeffrey </t>
  </si>
  <si>
    <t>Valdez</t>
  </si>
  <si>
    <t>San Miguel, Bulacan</t>
  </si>
  <si>
    <t>365 F. Miranda St., Purok Sineguelasan</t>
  </si>
  <si>
    <t>Sinbinali</t>
  </si>
  <si>
    <t>0930037</t>
  </si>
  <si>
    <t>1210-9821-1123</t>
  </si>
  <si>
    <t>0205-0692-1431</t>
  </si>
  <si>
    <t>270-962-494</t>
  </si>
  <si>
    <t>0908-573-7773</t>
  </si>
  <si>
    <t>violagojeffrey042189@gmail.com</t>
  </si>
  <si>
    <t>OSEC-DOHB-NUR1-270098-2020</t>
  </si>
  <si>
    <t>Milca</t>
  </si>
  <si>
    <t>Richard Jhune</t>
  </si>
  <si>
    <t>Cañete</t>
  </si>
  <si>
    <t>P1 B6 L22 El Salvador St., San Marino City</t>
  </si>
  <si>
    <t>Salawag</t>
  </si>
  <si>
    <t>0627366</t>
  </si>
  <si>
    <t>2005917197</t>
  </si>
  <si>
    <t>1210-0813-5087</t>
  </si>
  <si>
    <t>0802-5320-2150</t>
  </si>
  <si>
    <t>411-385-178</t>
  </si>
  <si>
    <t>0975-011-1947</t>
  </si>
  <si>
    <t>richmequick@gmail.com</t>
  </si>
  <si>
    <t>OSEC-DOHB-NUR1-270099-2020</t>
  </si>
  <si>
    <t>Maessy Aljean</t>
  </si>
  <si>
    <t>Sales</t>
  </si>
  <si>
    <t>B5 L14 KS8 Lancaster</t>
  </si>
  <si>
    <t>0899831</t>
  </si>
  <si>
    <t>2005911992</t>
  </si>
  <si>
    <t>1212-7555-8293</t>
  </si>
  <si>
    <t>0102-6337-6094</t>
  </si>
  <si>
    <t>771-184-794</t>
  </si>
  <si>
    <t>0936-401-0860</t>
  </si>
  <si>
    <t>olivamaessyaljean@gmail.com</t>
  </si>
  <si>
    <t>OSEC-DOHB-NUR1-270100-2020</t>
  </si>
  <si>
    <t>Geda</t>
  </si>
  <si>
    <t>Aizen</t>
  </si>
  <si>
    <t>Juanco</t>
  </si>
  <si>
    <t>Block 4 Lot 16R Purok 14 Panungyanan Rd, Luck Prince Homes</t>
  </si>
  <si>
    <t>San Agustin</t>
  </si>
  <si>
    <t>0527229</t>
  </si>
  <si>
    <t>1211-2653-7370</t>
  </si>
  <si>
    <t>0202-6314-7511</t>
  </si>
  <si>
    <t>429-200-835</t>
  </si>
  <si>
    <t>0927-854-4253</t>
  </si>
  <si>
    <t>(046) 889-8293</t>
  </si>
  <si>
    <t>aizen.juanco@yahoo.com</t>
  </si>
  <si>
    <t>OSEC-DOHB-NUR1-270101-2020</t>
  </si>
  <si>
    <t>Pamaran</t>
  </si>
  <si>
    <t>Licel</t>
  </si>
  <si>
    <t>Bodestyne</t>
  </si>
  <si>
    <t>089 Evangelista St.</t>
  </si>
  <si>
    <t>Talaba 4</t>
  </si>
  <si>
    <t>0924905</t>
  </si>
  <si>
    <t>2006497330</t>
  </si>
  <si>
    <t>1211-0267-6051</t>
  </si>
  <si>
    <t>0205-1038-7830</t>
  </si>
  <si>
    <t>433-239-965</t>
  </si>
  <si>
    <t>0936-551-0402</t>
  </si>
  <si>
    <t>licelpamaran25@gmail.com</t>
  </si>
  <si>
    <t>OSEC-DOHB-NUR1-270102-2020</t>
  </si>
  <si>
    <t>Caspillo</t>
  </si>
  <si>
    <t>Rachelle</t>
  </si>
  <si>
    <t>Moral</t>
  </si>
  <si>
    <t>Abucay, Bataan</t>
  </si>
  <si>
    <t>Block 2 Lot 15, 17 Chanel St., Silver Homes 1 Subd.</t>
  </si>
  <si>
    <t>Real II</t>
  </si>
  <si>
    <t>1002027</t>
  </si>
  <si>
    <t>2006578866</t>
  </si>
  <si>
    <t>1340-0031-5688</t>
  </si>
  <si>
    <t>0605-0061-0142</t>
  </si>
  <si>
    <t>306-025-448</t>
  </si>
  <si>
    <t>0962-443-4820</t>
  </si>
  <si>
    <t>rachellemoral29@gmail.com</t>
  </si>
  <si>
    <t>OSEC-DOHB-NUR1-270103-2020</t>
  </si>
  <si>
    <t>Medina</t>
  </si>
  <si>
    <t>Donalyne</t>
  </si>
  <si>
    <t>Talon</t>
  </si>
  <si>
    <t>Malagasang 2ND-G</t>
  </si>
  <si>
    <t>0502842</t>
  </si>
  <si>
    <t>2006396186</t>
  </si>
  <si>
    <t>1210-2422-8258</t>
  </si>
  <si>
    <t>0805-1227-8020</t>
  </si>
  <si>
    <t>424-160-519</t>
  </si>
  <si>
    <t>0995-914-4452</t>
  </si>
  <si>
    <t>donalynemedina@gmail.com</t>
  </si>
  <si>
    <t>OSEC-DOHB-NUR1-270104-2020</t>
  </si>
  <si>
    <t>Nieto</t>
  </si>
  <si>
    <t xml:space="preserve">Rhona Sarah </t>
  </si>
  <si>
    <t>Purok 7 Kap. Moreno St., Cocoville Subd.</t>
  </si>
  <si>
    <t>Calumpang Cerca</t>
  </si>
  <si>
    <t>Indang</t>
  </si>
  <si>
    <t>4122</t>
  </si>
  <si>
    <t>0420314</t>
  </si>
  <si>
    <t>2003497875</t>
  </si>
  <si>
    <t>1040-0187-7730</t>
  </si>
  <si>
    <t>0200-0223-8404</t>
  </si>
  <si>
    <t>245-824-245</t>
  </si>
  <si>
    <t>0923-910-3362</t>
  </si>
  <si>
    <t>onahnieto77@gmail.com</t>
  </si>
  <si>
    <t>OSEC-DOHB-NUR1-270105-2020</t>
  </si>
  <si>
    <t>Arra Belle</t>
  </si>
  <si>
    <t>Pinamalayan, Oriental Mindoro</t>
  </si>
  <si>
    <t>Block 6 Lot 5 Dreamville II</t>
  </si>
  <si>
    <t>0408778</t>
  </si>
  <si>
    <t>2005758830</t>
  </si>
  <si>
    <t>1030-0140-0600</t>
  </si>
  <si>
    <t>0805-0728-9340</t>
  </si>
  <si>
    <t>267-453-824</t>
  </si>
  <si>
    <t>0921-316-1432</t>
  </si>
  <si>
    <t>(046) 431-4974</t>
  </si>
  <si>
    <t>arra_8@yahoo.com</t>
  </si>
  <si>
    <t>OSEC-DOHB-NUR1-270106-2020</t>
  </si>
  <si>
    <t>Barredo</t>
  </si>
  <si>
    <t>Christy</t>
  </si>
  <si>
    <t>Degala</t>
  </si>
  <si>
    <t>Capiz</t>
  </si>
  <si>
    <t>119 Phase 10 Francisco St., Bahayang Pag-asa Subd.</t>
  </si>
  <si>
    <t>0426</t>
  </si>
  <si>
    <t>2006360743</t>
  </si>
  <si>
    <t>1030-0321-9305</t>
  </si>
  <si>
    <t>0805-0755-4699</t>
  </si>
  <si>
    <t>261-890-461</t>
  </si>
  <si>
    <t>0967-283-5479</t>
  </si>
  <si>
    <t>barredochristy348@gmail.com</t>
  </si>
  <si>
    <t>OSEC-DOHB-NUR1-270107-2020</t>
  </si>
  <si>
    <t>Berango</t>
  </si>
  <si>
    <t>Roger Ross</t>
  </si>
  <si>
    <t>Mascardo</t>
  </si>
  <si>
    <t>Cavite City, Cavite</t>
  </si>
  <si>
    <t>247 Purok 7</t>
  </si>
  <si>
    <t>1002053</t>
  </si>
  <si>
    <t>2004895329</t>
  </si>
  <si>
    <t>1212-0797-2896</t>
  </si>
  <si>
    <t>0100-0261-3471</t>
  </si>
  <si>
    <t>318-426-001</t>
  </si>
  <si>
    <t>0908-881-1952</t>
  </si>
  <si>
    <t>rogerrossberango@gmail.com</t>
  </si>
  <si>
    <t>OSEC-DOHB-NUR1-270108-2020</t>
  </si>
  <si>
    <t>Janette</t>
  </si>
  <si>
    <t>Cayanan</t>
  </si>
  <si>
    <t>Block 2 Lot 31 Phase 5, Westwood 5 Lancaster</t>
  </si>
  <si>
    <t>0603770</t>
  </si>
  <si>
    <t>2003334236</t>
  </si>
  <si>
    <t>1211-0026-8038</t>
  </si>
  <si>
    <t>0202-5707-2925</t>
  </si>
  <si>
    <t>244-177-396</t>
  </si>
  <si>
    <t>0998-885-6344</t>
  </si>
  <si>
    <t>janettereyes1212@gmail.com</t>
  </si>
  <si>
    <t>OSEC-DOHB-NUR1-270109-2020</t>
  </si>
  <si>
    <t>Lara</t>
  </si>
  <si>
    <t>Block 9 Lot 19 Phase 2 Dreamville 4</t>
  </si>
  <si>
    <t>Alapan 1-C</t>
  </si>
  <si>
    <t>Master of Arts in Nursing</t>
  </si>
  <si>
    <t>0568917</t>
  </si>
  <si>
    <t>2004078480</t>
  </si>
  <si>
    <t>1210-4288-1499</t>
  </si>
  <si>
    <t>0802-5322-8451</t>
  </si>
  <si>
    <t>288-8115-398</t>
  </si>
  <si>
    <t>0915-929-5357</t>
  </si>
  <si>
    <t>lynneaysh@gmail.com</t>
  </si>
  <si>
    <t>OSEC-DOHB-NURS1-32-2025</t>
  </si>
  <si>
    <t>Agapito</t>
  </si>
  <si>
    <t>Joy Camille</t>
  </si>
  <si>
    <t>Nato</t>
  </si>
  <si>
    <t>Parales Compound</t>
  </si>
  <si>
    <t>0940549</t>
  </si>
  <si>
    <t>1211-4265-5243</t>
  </si>
  <si>
    <t>0802-5250-7055</t>
  </si>
  <si>
    <t>276-012-718</t>
  </si>
  <si>
    <t>0966-694-7994</t>
  </si>
  <si>
    <t>camillenatoagapito@gmail.com</t>
  </si>
  <si>
    <t>OSEC-DOHB-NURS1-33-2025</t>
  </si>
  <si>
    <t>Baloy</t>
  </si>
  <si>
    <t>Willah Angela Mei</t>
  </si>
  <si>
    <t>131 Gen. Mascardo St.</t>
  </si>
  <si>
    <t>Poblacion 3B</t>
  </si>
  <si>
    <t>0715710</t>
  </si>
  <si>
    <t>1211-5791-7367</t>
  </si>
  <si>
    <t>0802-5811-2966</t>
  </si>
  <si>
    <t>329-741-501</t>
  </si>
  <si>
    <t>0923-633-1196</t>
  </si>
  <si>
    <t>willahbaloy@gmail.com</t>
  </si>
  <si>
    <t>OSEC-DOHB-NURS1-34-2025</t>
  </si>
  <si>
    <t>Jimenez</t>
  </si>
  <si>
    <t>Anna May</t>
  </si>
  <si>
    <t>Molina</t>
  </si>
  <si>
    <t>Block 18 Lot 7, Fairgrounds Drive, Fairgrounds Subdivision</t>
  </si>
  <si>
    <t>0727062</t>
  </si>
  <si>
    <t>1211-6872-4892</t>
  </si>
  <si>
    <t>0702-5570-4581</t>
  </si>
  <si>
    <t>313-320-489</t>
  </si>
  <si>
    <t>0906-450-1614</t>
  </si>
  <si>
    <t>(046) 537-6191</t>
  </si>
  <si>
    <t>annamayjimenez@gmail.com</t>
  </si>
  <si>
    <t>OSEC-DOHB-NURS1-35-2025</t>
  </si>
  <si>
    <t>Hana Cheska</t>
  </si>
  <si>
    <t>Block 2 Lot 5 Bur Oak, Oakridge (Filinvest)</t>
  </si>
  <si>
    <t>0889194</t>
  </si>
  <si>
    <t>1211-2873-7716</t>
  </si>
  <si>
    <t>0105-1973-7286</t>
  </si>
  <si>
    <t>337-721-679</t>
  </si>
  <si>
    <t>0905-563-3598</t>
  </si>
  <si>
    <t>(046) 41610015</t>
  </si>
  <si>
    <t>hanafloreslim@gmail.com</t>
  </si>
  <si>
    <t>OSEC-DOHB-NURS1-36-2025</t>
  </si>
  <si>
    <t>Quesada</t>
  </si>
  <si>
    <t>Francis Leo</t>
  </si>
  <si>
    <t>Bobadilla</t>
  </si>
  <si>
    <t>84 Earth St., Guada Subdivision</t>
  </si>
  <si>
    <t>Bayan Luma VI</t>
  </si>
  <si>
    <t>0449915</t>
  </si>
  <si>
    <t>1210-3638-9251</t>
  </si>
  <si>
    <t>0105-0685-6685</t>
  </si>
  <si>
    <t>307-271-353</t>
  </si>
  <si>
    <t>0995-333-5985</t>
  </si>
  <si>
    <t>franleo.rn@gmail.com</t>
  </si>
  <si>
    <t>OSEC-DOHB-NURS1-37-2025</t>
  </si>
  <si>
    <t>Palacio</t>
  </si>
  <si>
    <t>Gretchen</t>
  </si>
  <si>
    <t>Anadia</t>
  </si>
  <si>
    <t>Block 16 Lot 4 Buenavista St., Chesapeak Village</t>
  </si>
  <si>
    <t>0872294</t>
  </si>
  <si>
    <t>1210-7397-2926</t>
  </si>
  <si>
    <t>0305-1063-5139</t>
  </si>
  <si>
    <t>347-528-867</t>
  </si>
  <si>
    <t>0918-521-6368</t>
  </si>
  <si>
    <t>andaiagretchen@gmail.com</t>
  </si>
  <si>
    <t>OSEC-DOHB-PSY2-270023-2022</t>
  </si>
  <si>
    <t>Psychologist II</t>
  </si>
  <si>
    <t>Psychologist</t>
  </si>
  <si>
    <t>Escobar</t>
  </si>
  <si>
    <t>Divine Grace</t>
  </si>
  <si>
    <t>Camerino</t>
  </si>
  <si>
    <t>162</t>
  </si>
  <si>
    <t>Anabu 1-A</t>
  </si>
  <si>
    <t>MA Clinical Psychology</t>
  </si>
  <si>
    <t>RA 10029</t>
  </si>
  <si>
    <t>0001854</t>
  </si>
  <si>
    <t>2006578976</t>
  </si>
  <si>
    <t>1211-9434-0514</t>
  </si>
  <si>
    <t>0825-0607-6761</t>
  </si>
  <si>
    <t>341-727-026</t>
  </si>
  <si>
    <t>0927-835-3072</t>
  </si>
  <si>
    <t>(046) 471-6519</t>
  </si>
  <si>
    <t>divine.escobar95@gmail.com</t>
  </si>
  <si>
    <t>OSEC-DOHB-RT2-270024-2022</t>
  </si>
  <si>
    <t>Radiologic Technologist II</t>
  </si>
  <si>
    <t>vice Tabing, Promoted</t>
  </si>
  <si>
    <t>OSEC-DOHB-RT2-270076-2020</t>
  </si>
  <si>
    <t>Autor</t>
  </si>
  <si>
    <t>Maricel</t>
  </si>
  <si>
    <t>Crucena vice Cuenca</t>
  </si>
  <si>
    <t>Block 5 Lot 21 Rafflesia St., Tierra Vista Ayana Ph. 1</t>
  </si>
  <si>
    <t>Langkaan I</t>
  </si>
  <si>
    <t>0020606</t>
  </si>
  <si>
    <t>1030-003-2315</t>
  </si>
  <si>
    <t>0805-0622-6132</t>
  </si>
  <si>
    <t>905-405-867</t>
  </si>
  <si>
    <t>0919-769-5255</t>
  </si>
  <si>
    <t>mcautor@gmail.com</t>
  </si>
  <si>
    <t>OSEC-DOHB-STAT2-270020-2022</t>
  </si>
  <si>
    <t>Statistician II</t>
  </si>
  <si>
    <t>Statistician</t>
  </si>
  <si>
    <t>Arboleda</t>
  </si>
  <si>
    <t>Panopio</t>
  </si>
  <si>
    <t>J-5 RSG Guevent Homes</t>
  </si>
  <si>
    <t>Panpaan</t>
  </si>
  <si>
    <t>Master's in Management Engineering</t>
  </si>
  <si>
    <t>2004070168</t>
  </si>
  <si>
    <t>1210-9570-0927</t>
  </si>
  <si>
    <t>0200-0243-6583</t>
  </si>
  <si>
    <t>297-146-235</t>
  </si>
  <si>
    <t>0917-816-1436</t>
  </si>
  <si>
    <t>(046) 424-5027</t>
  </si>
  <si>
    <t>rparboleda0525@gmail.com</t>
  </si>
  <si>
    <t>OSEC-DOHB-CTMT2-21-2025</t>
  </si>
  <si>
    <t>Computer Maintenance Technologist II</t>
  </si>
  <si>
    <t>Integrated Hospital Operations and Management Program</t>
  </si>
  <si>
    <t>Computer Maintenance Technologist</t>
  </si>
  <si>
    <t>Jhon Perry</t>
  </si>
  <si>
    <t>Cabudoc</t>
  </si>
  <si>
    <t>B12 L14 Main St., Richlane Townhouse Subd.</t>
  </si>
  <si>
    <t>Anabu II-E</t>
  </si>
  <si>
    <t>BS Information Technology</t>
  </si>
  <si>
    <t>2006203396</t>
  </si>
  <si>
    <t>1211-1023-2637</t>
  </si>
  <si>
    <t>0105-1061-0291</t>
  </si>
  <si>
    <t>261-767-336</t>
  </si>
  <si>
    <t>0916-426-7379</t>
  </si>
  <si>
    <t>santos.jhonperry@gmail.com</t>
  </si>
  <si>
    <t>OSEC-DOHB-ADOF3-270075-2020</t>
  </si>
  <si>
    <t>Administrative Officer III (Supply Officer II)</t>
  </si>
  <si>
    <t>Administrative Officer III</t>
  </si>
  <si>
    <t>Ozaraga</t>
  </si>
  <si>
    <t>Crisanie</t>
  </si>
  <si>
    <t>Lumayag</t>
  </si>
  <si>
    <t>Blk 36 Lot 11 Green Estate 3</t>
  </si>
  <si>
    <t>Malagasng I-G</t>
  </si>
  <si>
    <t>BSBA Management Accounting</t>
  </si>
  <si>
    <t>2006083644</t>
  </si>
  <si>
    <t>1210-3993-4140</t>
  </si>
  <si>
    <t>0605-0090-6831</t>
  </si>
  <si>
    <t>259-157-986</t>
  </si>
  <si>
    <t>0976-040-0680</t>
  </si>
  <si>
    <t>anieozaraga@gmail.com</t>
  </si>
  <si>
    <t>OSEC-DOHB-HEPO2-270074-2020</t>
  </si>
  <si>
    <t>Health Education and Promotion Officer II</t>
  </si>
  <si>
    <t>Health Education and Promotion Officer</t>
  </si>
  <si>
    <t>Tumilba</t>
  </si>
  <si>
    <t>Samuel Job</t>
  </si>
  <si>
    <t>Solmerano</t>
  </si>
  <si>
    <t>B7 L30 Woodsite 3</t>
  </si>
  <si>
    <t>BS Physical Therapy</t>
  </si>
  <si>
    <t>0024810</t>
  </si>
  <si>
    <t>2006203386</t>
  </si>
  <si>
    <t>1213-1160-3517</t>
  </si>
  <si>
    <t>0802-6715-7484</t>
  </si>
  <si>
    <t>360-501-055</t>
  </si>
  <si>
    <t>0956-875-1564</t>
  </si>
  <si>
    <t>(046) 230-1839</t>
  </si>
  <si>
    <t>tumilba.samueljob.solmerano@gmail.com</t>
  </si>
  <si>
    <t>OSEC-DOHB-RSTH2-270021-2022</t>
  </si>
  <si>
    <t>Respiratory Therapist II</t>
  </si>
  <si>
    <t>Respiratory and Pulmonary Section</t>
  </si>
  <si>
    <t>Respiratory Therapist</t>
  </si>
  <si>
    <t>Villarosa</t>
  </si>
  <si>
    <t>Delon</t>
  </si>
  <si>
    <t>Repollo</t>
  </si>
  <si>
    <t>Davao City</t>
  </si>
  <si>
    <t>#5 B16 L3B Faith St., Camella Homes Classic</t>
  </si>
  <si>
    <t>BS Respiratory Therapy</t>
  </si>
  <si>
    <t>0004539</t>
  </si>
  <si>
    <t>2006203441</t>
  </si>
  <si>
    <t>1210-0274-5643</t>
  </si>
  <si>
    <t>1908-9570-2297</t>
  </si>
  <si>
    <t>227-140-303</t>
  </si>
  <si>
    <t>0926-092-2977</t>
  </si>
  <si>
    <t>trixon.kolas@gmail.com</t>
  </si>
  <si>
    <t>OSEC-DOHB-ADOF2-270001-2022</t>
  </si>
  <si>
    <t>Administrative Officer II (Information Officer I)</t>
  </si>
  <si>
    <t>Administrative Officer II</t>
  </si>
  <si>
    <t>Ian Jasper</t>
  </si>
  <si>
    <t>Samson</t>
  </si>
  <si>
    <t>Antipolo City, Rizal</t>
  </si>
  <si>
    <t>P1 B10 L26 Persius St., Veraville Arcadia</t>
  </si>
  <si>
    <t>BS Psychology</t>
  </si>
  <si>
    <t>0011531</t>
  </si>
  <si>
    <t>2005911413</t>
  </si>
  <si>
    <t>1211-9679-6069</t>
  </si>
  <si>
    <t>0302-6117-9004</t>
  </si>
  <si>
    <t>700-369-879</t>
  </si>
  <si>
    <t>0926-410-1909</t>
  </si>
  <si>
    <t>yanbautista06@gmail.com</t>
  </si>
  <si>
    <t>OSEC-DOHB-ADOF2-270072-2020</t>
  </si>
  <si>
    <t>Administrative Officer II (HRMO I)</t>
  </si>
  <si>
    <t>Neri</t>
  </si>
  <si>
    <t>Bernadette Lou</t>
  </si>
  <si>
    <t>Hila</t>
  </si>
  <si>
    <t>B3 L5 Talisay St., Amparo Gate 3</t>
  </si>
  <si>
    <t>179</t>
  </si>
  <si>
    <t>0007722</t>
  </si>
  <si>
    <t>2006070540</t>
  </si>
  <si>
    <t>1211-9868-4592</t>
  </si>
  <si>
    <t>0202-6873-0592</t>
  </si>
  <si>
    <t>704-139-514</t>
  </si>
  <si>
    <t>0945-708-5033</t>
  </si>
  <si>
    <t>bernadetteneri_023@yahoo.com</t>
  </si>
  <si>
    <t>OSEC-DOHB-ADOF2-270073-2020</t>
  </si>
  <si>
    <t>Administrative Officer II (Budget Officer I)</t>
  </si>
  <si>
    <t>Nadua</t>
  </si>
  <si>
    <t>Mary Antoinette Nicole</t>
  </si>
  <si>
    <t>Nacionales</t>
  </si>
  <si>
    <t>Sampaloc, Manila</t>
  </si>
  <si>
    <t>Block 3 Lot 18, Lawan St., Narra Home Subd.</t>
  </si>
  <si>
    <t>BSBA maj. Business Operations Management/MBA</t>
  </si>
  <si>
    <t>2006420650</t>
  </si>
  <si>
    <t>1211-0003-0848</t>
  </si>
  <si>
    <t>0105-1760-3797</t>
  </si>
  <si>
    <t>318-700-935</t>
  </si>
  <si>
    <t>0926-676-5609</t>
  </si>
  <si>
    <t>nicole_nadua@yahoo.com</t>
  </si>
  <si>
    <t>OSEC-DOHB-CTMT1-270071-2020</t>
  </si>
  <si>
    <t>Computer Maintenance Technologist I</t>
  </si>
  <si>
    <t>Sunga</t>
  </si>
  <si>
    <t>John Nolasco</t>
  </si>
  <si>
    <t>Francisco</t>
  </si>
  <si>
    <t>2700 General Lukban St., Gagalangin Tondo</t>
  </si>
  <si>
    <t>1013</t>
  </si>
  <si>
    <t>BS Computer Engineering</t>
  </si>
  <si>
    <t>2005745353</t>
  </si>
  <si>
    <t>1050-0030-2410</t>
  </si>
  <si>
    <t>0205-5461-1518</t>
  </si>
  <si>
    <t>263-235-305</t>
  </si>
  <si>
    <t>0994-021-5474</t>
  </si>
  <si>
    <t>janolaskosunga@gmail.com</t>
  </si>
  <si>
    <t>OSEC-DOHB-MDTK1-20-2025</t>
  </si>
  <si>
    <t>Medical Technologist I</t>
  </si>
  <si>
    <t>Antonio</t>
  </si>
  <si>
    <t>Jane Giselle</t>
  </si>
  <si>
    <t xml:space="preserve">Block 15 Lot 33 Phase 1, Georgetown Heights </t>
  </si>
  <si>
    <t>0105585</t>
  </si>
  <si>
    <t>2006793387</t>
  </si>
  <si>
    <t>1212-1424-5718</t>
  </si>
  <si>
    <t>0825-0167-3915</t>
  </si>
  <si>
    <t>384-204-200</t>
  </si>
  <si>
    <t>0960-582-7882</t>
  </si>
  <si>
    <t>janegisellermt21@gmail.com</t>
  </si>
  <si>
    <t>OSEC-DOHB-MDTK1-21-2025</t>
  </si>
  <si>
    <t>Guiterrez</t>
  </si>
  <si>
    <t>Keithlyn</t>
  </si>
  <si>
    <t>Pegenia</t>
  </si>
  <si>
    <t>335 Everlasting</t>
  </si>
  <si>
    <t>Mahabang Kahoy Cerca</t>
  </si>
  <si>
    <t>0095552</t>
  </si>
  <si>
    <t>2006793386</t>
  </si>
  <si>
    <t>1212-4026-2278</t>
  </si>
  <si>
    <t>0825-3613-1090</t>
  </si>
  <si>
    <t>378-834-818</t>
  </si>
  <si>
    <t>0956-550-3833</t>
  </si>
  <si>
    <t>keithlyngutierrezrmt@gmail.com</t>
  </si>
  <si>
    <t>OSEC-DOHB-MDTK1-22-2025</t>
  </si>
  <si>
    <t>Raqueño</t>
  </si>
  <si>
    <t>Rozel Danella Aisne</t>
  </si>
  <si>
    <t>Cuevas</t>
  </si>
  <si>
    <t xml:space="preserve">130 General Evangelista St.  </t>
  </si>
  <si>
    <t>Alima</t>
  </si>
  <si>
    <t>0087061</t>
  </si>
  <si>
    <t>2006793408</t>
  </si>
  <si>
    <t>1212-1084-2363</t>
  </si>
  <si>
    <t>0825-0738-3900</t>
  </si>
  <si>
    <t>341-478-391</t>
  </si>
  <si>
    <t>0995-833-0964</t>
  </si>
  <si>
    <t>aisneraqueno.rmt@gmail.com</t>
  </si>
  <si>
    <t>OSEC-DOHB-MDTK1-23-2025</t>
  </si>
  <si>
    <t>Sabigan</t>
  </si>
  <si>
    <t>Pearlyn</t>
  </si>
  <si>
    <t>Pagadora</t>
  </si>
  <si>
    <t>Block 19 Lot 12 Daffodil St., Molino Park Homes</t>
  </si>
  <si>
    <t>0082501</t>
  </si>
  <si>
    <t>2006793385</t>
  </si>
  <si>
    <t>1212-1107-6008</t>
  </si>
  <si>
    <t>0825-0175-0502</t>
  </si>
  <si>
    <t>710-704-638</t>
  </si>
  <si>
    <t>0995-250-6187</t>
  </si>
  <si>
    <t>571-58838</t>
  </si>
  <si>
    <t>psrmt2018@gmail.com</t>
  </si>
  <si>
    <t>OSEC-DOHB-MDTK1-24-2025</t>
  </si>
  <si>
    <t>Sedantes</t>
  </si>
  <si>
    <t>Kerth</t>
  </si>
  <si>
    <t>Calimag</t>
  </si>
  <si>
    <t>Block 41 Lot 26 Birch St., Grand Parkplace Village</t>
  </si>
  <si>
    <t>Anabu 1-B</t>
  </si>
  <si>
    <t>0080877</t>
  </si>
  <si>
    <t>2006793404</t>
  </si>
  <si>
    <t>1212-0976-4132</t>
  </si>
  <si>
    <t>0802-6353-9498</t>
  </si>
  <si>
    <t>737-196-105</t>
  </si>
  <si>
    <t>0927-873-8659</t>
  </si>
  <si>
    <t>kerthsedantes@gmail.com</t>
  </si>
  <si>
    <t>OSEC-DOHB-MDTK1-270068-2020</t>
  </si>
  <si>
    <t>Osias</t>
  </si>
  <si>
    <t>Marielle Kane</t>
  </si>
  <si>
    <t>Sta. Cruz, Manila</t>
  </si>
  <si>
    <t>154 Dr. J. Salud Hi-way</t>
  </si>
  <si>
    <t>Poblacion</t>
  </si>
  <si>
    <t>4105</t>
  </si>
  <si>
    <t>BS Medical Laboratory Science</t>
  </si>
  <si>
    <t>0085383</t>
  </si>
  <si>
    <t>2006510803</t>
  </si>
  <si>
    <t>1212-2471-3930</t>
  </si>
  <si>
    <t>0820-1593-5177</t>
  </si>
  <si>
    <t>773-425-298</t>
  </si>
  <si>
    <t>0926-742-4747</t>
  </si>
  <si>
    <t>mariellekane1025@gmail.com</t>
  </si>
  <si>
    <t>OSEC-DOHB-MDTK1-270069-2020</t>
  </si>
  <si>
    <t>Santizo</t>
  </si>
  <si>
    <t>Ma. Elouisa</t>
  </si>
  <si>
    <t>Quesora</t>
  </si>
  <si>
    <t>Blk 7 Lot 1 Addas Townhomes</t>
  </si>
  <si>
    <t>0071085</t>
  </si>
  <si>
    <t>2006407369</t>
  </si>
  <si>
    <t>1211-5675-6442</t>
  </si>
  <si>
    <t>0802-623-7776</t>
  </si>
  <si>
    <t>323-554-031</t>
  </si>
  <si>
    <t>0935-917-2791</t>
  </si>
  <si>
    <t>elouisasantizo@gmail.com</t>
  </si>
  <si>
    <t>OSEC-DOHB-MDTK1-270070-2020</t>
  </si>
  <si>
    <t>Vice Abratigue, Promoted</t>
  </si>
  <si>
    <t>OSEC-DOHB-ND1-270013-2022</t>
  </si>
  <si>
    <t>Nutritionist-Dietitian I</t>
  </si>
  <si>
    <t>Bautista-Tropicales</t>
  </si>
  <si>
    <t>Lourisse</t>
  </si>
  <si>
    <t>Brosas</t>
  </si>
  <si>
    <t>B19 L17 3rd St., Alfonso Village</t>
  </si>
  <si>
    <t>0017952</t>
  </si>
  <si>
    <t>2006347277</t>
  </si>
  <si>
    <t>1211-8374-9733</t>
  </si>
  <si>
    <t>0205-1182-8121</t>
  </si>
  <si>
    <t>333-701-758</t>
  </si>
  <si>
    <t>0956-147-0402</t>
  </si>
  <si>
    <t>(046) 402-0790</t>
  </si>
  <si>
    <t>rissebautista@gmail.com</t>
  </si>
  <si>
    <t>OSEC-DOHB-PH1-270015-2022</t>
  </si>
  <si>
    <t>Pharmacist I</t>
  </si>
  <si>
    <t>Usero</t>
  </si>
  <si>
    <t>Shenna</t>
  </si>
  <si>
    <t>Magtagnob</t>
  </si>
  <si>
    <t>Bato, Catanduanes</t>
  </si>
  <si>
    <t>Blk 6 Lot 10 Phase 1, Villa Arsenia</t>
  </si>
  <si>
    <t>Mambog III</t>
  </si>
  <si>
    <t>0050817</t>
  </si>
  <si>
    <t>2004319377</t>
  </si>
  <si>
    <t>1210-6500-4395</t>
  </si>
  <si>
    <t>0305-0137-1803</t>
  </si>
  <si>
    <t>237-575-749</t>
  </si>
  <si>
    <t>0919-816-5262</t>
  </si>
  <si>
    <t>shenna.u83@gmail.com</t>
  </si>
  <si>
    <t>OSEC-DOHB-PH1-270016-2022</t>
  </si>
  <si>
    <t>Barua</t>
  </si>
  <si>
    <t>Merlita</t>
  </si>
  <si>
    <t>Cuadra</t>
  </si>
  <si>
    <t>Block 5 Lot 49 Phase 4A Ruby St., Citihomes</t>
  </si>
  <si>
    <t>0032283</t>
  </si>
  <si>
    <t>2006306694</t>
  </si>
  <si>
    <t>0009-2031-1307</t>
  </si>
  <si>
    <t>1908-9269-7071</t>
  </si>
  <si>
    <t>151-638-785</t>
  </si>
  <si>
    <t>0920-946-1456</t>
  </si>
  <si>
    <t>(046) 509-9215</t>
  </si>
  <si>
    <t>merlita.barua@gmail.com</t>
  </si>
  <si>
    <t>OSEC-DOHB-PH1-270017-2022</t>
  </si>
  <si>
    <t>Nicolas</t>
  </si>
  <si>
    <t>Christina</t>
  </si>
  <si>
    <t>Estrellado</t>
  </si>
  <si>
    <t>025 Pagtakhan</t>
  </si>
  <si>
    <t>0041783</t>
  </si>
  <si>
    <t>2006360727</t>
  </si>
  <si>
    <t>1210-3262-5778</t>
  </si>
  <si>
    <t>0802-5390-2373</t>
  </si>
  <si>
    <t>408-602-893</t>
  </si>
  <si>
    <t>0927-373-7802</t>
  </si>
  <si>
    <t>(02) 8893-3932</t>
  </si>
  <si>
    <t>nicolaschristy3@yahoo.com</t>
  </si>
  <si>
    <t>OSEC-DOHB-PH1-270066-2020</t>
  </si>
  <si>
    <t>Atrero</t>
  </si>
  <si>
    <t>Krizan Mae</t>
  </si>
  <si>
    <t>Iba, Zambales</t>
  </si>
  <si>
    <t>463 Fellowship St., Perpetual 5</t>
  </si>
  <si>
    <t>0057057</t>
  </si>
  <si>
    <t>2005538705</t>
  </si>
  <si>
    <t>1210-3576-3546</t>
  </si>
  <si>
    <t>0205-0551-9788</t>
  </si>
  <si>
    <t>288-180-106</t>
  </si>
  <si>
    <t>0920-218-4500</t>
  </si>
  <si>
    <t>kmatreroph@gmail.com</t>
  </si>
  <si>
    <t>OSEC-DOHB-PH1-270067-2020</t>
  </si>
  <si>
    <t>Sagala</t>
  </si>
  <si>
    <t>Jennifer Gigi</t>
  </si>
  <si>
    <t>Valentin</t>
  </si>
  <si>
    <t>Panapaan II</t>
  </si>
  <si>
    <t>0029304</t>
  </si>
  <si>
    <t>2005911998</t>
  </si>
  <si>
    <t>1030-0169-8005</t>
  </si>
  <si>
    <t>0802-5016-3944</t>
  </si>
  <si>
    <t>151-559-182</t>
  </si>
  <si>
    <t>0919-913-0511</t>
  </si>
  <si>
    <t>(046) 440-1739</t>
  </si>
  <si>
    <t>jenysagala@gmail.com</t>
  </si>
  <si>
    <t>OSEC-DOHB-RT1-270014-2022</t>
  </si>
  <si>
    <t>Radiologic Technologist I</t>
  </si>
  <si>
    <t>Karlo</t>
  </si>
  <si>
    <t>Tabujara</t>
  </si>
  <si>
    <t>Block 9 Lot 26 Acacia St., BF El Grande Homes, Soldier Hills IV</t>
  </si>
  <si>
    <t>0012963</t>
  </si>
  <si>
    <t>2003283939</t>
  </si>
  <si>
    <t>1211-4426-0312</t>
  </si>
  <si>
    <t>0102-5958-6319</t>
  </si>
  <si>
    <t>494-937-733</t>
  </si>
  <si>
    <t>0917-501-8944</t>
  </si>
  <si>
    <t>(046) 4341207</t>
  </si>
  <si>
    <t>sirkarl21@gmail.com</t>
  </si>
  <si>
    <t>OSEC-DOHB-RT1-270065-2020</t>
  </si>
  <si>
    <t>vice Autor, Promoted</t>
  </si>
  <si>
    <t>OSEC-DOHB-SOCWO1-270063-2020</t>
  </si>
  <si>
    <t>Social Welfare Officer I</t>
  </si>
  <si>
    <t>Velasco</t>
  </si>
  <si>
    <t>April Mae</t>
  </si>
  <si>
    <t>Baloria</t>
  </si>
  <si>
    <t>San Jose, Occidental Mindoro</t>
  </si>
  <si>
    <t>P22-11 4th 5th, Villamor Air Base</t>
  </si>
  <si>
    <t>0035748</t>
  </si>
  <si>
    <t>2006407364</t>
  </si>
  <si>
    <t>1212-8462-4689</t>
  </si>
  <si>
    <t>0925-143-9903</t>
  </si>
  <si>
    <t>755-068-016</t>
  </si>
  <si>
    <t>0906-226-9552</t>
  </si>
  <si>
    <t>velascoaprilmae11@gmail.com</t>
  </si>
  <si>
    <t>OSEC-DOHB-SOCWO1-270064-2020</t>
  </si>
  <si>
    <t>Abapo</t>
  </si>
  <si>
    <t>Wesley</t>
  </si>
  <si>
    <t>Cariño</t>
  </si>
  <si>
    <t>P2 B54 L15, Site</t>
  </si>
  <si>
    <t>Paliparan III</t>
  </si>
  <si>
    <t>0023327</t>
  </si>
  <si>
    <t>2006064856</t>
  </si>
  <si>
    <t>1211-3640-6824</t>
  </si>
  <si>
    <t>0802-6020-5858</t>
  </si>
  <si>
    <t>476-282-974</t>
  </si>
  <si>
    <t>0955-345-2438</t>
  </si>
  <si>
    <t>wezley.carino@yahoo.com</t>
  </si>
  <si>
    <t>OSEC-DOHB-ADOF1-270012-2022</t>
  </si>
  <si>
    <t>Administrative Officer I (Cashier I)</t>
  </si>
  <si>
    <t>Administrative Officer I</t>
  </si>
  <si>
    <t>Benavides</t>
  </si>
  <si>
    <t>April</t>
  </si>
  <si>
    <t>Bartolome</t>
  </si>
  <si>
    <t>B41 L39 P3 Pomelo St., ACM Woodstock Homes</t>
  </si>
  <si>
    <t>BS Broacast Communication</t>
  </si>
  <si>
    <t>2005119112</t>
  </si>
  <si>
    <t>1090-0148-6412</t>
  </si>
  <si>
    <t>0102-5166-0641</t>
  </si>
  <si>
    <t>301-617-232</t>
  </si>
  <si>
    <t>0999-461-6642</t>
  </si>
  <si>
    <t>aprilbenavides04@gmail.com</t>
  </si>
  <si>
    <t>OSEC-DOHB-ADOF1-270060-2020</t>
  </si>
  <si>
    <t>Anjella Grace</t>
  </si>
  <si>
    <t>Mabait</t>
  </si>
  <si>
    <t>B65 L6, La Paz Homes II</t>
  </si>
  <si>
    <t>Cabezas</t>
  </si>
  <si>
    <t>BS Economics</t>
  </si>
  <si>
    <t>CSC - Subprofessional</t>
  </si>
  <si>
    <t>.0</t>
  </si>
  <si>
    <t>1212-1992-2092</t>
  </si>
  <si>
    <t>0802-6437-8870</t>
  </si>
  <si>
    <t>351-058-759</t>
  </si>
  <si>
    <t>0915-608-3529</t>
  </si>
  <si>
    <t>(046) 412-9353</t>
  </si>
  <si>
    <t>anjellamabait.29@gmail.com</t>
  </si>
  <si>
    <t>OSEC-DOHB-ADOF1-270061-2020</t>
  </si>
  <si>
    <t>Presco</t>
  </si>
  <si>
    <t>Sarah Jane</t>
  </si>
  <si>
    <t>Paez</t>
  </si>
  <si>
    <t>San Jose, Batangas</t>
  </si>
  <si>
    <t>0940 Espanya</t>
  </si>
  <si>
    <t>Pagtungulan</t>
  </si>
  <si>
    <t>Batangas</t>
  </si>
  <si>
    <t>BS Administration</t>
  </si>
  <si>
    <t>2006160534</t>
  </si>
  <si>
    <t>1211-2779-8507</t>
  </si>
  <si>
    <t>0902-5368-0171</t>
  </si>
  <si>
    <t>448-092-036</t>
  </si>
  <si>
    <t>0927-838-4580</t>
  </si>
  <si>
    <t>sjb.paez@gmail.com</t>
  </si>
  <si>
    <t>OSEC-DOHB-ADOF1-270062-2020</t>
  </si>
  <si>
    <t>Administrative Officer I (Records Officer I)</t>
  </si>
  <si>
    <t>Rose Camille</t>
  </si>
  <si>
    <t>Magpantay</t>
  </si>
  <si>
    <t>069 A. Mabini St.</t>
  </si>
  <si>
    <t>Poblacion IV</t>
  </si>
  <si>
    <t>Amadeo</t>
  </si>
  <si>
    <t>BS Tourism</t>
  </si>
  <si>
    <t>2004581160</t>
  </si>
  <si>
    <t>1210-6821-3581</t>
  </si>
  <si>
    <t>0105-1315-9086</t>
  </si>
  <si>
    <t>310-511-599</t>
  </si>
  <si>
    <t>0943-473-2648</t>
  </si>
  <si>
    <t>rosecamillevalenzuela@gmail.com</t>
  </si>
  <si>
    <t>OSEC-DOHB-RSTH1-270018-2022</t>
  </si>
  <si>
    <t>Respiratory Therapist I</t>
  </si>
  <si>
    <t>Magyawi</t>
  </si>
  <si>
    <t>James Paulo</t>
  </si>
  <si>
    <t>Hebreo</t>
  </si>
  <si>
    <t>441 Sabalas</t>
  </si>
  <si>
    <t>Wawa I</t>
  </si>
  <si>
    <t>0002141</t>
  </si>
  <si>
    <t>2006213280</t>
  </si>
  <si>
    <t>1211-7367-5791</t>
  </si>
  <si>
    <t>0802-6137-9760</t>
  </si>
  <si>
    <t>487-618-099</t>
  </si>
  <si>
    <t>0961-121-5504</t>
  </si>
  <si>
    <t>(046) 432-0135</t>
  </si>
  <si>
    <t>jmagyawi@gmail.com</t>
  </si>
  <si>
    <t>OSEC-DOHB-RSTH1-270019-2022</t>
  </si>
  <si>
    <t>Panguito</t>
  </si>
  <si>
    <t>Rheena Joyce</t>
  </si>
  <si>
    <t>Sison</t>
  </si>
  <si>
    <t>Marulas</t>
  </si>
  <si>
    <t>0002914</t>
  </si>
  <si>
    <t>2006346106</t>
  </si>
  <si>
    <t>1211-2833-2638</t>
  </si>
  <si>
    <t>0802-5842-3858</t>
  </si>
  <si>
    <t>319-483-706</t>
  </si>
  <si>
    <t>0915-509-8418</t>
  </si>
  <si>
    <t>(046) 238-3661</t>
  </si>
  <si>
    <t>rjoycesison@yahoo.com.ph</t>
  </si>
  <si>
    <t>OSEC-DOHB-ADAS3-270058-2020</t>
  </si>
  <si>
    <t>Administrative Assistant III (Secretary II)</t>
  </si>
  <si>
    <t>Administrative Assistant III</t>
  </si>
  <si>
    <t>Administrative Assistant</t>
  </si>
  <si>
    <t>1st</t>
  </si>
  <si>
    <t>Guerrero</t>
  </si>
  <si>
    <t>Annalyn</t>
  </si>
  <si>
    <t>Mendez</t>
  </si>
  <si>
    <t xml:space="preserve">Block 1 Lot 12 Montero St., Terressa Ph. 2 </t>
  </si>
  <si>
    <t>BS Public Administration</t>
  </si>
  <si>
    <t>2006643544</t>
  </si>
  <si>
    <t>1211-8273-2294</t>
  </si>
  <si>
    <t>0202-6531-2293</t>
  </si>
  <si>
    <t>465-413-704</t>
  </si>
  <si>
    <t>0927-556-9696</t>
  </si>
  <si>
    <t>(046) 572-9548</t>
  </si>
  <si>
    <t>annalyn_jc@yahoo.com</t>
  </si>
  <si>
    <t>OSEC-DOHB-ADAS3-270059-2020</t>
  </si>
  <si>
    <t>Administrative Assistant III (Buyer III)</t>
  </si>
  <si>
    <t>Manejable</t>
  </si>
  <si>
    <t>Rowena</t>
  </si>
  <si>
    <t>Purificacion</t>
  </si>
  <si>
    <t>Obando, Bulacan</t>
  </si>
  <si>
    <t>183 Cavite Rd., Justineville Subd.</t>
  </si>
  <si>
    <t>BS Biology</t>
  </si>
  <si>
    <t>2006578977</t>
  </si>
  <si>
    <t>1020-0313-9962</t>
  </si>
  <si>
    <t>0802-5244-8202</t>
  </si>
  <si>
    <t>230-723-664</t>
  </si>
  <si>
    <t>0919-653-3602</t>
  </si>
  <si>
    <t>(046) 454-7034</t>
  </si>
  <si>
    <t>wengpooh@yahoo.com</t>
  </si>
  <si>
    <t>OSEC-DOHB-MDWF1-270055-2020</t>
  </si>
  <si>
    <t>Midwife I</t>
  </si>
  <si>
    <t>Midwife</t>
  </si>
  <si>
    <t>Magat</t>
  </si>
  <si>
    <t>Charry Ann</t>
  </si>
  <si>
    <t>199 L. Barron St., San Antonio</t>
  </si>
  <si>
    <t>50-Kabalyero</t>
  </si>
  <si>
    <t>Vocational</t>
  </si>
  <si>
    <t>Midwifery</t>
  </si>
  <si>
    <t>0118574</t>
  </si>
  <si>
    <t>2001398973</t>
  </si>
  <si>
    <t>1030-0010-7344</t>
  </si>
  <si>
    <t>0800-0064-8126</t>
  </si>
  <si>
    <t>191-026-773</t>
  </si>
  <si>
    <t>0922-874-0569</t>
  </si>
  <si>
    <t>(046) 431-4150</t>
  </si>
  <si>
    <t>mommycharry68@gmail.com</t>
  </si>
  <si>
    <t>OSEC-DOHB-MDWF1-270056-2020</t>
  </si>
  <si>
    <t>Nuñez</t>
  </si>
  <si>
    <t xml:space="preserve">Angelet </t>
  </si>
  <si>
    <t>Medicion 2nd-F</t>
  </si>
  <si>
    <t>0114461</t>
  </si>
  <si>
    <t>2001397806</t>
  </si>
  <si>
    <t>1030-0009-5580</t>
  </si>
  <si>
    <t>0800-0064-8136</t>
  </si>
  <si>
    <t>228-458-809</t>
  </si>
  <si>
    <t>0927-648-4491</t>
  </si>
  <si>
    <t>angelet2015@yahoo.com</t>
  </si>
  <si>
    <t>OSEC-DOHB-MDWF1-270057-2020</t>
  </si>
  <si>
    <t>Edrilyn</t>
  </si>
  <si>
    <t>Sisante</t>
  </si>
  <si>
    <t>Magallanes, Cavite</t>
  </si>
  <si>
    <t>171 San Juan St.</t>
  </si>
  <si>
    <t>Diploma in Midwifery</t>
  </si>
  <si>
    <t>0129538</t>
  </si>
  <si>
    <t>2001241661</t>
  </si>
  <si>
    <t>1030-0139-4028</t>
  </si>
  <si>
    <t>0820-0540-5757</t>
  </si>
  <si>
    <t>226-263-000</t>
  </si>
  <si>
    <t>0906-530-7061</t>
  </si>
  <si>
    <t>syedrilyn8@gmail.com</t>
  </si>
  <si>
    <t>OSEC-DOHB-ADAS2-270011-2022</t>
  </si>
  <si>
    <t>Administrative Assistant II (Administrative Assistant)</t>
  </si>
  <si>
    <t>Administrative Assistant II</t>
  </si>
  <si>
    <t>Compas</t>
  </si>
  <si>
    <t>Joan</t>
  </si>
  <si>
    <t>North Cotabato</t>
  </si>
  <si>
    <t>N. 17 Lot 9</t>
  </si>
  <si>
    <t>Emmanuel I</t>
  </si>
  <si>
    <t>BS Office Management</t>
  </si>
  <si>
    <t>2006306640</t>
  </si>
  <si>
    <t>1212-6758-7113</t>
  </si>
  <si>
    <t>0205-0346-0573</t>
  </si>
  <si>
    <t>238-847-619</t>
  </si>
  <si>
    <t>0905-941-6966</t>
  </si>
  <si>
    <t>(046) 506-6596</t>
  </si>
  <si>
    <t>joan.muscat@yahoo.com</t>
  </si>
  <si>
    <t>OSEC-DOHB-ADAS2-270048-2020</t>
  </si>
  <si>
    <t>Jacoba</t>
  </si>
  <si>
    <t>Roselle Nikki</t>
  </si>
  <si>
    <t>Pascual</t>
  </si>
  <si>
    <t>P4 B97 L14, Assylum St., Mary Cris Complex</t>
  </si>
  <si>
    <t>Pasong Camachille II</t>
  </si>
  <si>
    <t>BS Office Administration</t>
  </si>
  <si>
    <t>2005911994</t>
  </si>
  <si>
    <t>1211-1552-4961</t>
  </si>
  <si>
    <t>0802-5745-8362</t>
  </si>
  <si>
    <t>451-138-578</t>
  </si>
  <si>
    <t>0961-398-1547</t>
  </si>
  <si>
    <t>nikkipascual.strh@gmail.com</t>
  </si>
  <si>
    <t>OSEC-DOHB-ADAS2-270049-2020</t>
  </si>
  <si>
    <t>Administrative Assistant II (Accounting Clerk III)</t>
  </si>
  <si>
    <t>Bagotsay</t>
  </si>
  <si>
    <t>Wilfreda</t>
  </si>
  <si>
    <t>Simbajon</t>
  </si>
  <si>
    <t>Candabong Anda, Bohol</t>
  </si>
  <si>
    <t>288 Silangan</t>
  </si>
  <si>
    <t>Ligas II</t>
  </si>
  <si>
    <t>2006422897</t>
  </si>
  <si>
    <t>1211-6844-0652</t>
  </si>
  <si>
    <t>1505-0287-0523</t>
  </si>
  <si>
    <t>310-325-567</t>
  </si>
  <si>
    <t>0919-212-5969</t>
  </si>
  <si>
    <t>(046) 436-4233</t>
  </si>
  <si>
    <t>swilfreda@yahoo.com</t>
  </si>
  <si>
    <t>OSEC-DOHB-ADAS2-270050-2020</t>
  </si>
  <si>
    <t>Saloma</t>
  </si>
  <si>
    <t>Jessa</t>
  </si>
  <si>
    <t>Iriga City, Camarines Sur</t>
  </si>
  <si>
    <t>24D Mangubat St.</t>
  </si>
  <si>
    <t>Zone 2</t>
  </si>
  <si>
    <t>BS Management</t>
  </si>
  <si>
    <t>2006213287</t>
  </si>
  <si>
    <t>1212-2720-5617</t>
  </si>
  <si>
    <t>0805-1588-4878</t>
  </si>
  <si>
    <t>348-796-185</t>
  </si>
  <si>
    <t>0949-350-6934</t>
  </si>
  <si>
    <t>(046) 541-4984</t>
  </si>
  <si>
    <t xml:space="preserve">jessasaloma@gmail.com </t>
  </si>
  <si>
    <t>OSEC-DOHB-ADAS2-270051-2020</t>
  </si>
  <si>
    <t>vice Alberto, Dropped from the Rolls</t>
  </si>
  <si>
    <t>OSEC-DOHB-ADAS2-270052-2020</t>
  </si>
  <si>
    <t>Administrative Assistant II (Budgeting Assistant)</t>
  </si>
  <si>
    <t>Joan Mae</t>
  </si>
  <si>
    <t>Valera</t>
  </si>
  <si>
    <t>Bambang, Nueva Ecija</t>
  </si>
  <si>
    <t>Block 08 Lot 61, James St., Greengate Homes Ph. 1 Ext.</t>
  </si>
  <si>
    <t>Malagasang II-A</t>
  </si>
  <si>
    <t>2006346339</t>
  </si>
  <si>
    <t>1211-0011-8726</t>
  </si>
  <si>
    <t>0105-1758-8046</t>
  </si>
  <si>
    <t>316-844-474</t>
  </si>
  <si>
    <t>0995-428-4574</t>
  </si>
  <si>
    <t>joanmaeantonio@gmail.com</t>
  </si>
  <si>
    <t>OSEC-DOHB-ADAS2-270053-2020</t>
  </si>
  <si>
    <t>Administrative Assistant II (Cash Clerk III)</t>
  </si>
  <si>
    <t>Mejorada</t>
  </si>
  <si>
    <t>Fredex</t>
  </si>
  <si>
    <t>Borlagdan</t>
  </si>
  <si>
    <t>Malinao, Albay</t>
  </si>
  <si>
    <t>003 LT C Reyville Subd. St., Reyville Subd.</t>
  </si>
  <si>
    <t>2006083645</t>
  </si>
  <si>
    <t>1211-4787-1490</t>
  </si>
  <si>
    <t>1020-1208-5599</t>
  </si>
  <si>
    <t>450-971-676</t>
  </si>
  <si>
    <t>0995-785-6069</t>
  </si>
  <si>
    <t>fredexmejorada@yahoo.com</t>
  </si>
  <si>
    <t>OSEC-DOHB-ADAS2-270054-2020</t>
  </si>
  <si>
    <t>Malaya</t>
  </si>
  <si>
    <t>Cepriano Eduardo</t>
  </si>
  <si>
    <t>Jarquio</t>
  </si>
  <si>
    <t>Karuhatan, Metro Manila</t>
  </si>
  <si>
    <t>B8 L1 Elbrus St. cor Griffith, Kensington 8, Lancaster New City</t>
  </si>
  <si>
    <t>College Level</t>
  </si>
  <si>
    <t>2005090116</t>
  </si>
  <si>
    <t>1210-1796-6660</t>
  </si>
  <si>
    <t>0302-5380-0859</t>
  </si>
  <si>
    <t>304-203-781</t>
  </si>
  <si>
    <t>0917-861-8010</t>
  </si>
  <si>
    <t>y2yet17@gmail.com</t>
  </si>
  <si>
    <t>OSEC-DOHB-DCTL2-270047-2020</t>
  </si>
  <si>
    <t>Data Controller II</t>
  </si>
  <si>
    <t>Data Controller</t>
  </si>
  <si>
    <t>Aveo</t>
  </si>
  <si>
    <t>Edna</t>
  </si>
  <si>
    <t>Corpuz</t>
  </si>
  <si>
    <t>113 General Tirona</t>
  </si>
  <si>
    <t>Wakas</t>
  </si>
  <si>
    <t>BS Electrical Engineering</t>
  </si>
  <si>
    <t>2005331090</t>
  </si>
  <si>
    <t>1212--2091-1178</t>
  </si>
  <si>
    <t>0825-2956-0164</t>
  </si>
  <si>
    <t>105-863-302</t>
  </si>
  <si>
    <t>0998-564-0118</t>
  </si>
  <si>
    <t>edna_hg88@yahoo.com</t>
  </si>
  <si>
    <t>OSEC-DOHB-HHKPER-270046-2020</t>
  </si>
  <si>
    <t>Hospital Housekeeper</t>
  </si>
  <si>
    <t>Housekeeping Section</t>
  </si>
  <si>
    <t xml:space="preserve">Wilson </t>
  </si>
  <si>
    <t>Navarez</t>
  </si>
  <si>
    <t>College Undergraduate</t>
  </si>
  <si>
    <t>BS HRM</t>
  </si>
  <si>
    <t>2004507047</t>
  </si>
  <si>
    <t>1211-0415-7384</t>
  </si>
  <si>
    <t>0805-0765-8397</t>
  </si>
  <si>
    <t>427-843-234</t>
  </si>
  <si>
    <t>0906-140-7663</t>
  </si>
  <si>
    <t>Gnohvzumitoji18@gmail.com</t>
  </si>
  <si>
    <t>OSEC-DOHB-MEQT2-270010-2022</t>
  </si>
  <si>
    <t>Medical Equipment Technician II</t>
  </si>
  <si>
    <t>Medical Equipment Technician</t>
  </si>
  <si>
    <t>Cabuhat</t>
  </si>
  <si>
    <t>John Errol</t>
  </si>
  <si>
    <t>105 Maligaya</t>
  </si>
  <si>
    <t>Julugan VI</t>
  </si>
  <si>
    <t>BS Electronics and Comminication Engineering</t>
  </si>
  <si>
    <t>2006070538</t>
  </si>
  <si>
    <t>1212-1861-1743</t>
  </si>
  <si>
    <t>0705-1110-3477</t>
  </si>
  <si>
    <t>344-011-213</t>
  </si>
  <si>
    <t>0956-826-3025</t>
  </si>
  <si>
    <t>(046) 238-5146</t>
  </si>
  <si>
    <t>jerrolcabuhat@gmail.com</t>
  </si>
  <si>
    <t>OSEC-DOHB-SOCWAS-270043-2020</t>
  </si>
  <si>
    <t>Social Welfare Assistant</t>
  </si>
  <si>
    <t>Social Welfare</t>
  </si>
  <si>
    <t>Gasid</t>
  </si>
  <si>
    <t xml:space="preserve">Jamella </t>
  </si>
  <si>
    <t>Paglicawan</t>
  </si>
  <si>
    <t>Mamburao, Mindoro Occidental</t>
  </si>
  <si>
    <t>Block 7 Lot 28 Waling Waling, Primehomes,</t>
  </si>
  <si>
    <t>Bayan Luma V</t>
  </si>
  <si>
    <t>Barangay Official Eligibility</t>
  </si>
  <si>
    <t>2006510787</t>
  </si>
  <si>
    <t>1212-6005-0650</t>
  </si>
  <si>
    <t>0902-5693-8455</t>
  </si>
  <si>
    <t>389-428-520</t>
  </si>
  <si>
    <t>0935-291-2386</t>
  </si>
  <si>
    <t>gasidjamella@yahoo.com</t>
  </si>
  <si>
    <t>OSEC-DOHB-WH2-270042-2020</t>
  </si>
  <si>
    <t>Warehouseman II</t>
  </si>
  <si>
    <t>Warehouseman</t>
  </si>
  <si>
    <t>Dicen</t>
  </si>
  <si>
    <t>Leandro</t>
  </si>
  <si>
    <t>Tabaco, Albay</t>
  </si>
  <si>
    <t>Blk 29 L19 La Siera, University Hills Estate</t>
  </si>
  <si>
    <t>Sampaloc IV</t>
  </si>
  <si>
    <t>BSBA Financial Management</t>
  </si>
  <si>
    <t>2006347276</t>
  </si>
  <si>
    <t>1212-0886-6198</t>
  </si>
  <si>
    <t>1005-0261-1326</t>
  </si>
  <si>
    <t>285-372-261</t>
  </si>
  <si>
    <t>0927-496-9779</t>
  </si>
  <si>
    <t>andydicen07@gmail.com</t>
  </si>
  <si>
    <t>OSEC-DOHB-ADAS1-270007-2022</t>
  </si>
  <si>
    <t>Administrative Assistant I (Records)</t>
  </si>
  <si>
    <t>Administrative Assistant I</t>
  </si>
  <si>
    <t>Ron Ryan</t>
  </si>
  <si>
    <t>144 Tahimik St.</t>
  </si>
  <si>
    <t>Toclong 1-A</t>
  </si>
  <si>
    <t>BS Commerce Maj. In Banking and Finance</t>
  </si>
  <si>
    <t>2006612002</t>
  </si>
  <si>
    <t>1213-2023-7301</t>
  </si>
  <si>
    <t>1908-9974-6833</t>
  </si>
  <si>
    <t>227-192-985</t>
  </si>
  <si>
    <t>0945-431-6053</t>
  </si>
  <si>
    <t>(046) 471-2875</t>
  </si>
  <si>
    <t>rhonixperalta@gmail.com</t>
  </si>
  <si>
    <t>OSEC-DOHB-ADAS1-270008-2022</t>
  </si>
  <si>
    <t>Gamban</t>
  </si>
  <si>
    <t>Joshua Austin</t>
  </si>
  <si>
    <t>Griarte</t>
  </si>
  <si>
    <t>Daang Amaya III</t>
  </si>
  <si>
    <t>BS Electronics Engineering</t>
  </si>
  <si>
    <t>2006407407</t>
  </si>
  <si>
    <t>1211-6824-5978</t>
  </si>
  <si>
    <t>0802-6095-5296</t>
  </si>
  <si>
    <t>327-166-930</t>
  </si>
  <si>
    <t>0999-993-4732</t>
  </si>
  <si>
    <t>jagamban@gmail.com</t>
  </si>
  <si>
    <t>OSEC-DOHB-ADAS1-270009-2022</t>
  </si>
  <si>
    <t>Administrative Assistant I (Pharmacy)</t>
  </si>
  <si>
    <t>Agustin</t>
  </si>
  <si>
    <t>Katerina</t>
  </si>
  <si>
    <t>Tamsi</t>
  </si>
  <si>
    <t>Block 20 Lot 10C, Minesview Park St., Teresa Park Subd.</t>
  </si>
  <si>
    <t>BS Commerce Maj. Management Accounting</t>
  </si>
  <si>
    <t>2006420253</t>
  </si>
  <si>
    <t>1090-0405-2414</t>
  </si>
  <si>
    <t>0902-5063-6538</t>
  </si>
  <si>
    <t>267-315-032</t>
  </si>
  <si>
    <t>0999-997-6693</t>
  </si>
  <si>
    <t>dikhei14@g,ail.com</t>
  </si>
  <si>
    <t>OSEC-DOHB-ADAS1-270038-2020</t>
  </si>
  <si>
    <t>Administrative Assistant I (Secretary I)</t>
  </si>
  <si>
    <t>Justine</t>
  </si>
  <si>
    <t>Tolosa</t>
  </si>
  <si>
    <t>BSBA Internal Auditing</t>
  </si>
  <si>
    <t>CSC PD 907</t>
  </si>
  <si>
    <t>2006360706</t>
  </si>
  <si>
    <t>1211-2053-8909</t>
  </si>
  <si>
    <t>0802-5784-7423</t>
  </si>
  <si>
    <t>392-855-397</t>
  </si>
  <si>
    <t>0977-192-9927</t>
  </si>
  <si>
    <t>jtinecrisostomo@gmail.com</t>
  </si>
  <si>
    <t>OSEC-DOHB-ADAS1-270039-2020</t>
  </si>
  <si>
    <t>Administrative Assistant I (Computer Operator I)</t>
  </si>
  <si>
    <t>Ambion</t>
  </si>
  <si>
    <t>Clarc</t>
  </si>
  <si>
    <t>Galuzo</t>
  </si>
  <si>
    <t>Blk 9 Lot 28 Cypress St. Green City</t>
  </si>
  <si>
    <t>2006306692</t>
  </si>
  <si>
    <t>1213-1698-6138</t>
  </si>
  <si>
    <t>0825-3979-9416</t>
  </si>
  <si>
    <t>389-775-495</t>
  </si>
  <si>
    <t>0997-957-9059</t>
  </si>
  <si>
    <t>ambionclarc@gmail.com</t>
  </si>
  <si>
    <t>OSEC-DOHB-ADAS1-270040-2020</t>
  </si>
  <si>
    <t>Administrative Assistant I (Computer Operator I) (MM)</t>
  </si>
  <si>
    <t>Saria</t>
  </si>
  <si>
    <t>Bucasan</t>
  </si>
  <si>
    <t>B6 L1 Greentown Village 3</t>
  </si>
  <si>
    <t>Bayan Luma I</t>
  </si>
  <si>
    <t>BS Computer Science</t>
  </si>
  <si>
    <t>2006135234</t>
  </si>
  <si>
    <t>1040-0276-9445</t>
  </si>
  <si>
    <t>0205-0160-7224</t>
  </si>
  <si>
    <t>218-264-066</t>
  </si>
  <si>
    <t>0917-615-1320</t>
  </si>
  <si>
    <t>lorensbsaria@gmail.com</t>
  </si>
  <si>
    <t>OSEC-DOHB-ADAS1-270041-2020</t>
  </si>
  <si>
    <t>Administrative Assistant I (Computer Operator I) (Proc)</t>
  </si>
  <si>
    <t>Madali</t>
  </si>
  <si>
    <t>Joanna</t>
  </si>
  <si>
    <t>Garduque</t>
  </si>
  <si>
    <t>Anao, Tarlac</t>
  </si>
  <si>
    <t>Block 12 Lot 3 Phase 2 Havana St., Villa Lessandra</t>
  </si>
  <si>
    <t>BS Industrial Psychology</t>
  </si>
  <si>
    <t>0027156</t>
  </si>
  <si>
    <t>2006407381</t>
  </si>
  <si>
    <t>1090-0109-5743</t>
  </si>
  <si>
    <t>0105-0107-5316</t>
  </si>
  <si>
    <t>286-046-598</t>
  </si>
  <si>
    <t>0995-412-8379</t>
  </si>
  <si>
    <t>(046) 456-9016</t>
  </si>
  <si>
    <t>madalijoan.fva@gmail.com</t>
  </si>
  <si>
    <t>OSEC-DOHB-ADA6-270006-2022</t>
  </si>
  <si>
    <t>Administrative Aide VI (Clerk III)</t>
  </si>
  <si>
    <t>Administrative Aide VI</t>
  </si>
  <si>
    <t>Administrative Aide</t>
  </si>
  <si>
    <t>Jemerie Elijah</t>
  </si>
  <si>
    <t>Dueñas</t>
  </si>
  <si>
    <t>2006306636</t>
  </si>
  <si>
    <t>0126-2473-5569</t>
  </si>
  <si>
    <t>601-598-758</t>
  </si>
  <si>
    <t>0955-568-0314</t>
  </si>
  <si>
    <t>jemerieelijah@gmail.com</t>
  </si>
  <si>
    <t>OSEC-DOHB-ADA6-270030-2020</t>
  </si>
  <si>
    <t>Administrative Aide VI (Clerk III) (SAO)</t>
  </si>
  <si>
    <t>Ortega</t>
  </si>
  <si>
    <t>Aaron Ram</t>
  </si>
  <si>
    <t>15 Mendiola St.</t>
  </si>
  <si>
    <t>Tonsuya</t>
  </si>
  <si>
    <t>Malabon City</t>
  </si>
  <si>
    <t>Computer Science and Consumer Electronics</t>
  </si>
  <si>
    <t>2006372371</t>
  </si>
  <si>
    <t>1212-2175-3728</t>
  </si>
  <si>
    <t>0325-2474-3883</t>
  </si>
  <si>
    <t xml:space="preserve">                                                                                                                                </t>
  </si>
  <si>
    <t>0929-620-3134</t>
  </si>
  <si>
    <t>ron.ortega28@gmail.com</t>
  </si>
  <si>
    <t>OSEC-DOHB-ADA6-270031-2020</t>
  </si>
  <si>
    <t>Ecleo</t>
  </si>
  <si>
    <t>Anthony</t>
  </si>
  <si>
    <t>Roda</t>
  </si>
  <si>
    <t>4-308 Pulido Compound</t>
  </si>
  <si>
    <t>Panapaan IV</t>
  </si>
  <si>
    <t>Secondary Education Maj. In English</t>
  </si>
  <si>
    <t>2006407395</t>
  </si>
  <si>
    <t>1212-7864-3987</t>
  </si>
  <si>
    <t>0825-5502-9213</t>
  </si>
  <si>
    <t>347-712-814</t>
  </si>
  <si>
    <t>0948-106-1683</t>
  </si>
  <si>
    <t>ecleoanthony11@gmail.com</t>
  </si>
  <si>
    <t>OSEC-DOHB-ADA6-270032-2020</t>
  </si>
  <si>
    <t>Gabalfin</t>
  </si>
  <si>
    <t>Neil Augustus</t>
  </si>
  <si>
    <t>Silang, Cavite</t>
  </si>
  <si>
    <t>BS HRDM</t>
  </si>
  <si>
    <t>2006213274</t>
  </si>
  <si>
    <t>1210-8375-3738</t>
  </si>
  <si>
    <t>0802-5545-2510</t>
  </si>
  <si>
    <t>433-310-594</t>
  </si>
  <si>
    <t>0935-806-6645</t>
  </si>
  <si>
    <t>neil.gabalfin@gmail.com</t>
  </si>
  <si>
    <t>OSEC-DOHB-ADA6-270033-2020</t>
  </si>
  <si>
    <t>Rañeses</t>
  </si>
  <si>
    <t>Ma. Beatrice</t>
  </si>
  <si>
    <t>Maravilla</t>
  </si>
  <si>
    <t>B5 L4 G. Laurente</t>
  </si>
  <si>
    <t>Bernardo Pulido</t>
  </si>
  <si>
    <t>BS Agricultural Entrep.</t>
  </si>
  <si>
    <t>2006213282</t>
  </si>
  <si>
    <t>1213-1112-4071</t>
  </si>
  <si>
    <t>0825-3082-3225</t>
  </si>
  <si>
    <t>504-725-367</t>
  </si>
  <si>
    <t>0929-268-0676</t>
  </si>
  <si>
    <t>mbmr022599@gmail.com</t>
  </si>
  <si>
    <t>OSEC-DOHB-ADA6-270034-2020</t>
  </si>
  <si>
    <t>Administrative Aide VI (Disbursing Officer I)</t>
  </si>
  <si>
    <t>Bacdayan</t>
  </si>
  <si>
    <t xml:space="preserve">Renante </t>
  </si>
  <si>
    <t>Ramirez</t>
  </si>
  <si>
    <t>Pinukpuk, Kalinga</t>
  </si>
  <si>
    <t>B5 L39 Garden Grove Village</t>
  </si>
  <si>
    <t>BA Communication</t>
  </si>
  <si>
    <t>2005960631</t>
  </si>
  <si>
    <t>1212-6909-8652</t>
  </si>
  <si>
    <t>0402-5029-5865</t>
  </si>
  <si>
    <t>152-067-316</t>
  </si>
  <si>
    <t>0927-873-2585</t>
  </si>
  <si>
    <t>renantebacdayan7@gmail.com</t>
  </si>
  <si>
    <t>OSEC-DOHB-ADA6-270035-2020</t>
  </si>
  <si>
    <t>Administrative Aide VI (Utility Foreman)</t>
  </si>
  <si>
    <t>Ytac</t>
  </si>
  <si>
    <t>Rovel</t>
  </si>
  <si>
    <t>Merto</t>
  </si>
  <si>
    <t>Naic, Cavite</t>
  </si>
  <si>
    <t>354 Akle</t>
  </si>
  <si>
    <t>Bagong Kalsada</t>
  </si>
  <si>
    <t>Naic</t>
  </si>
  <si>
    <t>Shielded Arc Metal NC II</t>
  </si>
  <si>
    <t>2006083657</t>
  </si>
  <si>
    <t>1211-2262-4316</t>
  </si>
  <si>
    <t>0802-5799-0404</t>
  </si>
  <si>
    <t>323-170-947</t>
  </si>
  <si>
    <t>0915-973-6755</t>
  </si>
  <si>
    <t>rovelytac17@gmail.com</t>
  </si>
  <si>
    <t>OSEC-DOHB-ADA6-270036-2020</t>
  </si>
  <si>
    <t>Andes</t>
  </si>
  <si>
    <t>Greg Julian</t>
  </si>
  <si>
    <t>Kilates</t>
  </si>
  <si>
    <t>Block 24 Lot 19 Grapes, Camella Homes Springville</t>
  </si>
  <si>
    <t>2006523893</t>
  </si>
  <si>
    <t>1212-6632-1813</t>
  </si>
  <si>
    <t>0802-6677-5559</t>
  </si>
  <si>
    <t>762-137-846</t>
  </si>
  <si>
    <t>0929-578-1866</t>
  </si>
  <si>
    <t>(046) 484-8560</t>
  </si>
  <si>
    <t>greggjulian09@gmail.com</t>
  </si>
  <si>
    <t>OSEC-DOHB-ADA6-270037-2020</t>
  </si>
  <si>
    <t>Office of the Chief of Health Allied Professional</t>
  </si>
  <si>
    <t>Galon</t>
  </si>
  <si>
    <t>Hannah Aurora</t>
  </si>
  <si>
    <t>Belaro</t>
  </si>
  <si>
    <t>Block 9 Lot 14 Phase III, Soldier Hills IV</t>
  </si>
  <si>
    <t>1212-6544-2106</t>
  </si>
  <si>
    <t>0102-6562-7191</t>
  </si>
  <si>
    <t>488-718-904</t>
  </si>
  <si>
    <t>0919-354-9048</t>
  </si>
  <si>
    <t>(046) 417-3112</t>
  </si>
  <si>
    <t>hnnhrr.97@gmail.com</t>
  </si>
  <si>
    <t>OSEC-DOHB-MEQT1-270029-2020</t>
  </si>
  <si>
    <t>Medical Equipment Technician I</t>
  </si>
  <si>
    <t>Margie</t>
  </si>
  <si>
    <t>Canillo</t>
  </si>
  <si>
    <t>Block 3 Lot 13 HN#: 29 Estacio Pagkalinawan, Nagpayong</t>
  </si>
  <si>
    <t>Pinagbuhatan</t>
  </si>
  <si>
    <t>1602</t>
  </si>
  <si>
    <t>2006773807</t>
  </si>
  <si>
    <t>1213-1331-9621</t>
  </si>
  <si>
    <t>0102-6291-6222</t>
  </si>
  <si>
    <t>623-487-866</t>
  </si>
  <si>
    <t>0947-104-2543</t>
  </si>
  <si>
    <t>margievaldez026@gmail.com</t>
  </si>
  <si>
    <t>OSEC-DOHB-NATT2-270018-2022</t>
  </si>
  <si>
    <t>Nursing Attendant II</t>
  </si>
  <si>
    <t>Nursing Attendant</t>
  </si>
  <si>
    <t>Bugal</t>
  </si>
  <si>
    <t xml:space="preserve">Metring </t>
  </si>
  <si>
    <t>Jaranilla</t>
  </si>
  <si>
    <t>B67 L11 Mabini St</t>
  </si>
  <si>
    <t>Sto. Cristo</t>
  </si>
  <si>
    <t>High School Graduate</t>
  </si>
  <si>
    <t>2005484419</t>
  </si>
  <si>
    <t>1212-3577-0347</t>
  </si>
  <si>
    <t>2300-3147-2356</t>
  </si>
  <si>
    <t>713-299-078</t>
  </si>
  <si>
    <t>0916-743-1523</t>
  </si>
  <si>
    <t>metringbugal@gmail.com</t>
  </si>
  <si>
    <t>OSEC-DOHB-NATT2-270019-2022</t>
  </si>
  <si>
    <t>Dinglasan</t>
  </si>
  <si>
    <t>2F Camella Homes</t>
  </si>
  <si>
    <t>Real I</t>
  </si>
  <si>
    <t>Computer and Networking Technician</t>
  </si>
  <si>
    <t>2005484431</t>
  </si>
  <si>
    <t>2323-3578-2582</t>
  </si>
  <si>
    <t>1920-1121-5587</t>
  </si>
  <si>
    <t>731-299-333</t>
  </si>
  <si>
    <t>0948-619-5113</t>
  </si>
  <si>
    <t>nicadinglasan020686@gmail.com</t>
  </si>
  <si>
    <t>OSEC-DOHB-NATT2-270020-2022</t>
  </si>
  <si>
    <t>Guevarra</t>
  </si>
  <si>
    <t>Aresgado</t>
  </si>
  <si>
    <t>San Andres, Quezon</t>
  </si>
  <si>
    <t>Silangan</t>
  </si>
  <si>
    <t>Healthcare Services Nursing Care</t>
  </si>
  <si>
    <t>2005911420</t>
  </si>
  <si>
    <t>1212-1954-0262</t>
  </si>
  <si>
    <t>0820-1401-6976</t>
  </si>
  <si>
    <t>771-123-508</t>
  </si>
  <si>
    <t>0946-234-9180</t>
  </si>
  <si>
    <t>marissaguevarra798@gmail.com</t>
  </si>
  <si>
    <t>OSEC-DOHB-NATT2-270021-2022</t>
  </si>
  <si>
    <t xml:space="preserve">Katherina </t>
  </si>
  <si>
    <t>Marajas</t>
  </si>
  <si>
    <t>B2 L10 Annaliza St., Equity Homes</t>
  </si>
  <si>
    <t>2005911997</t>
  </si>
  <si>
    <t>1080-0225-2284</t>
  </si>
  <si>
    <t>0102-5140-8713</t>
  </si>
  <si>
    <t>192-447-807</t>
  </si>
  <si>
    <t>0977-648-7472</t>
  </si>
  <si>
    <t>(02) 8798-2707</t>
  </si>
  <si>
    <t>katherina_velasco@yahoo.com</t>
  </si>
  <si>
    <t>OSEC-DOHB-NATT2-270022-2022</t>
  </si>
  <si>
    <t>Sherryl</t>
  </si>
  <si>
    <t>Unit 3 Cor. Pomelo Macopa Rd., Justineville Subd.</t>
  </si>
  <si>
    <t>Practical Nursing</t>
  </si>
  <si>
    <t>2006203400</t>
  </si>
  <si>
    <t>1213-1113-3606</t>
  </si>
  <si>
    <t>0820-1466-7594</t>
  </si>
  <si>
    <t>492-612-623</t>
  </si>
  <si>
    <t>0950-422-3582</t>
  </si>
  <si>
    <t>sherrylvillegas955@gmail.com</t>
  </si>
  <si>
    <t>OSEC-DOHB-NATT2-270023-2022</t>
  </si>
  <si>
    <t>Alfon</t>
  </si>
  <si>
    <t>Ma. Ernhelina</t>
  </si>
  <si>
    <t>Iglesias</t>
  </si>
  <si>
    <t>P5 B24 L6 Matiyaga St., Pamayanang Maliksi</t>
  </si>
  <si>
    <t>Pasong Kawayan II</t>
  </si>
  <si>
    <t>20062033390</t>
  </si>
  <si>
    <t>1211-6626-8732</t>
  </si>
  <si>
    <t>0802-5433-4247</t>
  </si>
  <si>
    <t>300-009-402</t>
  </si>
  <si>
    <t>0928-577-0967</t>
  </si>
  <si>
    <t>maernhelinaalfon@gmail.com</t>
  </si>
  <si>
    <t>OSEC-DOHB-NATT2-270024-2020</t>
  </si>
  <si>
    <t>Tenorio</t>
  </si>
  <si>
    <t xml:space="preserve">Emar </t>
  </si>
  <si>
    <t>Malong</t>
  </si>
  <si>
    <t>Block 1</t>
  </si>
  <si>
    <t>Kaysuyo</t>
  </si>
  <si>
    <t>BS Medical Technologist</t>
  </si>
  <si>
    <t>2005912000</t>
  </si>
  <si>
    <t>1211-6159-4259</t>
  </si>
  <si>
    <t>0105-1136-7919</t>
  </si>
  <si>
    <t>405-703-946</t>
  </si>
  <si>
    <t>0918-462-7077</t>
  </si>
  <si>
    <t>tenorioemar@gmail.com</t>
  </si>
  <si>
    <t>OSEC-DOHB-NATT2-270024-2022</t>
  </si>
  <si>
    <t>Baquigo</t>
  </si>
  <si>
    <t>Marlou</t>
  </si>
  <si>
    <t>Obus</t>
  </si>
  <si>
    <t>313 G. Marquez St.</t>
  </si>
  <si>
    <t>Singuelasan</t>
  </si>
  <si>
    <t>Nursing Aide</t>
  </si>
  <si>
    <t>2006064854</t>
  </si>
  <si>
    <t>1060-0219-0725</t>
  </si>
  <si>
    <t>0105-1146-4914</t>
  </si>
  <si>
    <t>494-609-537</t>
  </si>
  <si>
    <t>0915-200-5658</t>
  </si>
  <si>
    <t>marlouobus88@gmail.com</t>
  </si>
  <si>
    <t>OSEC-DOHB-NATT2-270025-2020</t>
  </si>
  <si>
    <t>Jayne Anne</t>
  </si>
  <si>
    <t>Ebona</t>
  </si>
  <si>
    <t>B1 U11 Phase 1 Ciudad de Strike</t>
  </si>
  <si>
    <t>Molino I</t>
  </si>
  <si>
    <t>2005911400</t>
  </si>
  <si>
    <t>1212-6898-1958</t>
  </si>
  <si>
    <t>0102-5847-1000</t>
  </si>
  <si>
    <t>771-123-840</t>
  </si>
  <si>
    <t>0997-893-0053</t>
  </si>
  <si>
    <t>jannahaqui@gmail.com</t>
  </si>
  <si>
    <t>OSEC-DOHB-NATT2-270025-2022</t>
  </si>
  <si>
    <t>Rhodalyn</t>
  </si>
  <si>
    <t>Ramos</t>
  </si>
  <si>
    <t>Block #2 Lot 16, Westwood Homes</t>
  </si>
  <si>
    <t>2006070539</t>
  </si>
  <si>
    <t>1210-0883-1368</t>
  </si>
  <si>
    <t>0105-1343-2653</t>
  </si>
  <si>
    <t>309-685-448</t>
  </si>
  <si>
    <t>0945-399-4192</t>
  </si>
  <si>
    <t>rhodalyndelacruz51@gmail.com</t>
  </si>
  <si>
    <t>OSEC-DOHB-NATT2-270026-2020</t>
  </si>
  <si>
    <t>Gunting</t>
  </si>
  <si>
    <t>Mercy Ann</t>
  </si>
  <si>
    <t>Romano</t>
  </si>
  <si>
    <t>Guimba, Nueva Ecija</t>
  </si>
  <si>
    <t>P1 B40 L12, Mabolo St., Mary Cris Complex</t>
  </si>
  <si>
    <t>2005911421</t>
  </si>
  <si>
    <t>1211-0520-8593</t>
  </si>
  <si>
    <t>0802-5642-3395</t>
  </si>
  <si>
    <t>464-242-540</t>
  </si>
  <si>
    <t>0923-572-7039</t>
  </si>
  <si>
    <t>charlessegunting@gmail.com</t>
  </si>
  <si>
    <t>OSEC-DOHB-NATT2-270026-2022</t>
  </si>
  <si>
    <t>Manuel</t>
  </si>
  <si>
    <t xml:space="preserve">Sherwin </t>
  </si>
  <si>
    <t>Piddig, Ilocos Norte</t>
  </si>
  <si>
    <t>9117 F. Mendoza St.</t>
  </si>
  <si>
    <t>Galicia III</t>
  </si>
  <si>
    <t>2005911423</t>
  </si>
  <si>
    <t>1210-2909-5610</t>
  </si>
  <si>
    <t>0802-6641-5552</t>
  </si>
  <si>
    <t>751-079-887</t>
  </si>
  <si>
    <t>0961-586-4948</t>
  </si>
  <si>
    <t>sherwinmanuel04241981@gmail.com</t>
  </si>
  <si>
    <t>OSEC-DOHB-NATT2-270027-2020</t>
  </si>
  <si>
    <t>Porras</t>
  </si>
  <si>
    <t>Jay Jay</t>
  </si>
  <si>
    <t>Janairo</t>
  </si>
  <si>
    <t>309 Magdiwang St.</t>
  </si>
  <si>
    <t>2005911995</t>
  </si>
  <si>
    <t>1040-0263-2390</t>
  </si>
  <si>
    <t>0805-0609-8541</t>
  </si>
  <si>
    <t>274-355-050</t>
  </si>
  <si>
    <t>0947-576-2025</t>
  </si>
  <si>
    <t>jaylolaurence@gmail.com</t>
  </si>
  <si>
    <t>OSEC-DOHB-NATT2-270027-2022</t>
  </si>
  <si>
    <t>Mariano</t>
  </si>
  <si>
    <t xml:space="preserve">Ginalin </t>
  </si>
  <si>
    <t>Widowed</t>
  </si>
  <si>
    <t>B70 L1, La Paz Homes II</t>
  </si>
  <si>
    <t>Computer Systems &amp; Business Management</t>
  </si>
  <si>
    <t>2005911425</t>
  </si>
  <si>
    <t>1040-0201-2853</t>
  </si>
  <si>
    <t>1902-6732-4437</t>
  </si>
  <si>
    <t>457-414-941</t>
  </si>
  <si>
    <t>0928-577-2035</t>
  </si>
  <si>
    <t>gsamanthaloise@gmail.com</t>
  </si>
  <si>
    <t>OSEC-DOHB-NATT2-270028-2020</t>
  </si>
  <si>
    <t>Paguibitan</t>
  </si>
  <si>
    <t xml:space="preserve">Dennis </t>
  </si>
  <si>
    <t>Gaite</t>
  </si>
  <si>
    <t>Valenzuela, Bulacan</t>
  </si>
  <si>
    <t>B32 L14, Purok III</t>
  </si>
  <si>
    <t>Elementary Graduate</t>
  </si>
  <si>
    <t>2005681374</t>
  </si>
  <si>
    <t>1030-0169-7287</t>
  </si>
  <si>
    <t>0805-1279-7478</t>
  </si>
  <si>
    <t>155-991-511</t>
  </si>
  <si>
    <t>0907-120-9283</t>
  </si>
  <si>
    <t>OSEC-DOHB-NATT2-270028-2022</t>
  </si>
  <si>
    <t>De Loyola</t>
  </si>
  <si>
    <t>Maria Rhona</t>
  </si>
  <si>
    <t>Brequillo</t>
  </si>
  <si>
    <t>Catanduanes</t>
  </si>
  <si>
    <t>516-A Nazareth Comp.</t>
  </si>
  <si>
    <t>AB Psychology</t>
  </si>
  <si>
    <t>2006203384</t>
  </si>
  <si>
    <t>1212-9477-0618</t>
  </si>
  <si>
    <t>0820-1090-2661</t>
  </si>
  <si>
    <t>753-967-567</t>
  </si>
  <si>
    <t>0963-633-3291</t>
  </si>
  <si>
    <t>marhonade.loyola@gmail.com</t>
  </si>
  <si>
    <t>OSEC-DOHB-NATT2-270029-2022</t>
  </si>
  <si>
    <t>Rañosa</t>
  </si>
  <si>
    <t>Angela</t>
  </si>
  <si>
    <t>Barcoma</t>
  </si>
  <si>
    <t>Iligan City</t>
  </si>
  <si>
    <t>B2 L86 Birch St., Lancaster New City</t>
  </si>
  <si>
    <t>Alapan 2-A</t>
  </si>
  <si>
    <t>2006203389</t>
  </si>
  <si>
    <t>1210-0668-5818</t>
  </si>
  <si>
    <t>1520-1333-2473</t>
  </si>
  <si>
    <t>481-585-081</t>
  </si>
  <si>
    <t>0975-896-2132</t>
  </si>
  <si>
    <t>angela.ranosa86@gmail.com</t>
  </si>
  <si>
    <t>OSEC-DOHB-COK2-270017-2022</t>
  </si>
  <si>
    <t>Cook II</t>
  </si>
  <si>
    <t>Cook</t>
  </si>
  <si>
    <t>Diloy</t>
  </si>
  <si>
    <t>Leonora</t>
  </si>
  <si>
    <t>Binakayan, Kawit, Cavite</t>
  </si>
  <si>
    <t>1158 Pulborista</t>
  </si>
  <si>
    <t>Binakayan</t>
  </si>
  <si>
    <t>Cookery NC II</t>
  </si>
  <si>
    <t>n</t>
  </si>
  <si>
    <t>2006483582</t>
  </si>
  <si>
    <t>1212-7155-3620</t>
  </si>
  <si>
    <t>0820-0883-4764</t>
  </si>
  <si>
    <t>0965-691-6394</t>
  </si>
  <si>
    <t>OSEC-DOHB-COK2-270022-2020</t>
  </si>
  <si>
    <t>Baliton</t>
  </si>
  <si>
    <t xml:space="preserve">Ariel </t>
  </si>
  <si>
    <t>Sayurin</t>
  </si>
  <si>
    <t>602 Villa Nicasia III</t>
  </si>
  <si>
    <t>Tanzang Luma</t>
  </si>
  <si>
    <t>BS Electronics</t>
  </si>
  <si>
    <t>2004965869</t>
  </si>
  <si>
    <t>1211-7495-3300</t>
  </si>
  <si>
    <t>0800-0112-3851</t>
  </si>
  <si>
    <t>292-789-343</t>
  </si>
  <si>
    <t>0949-187-6131</t>
  </si>
  <si>
    <t>(046) 472-0227</t>
  </si>
  <si>
    <t>arielbaliton@yahoo.com</t>
  </si>
  <si>
    <t>OSEC-DOHB-COK2-270023-2020</t>
  </si>
  <si>
    <t>Ferrando</t>
  </si>
  <si>
    <t>Joseph Estravinsky</t>
  </si>
  <si>
    <t>Duay</t>
  </si>
  <si>
    <t>Phase 12A Blk 94 Lot 18, Italy St., Wellington Place</t>
  </si>
  <si>
    <t>NC III - Ship's Catering</t>
  </si>
  <si>
    <t>2006346350</t>
  </si>
  <si>
    <t>1211-6679-8872</t>
  </si>
  <si>
    <t>1602-5408-2942</t>
  </si>
  <si>
    <t>276-720-417</t>
  </si>
  <si>
    <t>0969-205-6581</t>
  </si>
  <si>
    <t>michelle_ambay23@yahoo.com</t>
  </si>
  <si>
    <t>OSEC-DOHB-ADA4-27-2025</t>
  </si>
  <si>
    <t>Administrative Aide IV</t>
  </si>
  <si>
    <t>Transport Section</t>
  </si>
  <si>
    <t>Ching</t>
  </si>
  <si>
    <t>Ryan</t>
  </si>
  <si>
    <t>Block 13 Lot 26 Phase A, Woodlane</t>
  </si>
  <si>
    <t>Malagasang 1-B</t>
  </si>
  <si>
    <t>Driver's License</t>
  </si>
  <si>
    <t>D06-98-200503</t>
  </si>
  <si>
    <t>1211-8871-5664</t>
  </si>
  <si>
    <t>0805-1285-0026</t>
  </si>
  <si>
    <t>421-525-781</t>
  </si>
  <si>
    <t>0921-729-5084</t>
  </si>
  <si>
    <t>maanching.mc@gmail.com</t>
  </si>
  <si>
    <t>OSEC-DOHB-ADA4-28-2025</t>
  </si>
  <si>
    <t>Vacant</t>
  </si>
  <si>
    <t>OSEC-DOHB-ADA4-270018-2020</t>
  </si>
  <si>
    <t>Administrative Aide IV (Driver II)</t>
  </si>
  <si>
    <t>Roderick</t>
  </si>
  <si>
    <t>Almendras</t>
  </si>
  <si>
    <t>11 Emerald St., Greenpark</t>
  </si>
  <si>
    <t>San Isidro</t>
  </si>
  <si>
    <t>Cainta</t>
  </si>
  <si>
    <t>Rizal</t>
  </si>
  <si>
    <t>D16-92-067316</t>
  </si>
  <si>
    <t>2006064853</t>
  </si>
  <si>
    <t>0302-6631-9386</t>
  </si>
  <si>
    <t>474-413-802</t>
  </si>
  <si>
    <t>0995-522-0014</t>
  </si>
  <si>
    <t>OSEC-DOHB-ADA4-270019-2020</t>
  </si>
  <si>
    <t xml:space="preserve">Dick </t>
  </si>
  <si>
    <t>Pilon</t>
  </si>
  <si>
    <t>B94 L21 P12-A</t>
  </si>
  <si>
    <t>Computer Technician and System Management</t>
  </si>
  <si>
    <t>N0300292519</t>
  </si>
  <si>
    <t>2005971521</t>
  </si>
  <si>
    <t>1212-8994-2791</t>
  </si>
  <si>
    <t>0802-6860-0713</t>
  </si>
  <si>
    <t>716-064-389</t>
  </si>
  <si>
    <t>0919-364-0030</t>
  </si>
  <si>
    <t>frstbloodxxx@gmail.com</t>
  </si>
  <si>
    <t>OSEC-DOHB-ADA4-270020-2020</t>
  </si>
  <si>
    <t>Faustino Jr.</t>
  </si>
  <si>
    <t>Papio</t>
  </si>
  <si>
    <t>Ibaan, Batangas</t>
  </si>
  <si>
    <t>Sabang</t>
  </si>
  <si>
    <t>Ibaan</t>
  </si>
  <si>
    <t>Computer Programming</t>
  </si>
  <si>
    <t>D01-00-171830</t>
  </si>
  <si>
    <t>2005089398</t>
  </si>
  <si>
    <t>1210-0703-6539</t>
  </si>
  <si>
    <t>0202-5331-1540</t>
  </si>
  <si>
    <t>920-531-886</t>
  </si>
  <si>
    <t>0908-675-5105</t>
  </si>
  <si>
    <t>OSEC-DOHB-ADA4-270021-2020</t>
  </si>
  <si>
    <t>Nicor</t>
  </si>
  <si>
    <t>Napoleon</t>
  </si>
  <si>
    <t>Aliosa</t>
  </si>
  <si>
    <t>Negros Occidental</t>
  </si>
  <si>
    <t>178 Malaya</t>
  </si>
  <si>
    <t>Malanday</t>
  </si>
  <si>
    <t>Marikina City</t>
  </si>
  <si>
    <t>Driving</t>
  </si>
  <si>
    <t>N0296309216</t>
  </si>
  <si>
    <t>2006360691</t>
  </si>
  <si>
    <t>1210-1494-1159</t>
  </si>
  <si>
    <t>1905-2212-9406</t>
  </si>
  <si>
    <t>100-640-466</t>
  </si>
  <si>
    <t>0947-281-6418</t>
  </si>
  <si>
    <t>napnicor@gmail.com</t>
  </si>
  <si>
    <t>OSEC-DOHB-DTA-270004-2022</t>
  </si>
  <si>
    <t>Dental Aide</t>
  </si>
  <si>
    <t>Corazon</t>
  </si>
  <si>
    <t>Blk 7 Lot 9 Rockwell St. Phase 2, Meralco Subd.</t>
  </si>
  <si>
    <t>BS Banking and Finance</t>
  </si>
  <si>
    <t>2006306663</t>
  </si>
  <si>
    <t>1030-0139-3442</t>
  </si>
  <si>
    <t>0805-0593-7760</t>
  </si>
  <si>
    <t>908-697-605</t>
  </si>
  <si>
    <t>0991-396-4485</t>
  </si>
  <si>
    <t>corazonarpa5@gmail.com</t>
  </si>
  <si>
    <t>OSEC-DOHB-LABA2-270015-2020</t>
  </si>
  <si>
    <t>Laboratory Aide II</t>
  </si>
  <si>
    <t>Laboratory Aide</t>
  </si>
  <si>
    <t>Ferrer Jr</t>
  </si>
  <si>
    <t xml:space="preserve">Roberto </t>
  </si>
  <si>
    <t>Zomil</t>
  </si>
  <si>
    <t>B66 L3 Mabuhay Homes</t>
  </si>
  <si>
    <t>Computer Science</t>
  </si>
  <si>
    <t>2003792815</t>
  </si>
  <si>
    <t>1212-1693-5370</t>
  </si>
  <si>
    <t>9180-1982-2129</t>
  </si>
  <si>
    <t>358-302-678</t>
  </si>
  <si>
    <t>0956-833-0102</t>
  </si>
  <si>
    <t>ferremily@gmail.com</t>
  </si>
  <si>
    <t>OSEC-DOHB-LABA2-270015-2022</t>
  </si>
  <si>
    <t>Ralleca</t>
  </si>
  <si>
    <t>Raiza Jane</t>
  </si>
  <si>
    <t>Yanga</t>
  </si>
  <si>
    <t>Block 4 Lot 3 Acacia St., Verville Subd.</t>
  </si>
  <si>
    <t>Bayan Luma 8</t>
  </si>
  <si>
    <t>BSBA Management Entrep.</t>
  </si>
  <si>
    <t>1211-3016-6226</t>
  </si>
  <si>
    <t>0202-5875-4221</t>
  </si>
  <si>
    <t>428-215-252</t>
  </si>
  <si>
    <t>0928-151-0322</t>
  </si>
  <si>
    <t>rjalleca14@gmail.com</t>
  </si>
  <si>
    <t>OSEC-DOHB-LABA2-270016-2020</t>
  </si>
  <si>
    <t>Gisalan</t>
  </si>
  <si>
    <t xml:space="preserve">Ryan </t>
  </si>
  <si>
    <t>Febrero</t>
  </si>
  <si>
    <t>Bulan, Sorsogion</t>
  </si>
  <si>
    <t>B3 L8 P2, Zambales St., Villa Arsenia Subd.</t>
  </si>
  <si>
    <t>2005911419</t>
  </si>
  <si>
    <t>1210-9534-1554</t>
  </si>
  <si>
    <t>0920-0323-5736</t>
  </si>
  <si>
    <t>239-372-824</t>
  </si>
  <si>
    <t>0918-783-2547</t>
  </si>
  <si>
    <t>gisalan_r@yahoo.com</t>
  </si>
  <si>
    <t>OSEC-DOHB-LABA2-270016-2022</t>
  </si>
  <si>
    <t>Salonoy</t>
  </si>
  <si>
    <t>Daryl</t>
  </si>
  <si>
    <t>Turla</t>
  </si>
  <si>
    <t>Block 41 Lot 11</t>
  </si>
  <si>
    <t>2006360695</t>
  </si>
  <si>
    <t>1210-8384-0652</t>
  </si>
  <si>
    <t>0802-5516-2180</t>
  </si>
  <si>
    <t>312-728-705</t>
  </si>
  <si>
    <t>0915-888-6054</t>
  </si>
  <si>
    <t>dharksalosal@gmial.com</t>
  </si>
  <si>
    <t>OSEC-DOHB-LABA2-270017-2020</t>
  </si>
  <si>
    <t>Lamsen</t>
  </si>
  <si>
    <t>Eleonor</t>
  </si>
  <si>
    <t>Albaniel</t>
  </si>
  <si>
    <t>261-D Sitio Sulok</t>
  </si>
  <si>
    <t>Ligas III</t>
  </si>
  <si>
    <t>0112682</t>
  </si>
  <si>
    <t>2000772401</t>
  </si>
  <si>
    <t>1210-0149-3442</t>
  </si>
  <si>
    <t>1905-0989-4837</t>
  </si>
  <si>
    <t>236-824-455</t>
  </si>
  <si>
    <t>0906-183-4995</t>
  </si>
  <si>
    <t>(046) 418-1658</t>
  </si>
  <si>
    <t>eleonorlamsen@yahoo.com</t>
  </si>
  <si>
    <t>OSEC-DOHB-NATT1-270004-2020</t>
  </si>
  <si>
    <t>Nursing Attendant I</t>
  </si>
  <si>
    <t>Joanna Rio</t>
  </si>
  <si>
    <t>Dagoy</t>
  </si>
  <si>
    <t>Block 23 Lot 45 Golden City</t>
  </si>
  <si>
    <t xml:space="preserve">. </t>
  </si>
  <si>
    <t>1210-0368-7003</t>
  </si>
  <si>
    <t>0105-1441-7585</t>
  </si>
  <si>
    <t>270-072-814</t>
  </si>
  <si>
    <t>0995-101-9844</t>
  </si>
  <si>
    <t>joannarioguevarra0705@gmail.com</t>
  </si>
  <si>
    <t>OSEC-DOHB-NATT1-270005-2020</t>
  </si>
  <si>
    <t>Doctor</t>
  </si>
  <si>
    <t>Roxanne</t>
  </si>
  <si>
    <t>Lipura</t>
  </si>
  <si>
    <t>696 Kalayaan</t>
  </si>
  <si>
    <t>45-A San Antonio</t>
  </si>
  <si>
    <t>4100</t>
  </si>
  <si>
    <t>2006464537</t>
  </si>
  <si>
    <t>1210-0266-8843</t>
  </si>
  <si>
    <t>1902-5563-8320</t>
  </si>
  <si>
    <t>706-498-913</t>
  </si>
  <si>
    <t>0956-149-6954</t>
  </si>
  <si>
    <t>(046) 436-0039</t>
  </si>
  <si>
    <t>roxannelipuradoctor0118@gmail.com</t>
  </si>
  <si>
    <t>OSEC-DOHB-NATT1-270005-2022</t>
  </si>
  <si>
    <t>Miñeque</t>
  </si>
  <si>
    <t>Noeshelle</t>
  </si>
  <si>
    <t>Romblon, Romblon</t>
  </si>
  <si>
    <t>Block 13 Lot 6 Phase 9, Golden City Dasma 4</t>
  </si>
  <si>
    <t>Bachelor of Elementary Education</t>
  </si>
  <si>
    <t>2006464647</t>
  </si>
  <si>
    <t>1213-2240-6877</t>
  </si>
  <si>
    <t>0920-1756-2659</t>
  </si>
  <si>
    <t>725-187-293</t>
  </si>
  <si>
    <t>0967-139-2158</t>
  </si>
  <si>
    <t>minequenoeshelle@gmail.com</t>
  </si>
  <si>
    <t>OSEC-DOHB-NATT1-270006-2020</t>
  </si>
  <si>
    <t>Jennifer</t>
  </si>
  <si>
    <t>Blk 15 Lot 33 George Duana Ave., Georgetown Heights</t>
  </si>
  <si>
    <t>2006346105</t>
  </si>
  <si>
    <t>1211-7948-3692</t>
  </si>
  <si>
    <t>0820-0855-6675</t>
  </si>
  <si>
    <t>379-961-465</t>
  </si>
  <si>
    <t>0967-238-8955</t>
  </si>
  <si>
    <t>Antoniojenny77@gmail.com</t>
  </si>
  <si>
    <t>OSEC-DOHB-NATT1-270006-2022</t>
  </si>
  <si>
    <t>Gerber Niña</t>
  </si>
  <si>
    <t>64 Tirona Highway</t>
  </si>
  <si>
    <t>Mabolo I</t>
  </si>
  <si>
    <t>2006203398</t>
  </si>
  <si>
    <t>1212-4568-1023</t>
  </si>
  <si>
    <t>0825-3164-0442</t>
  </si>
  <si>
    <t>493-224-174</t>
  </si>
  <si>
    <t>0995-889-6154</t>
  </si>
  <si>
    <t>jennydino03@gmail.com</t>
  </si>
  <si>
    <t>OSEC-DOHB-NATT1-270007-2020</t>
  </si>
  <si>
    <t>Shirlyn</t>
  </si>
  <si>
    <t>Caballero</t>
  </si>
  <si>
    <t>Block 3 Lot 2 Phase 2 Tupelo St., Vista Verde South</t>
  </si>
  <si>
    <t>2006360705</t>
  </si>
  <si>
    <t>1212-2464-5745</t>
  </si>
  <si>
    <t>0802-6892-8840</t>
  </si>
  <si>
    <t>418-267-037</t>
  </si>
  <si>
    <t>0906-437-0485</t>
  </si>
  <si>
    <t>OSEC-DOHB-NATT1-270007-2022</t>
  </si>
  <si>
    <t>Cabrera</t>
  </si>
  <si>
    <t>Zeres</t>
  </si>
  <si>
    <t>Aganan</t>
  </si>
  <si>
    <t>Block 1 Lot 22 4th St., Villamodesta</t>
  </si>
  <si>
    <t>Associate Degree</t>
  </si>
  <si>
    <t>Associate in Midwifery</t>
  </si>
  <si>
    <t>2006026264</t>
  </si>
  <si>
    <t>1211-0910-0890</t>
  </si>
  <si>
    <t>0820-1090-6527</t>
  </si>
  <si>
    <t>438-198-843</t>
  </si>
  <si>
    <t>0908-777-1551</t>
  </si>
  <si>
    <t>cabrerazeres@gmail.com</t>
  </si>
  <si>
    <t>OSEC-DOHB-NATT1-270008-2020</t>
  </si>
  <si>
    <t>Ada</t>
  </si>
  <si>
    <t xml:space="preserve">Josephine </t>
  </si>
  <si>
    <t>Villarin</t>
  </si>
  <si>
    <t>Katangawan, General Santos City</t>
  </si>
  <si>
    <t>332 Col J</t>
  </si>
  <si>
    <t>Toclong I-B</t>
  </si>
  <si>
    <t>2005911395</t>
  </si>
  <si>
    <t>1212-6545-7261</t>
  </si>
  <si>
    <t>1725-1849-9144</t>
  </si>
  <si>
    <t>434-562-178</t>
  </si>
  <si>
    <t>0955-472-9925</t>
  </si>
  <si>
    <t>josephineada14@gmail.com</t>
  </si>
  <si>
    <t>OSEC-DOHB-NATT1-270008-2022</t>
  </si>
  <si>
    <t>Pantaleon</t>
  </si>
  <si>
    <t>Christopher</t>
  </si>
  <si>
    <t>Fedelico</t>
  </si>
  <si>
    <t>B24 L23 Courtyard, Golden Horizon</t>
  </si>
  <si>
    <t>NC I - Ref and Aircon</t>
  </si>
  <si>
    <t>2004672465</t>
  </si>
  <si>
    <t>1211-3777-5551</t>
  </si>
  <si>
    <t>0080-2000-0062</t>
  </si>
  <si>
    <t>285-633-416</t>
  </si>
  <si>
    <t>0947-424-8323</t>
  </si>
  <si>
    <t>xhris0419@gmail.com</t>
  </si>
  <si>
    <t>OSEC-DOHB-NATT1-270009-2020</t>
  </si>
  <si>
    <t>Taruc</t>
  </si>
  <si>
    <t>Reggie</t>
  </si>
  <si>
    <t>Gallaza</t>
  </si>
  <si>
    <t>Block 105 Lot 3 PH3</t>
  </si>
  <si>
    <t>Paliparan III-Site</t>
  </si>
  <si>
    <t>NC II - Caregiving</t>
  </si>
  <si>
    <t>1211-5223-9461</t>
  </si>
  <si>
    <t>0802-6000-6286</t>
  </si>
  <si>
    <t>473-384-182</t>
  </si>
  <si>
    <t>0985-804-1442</t>
  </si>
  <si>
    <t>tarucreggie@gmail.com</t>
  </si>
  <si>
    <t>OSEC-DOHB-NATT1-270009-2022</t>
  </si>
  <si>
    <t>Abarquez</t>
  </si>
  <si>
    <t>Myra Fe</t>
  </si>
  <si>
    <t>Ando</t>
  </si>
  <si>
    <t>Bohol</t>
  </si>
  <si>
    <t>Block 31 Lot 2 Tupelo St., Phase 2, Vista Verde South</t>
  </si>
  <si>
    <t>Healthcare Services</t>
  </si>
  <si>
    <t>2006523898</t>
  </si>
  <si>
    <t>1213-4710-4385</t>
  </si>
  <si>
    <t>1225-0405-8768</t>
  </si>
  <si>
    <t>267-802-371</t>
  </si>
  <si>
    <t>0995-378-2428</t>
  </si>
  <si>
    <t>abarquezmyrafe46@gmail.com</t>
  </si>
  <si>
    <t>OSEC-DOHB-NATT1-270010-2020</t>
  </si>
  <si>
    <t>Pagal</t>
  </si>
  <si>
    <t xml:space="preserve">Eduardo </t>
  </si>
  <si>
    <t>Gelio</t>
  </si>
  <si>
    <t>Matalom, Leyte</t>
  </si>
  <si>
    <t>B2 L48 P1-E, Kasiglahan Village</t>
  </si>
  <si>
    <t>NC II - Welding</t>
  </si>
  <si>
    <t>2005911993</t>
  </si>
  <si>
    <t>1212-1400-3606</t>
  </si>
  <si>
    <t>1220-1231-9111</t>
  </si>
  <si>
    <t>356-068-886</t>
  </si>
  <si>
    <t>0920-894-4961</t>
  </si>
  <si>
    <t>eduard.pagal@gmail.com</t>
  </si>
  <si>
    <t>OSEC-DOHB-NATT1-270010-2022</t>
  </si>
  <si>
    <t>Gregorio</t>
  </si>
  <si>
    <t>Maria Kristel</t>
  </si>
  <si>
    <t>Block 4 Lot 8 Progressive 14</t>
  </si>
  <si>
    <t>2006360712</t>
  </si>
  <si>
    <t>1212-9481-6753</t>
  </si>
  <si>
    <t>0820-0913-1740</t>
  </si>
  <si>
    <t>492-890-351</t>
  </si>
  <si>
    <t>0955-736-3992</t>
  </si>
  <si>
    <t>mariakristeldeguzman020@gmail.com</t>
  </si>
  <si>
    <t>OSEC-DOHB-NATT1-270011-2020</t>
  </si>
  <si>
    <t>Balbin</t>
  </si>
  <si>
    <t>Mosuela</t>
  </si>
  <si>
    <t>Sta. Maria, Bulacan</t>
  </si>
  <si>
    <t>285 Luwasan St.</t>
  </si>
  <si>
    <t>Balasing</t>
  </si>
  <si>
    <t>Sta. Maria</t>
  </si>
  <si>
    <t>Bulacan</t>
  </si>
  <si>
    <t>2005911412</t>
  </si>
  <si>
    <t>1211-4132-2234</t>
  </si>
  <si>
    <t>0302-5751-1002</t>
  </si>
  <si>
    <t>722-983-345</t>
  </si>
  <si>
    <t>0908-223-0935</t>
  </si>
  <si>
    <t>sbalbin9@gmail.com</t>
  </si>
  <si>
    <t>OSEC-DOHB-NATT1-270011-2022</t>
  </si>
  <si>
    <t>Nancy</t>
  </si>
  <si>
    <t>Guinto</t>
  </si>
  <si>
    <t>1378 Sgt. Matro</t>
  </si>
  <si>
    <t>Samala Marquez</t>
  </si>
  <si>
    <t>2006360701</t>
  </si>
  <si>
    <t>1212-1622-4425</t>
  </si>
  <si>
    <t>0802-5407-6280</t>
  </si>
  <si>
    <t>288-959-747</t>
  </si>
  <si>
    <t>0975-461-3257</t>
  </si>
  <si>
    <t>nazdguzman21@gmail.com</t>
  </si>
  <si>
    <t>OSEC-DOHB-NATT1-270012-2020</t>
  </si>
  <si>
    <t>Edgardo</t>
  </si>
  <si>
    <t>Fortunato</t>
  </si>
  <si>
    <t>Block 9 Lot 12</t>
  </si>
  <si>
    <t>San Fracisco II</t>
  </si>
  <si>
    <t>2006643540</t>
  </si>
  <si>
    <t>1210-9785-5658</t>
  </si>
  <si>
    <t>0105-1438-5276</t>
  </si>
  <si>
    <t>313-563-504</t>
  </si>
  <si>
    <t>0976-117-0793</t>
  </si>
  <si>
    <t>alfonsoedgardo6@gmail.com</t>
  </si>
  <si>
    <t>OSEC-DOHB-NATT1-270012-2022</t>
  </si>
  <si>
    <t>Abas</t>
  </si>
  <si>
    <t>Resh</t>
  </si>
  <si>
    <t>Azul</t>
  </si>
  <si>
    <t>Muntinlupa City</t>
  </si>
  <si>
    <t>Block 9 Lot 5 GMA Housing</t>
  </si>
  <si>
    <t>Bagbag 1</t>
  </si>
  <si>
    <t>Caregiving</t>
  </si>
  <si>
    <t>2006396190</t>
  </si>
  <si>
    <t>1030-0061-3447</t>
  </si>
  <si>
    <t>0802-5418-0843</t>
  </si>
  <si>
    <t>413-843-319</t>
  </si>
  <si>
    <t>0976-031-3246</t>
  </si>
  <si>
    <t>(046) 886-6624</t>
  </si>
  <si>
    <t>reshabas1317@gmail.com</t>
  </si>
  <si>
    <t>OSEC-DOHB-NATT1-270013-2020</t>
  </si>
  <si>
    <t>Catapang</t>
  </si>
  <si>
    <t>Ronnie Ross</t>
  </si>
  <si>
    <t>Masangkay</t>
  </si>
  <si>
    <t>00123 Kahilon</t>
  </si>
  <si>
    <t>Caluangan</t>
  </si>
  <si>
    <t>4113</t>
  </si>
  <si>
    <t>2006464534</t>
  </si>
  <si>
    <t>1212-3665-5413</t>
  </si>
  <si>
    <t>0302-6351-0867</t>
  </si>
  <si>
    <t>725-443-133</t>
  </si>
  <si>
    <t>0955-776-0730</t>
  </si>
  <si>
    <t>iam.ronnieross@gmail.com</t>
  </si>
  <si>
    <t>OSEC-DOHB-NATT1-270013-2022</t>
  </si>
  <si>
    <t>Balonzo</t>
  </si>
  <si>
    <t>Carrlyn</t>
  </si>
  <si>
    <t>Eusebio</t>
  </si>
  <si>
    <t>Block 4 Lot 19 Carnation St., Camella Homes East.</t>
  </si>
  <si>
    <t>2006396217</t>
  </si>
  <si>
    <t>1212-8102-2616</t>
  </si>
  <si>
    <t>0909-0160-4243</t>
  </si>
  <si>
    <t>242-202-659</t>
  </si>
  <si>
    <t>0995-957-0175</t>
  </si>
  <si>
    <t>(046) 519-8927</t>
  </si>
  <si>
    <t>carrbalonzo25@gmail.com</t>
  </si>
  <si>
    <t>OSEC-DOHB-NATT1-270014-2020</t>
  </si>
  <si>
    <t>Fuentes</t>
  </si>
  <si>
    <t>Anamarie</t>
  </si>
  <si>
    <t>Palomo</t>
  </si>
  <si>
    <t>2006464542</t>
  </si>
  <si>
    <t>1212-0745-6055</t>
  </si>
  <si>
    <t>0802-5484-4903</t>
  </si>
  <si>
    <t>179-592-946</t>
  </si>
  <si>
    <t>0945-247-3567</t>
  </si>
  <si>
    <t>lunasanders357@gmail.com</t>
  </si>
  <si>
    <t>OSEC-DOHB-NATT1-270014-2022</t>
  </si>
  <si>
    <t>Garrido</t>
  </si>
  <si>
    <t>Ronaldo</t>
  </si>
  <si>
    <t>Malandac</t>
  </si>
  <si>
    <t>Blk 21 Lot 55, Victoria Reyes</t>
  </si>
  <si>
    <t>2006407428</t>
  </si>
  <si>
    <t>1211-4138-8754</t>
  </si>
  <si>
    <t>0802-5930-3927</t>
  </si>
  <si>
    <t>233-288-201</t>
  </si>
  <si>
    <t>0916-872-5962</t>
  </si>
  <si>
    <t>ronaldogarrido261984@gmail.com</t>
  </si>
  <si>
    <t>OSEC-DOHB-ADA3-270002-2020</t>
  </si>
  <si>
    <t>Administrative Aide III (Utility Worker II)</t>
  </si>
  <si>
    <t>Administrative Aide III</t>
  </si>
  <si>
    <t>Brecia</t>
  </si>
  <si>
    <t>Ignacio</t>
  </si>
  <si>
    <t>Block 10 Lot 20 Daphne, Sorrento</t>
  </si>
  <si>
    <t>Computer Design and Programming</t>
  </si>
  <si>
    <t>2006407394</t>
  </si>
  <si>
    <t>1040-0281-4551</t>
  </si>
  <si>
    <t>1909-0498-3253</t>
  </si>
  <si>
    <t>230-525-846</t>
  </si>
  <si>
    <t>0927-702-4209</t>
  </si>
  <si>
    <t>(046) 482-7283</t>
  </si>
  <si>
    <t>kat19_ew@yahoo.com</t>
  </si>
  <si>
    <t>OSEC-DOHB-ADA3-270002-2022</t>
  </si>
  <si>
    <t>Department of Radiology</t>
  </si>
  <si>
    <t>Glenda</t>
  </si>
  <si>
    <t>Espiritu</t>
  </si>
  <si>
    <t>92 Pinahan St.</t>
  </si>
  <si>
    <t>Associate in Radiologic Technology</t>
  </si>
  <si>
    <t>1210-7740-1201</t>
  </si>
  <si>
    <t>0805-0246-9103</t>
  </si>
  <si>
    <t>135-753-145</t>
  </si>
  <si>
    <t>0927-047-3529</t>
  </si>
  <si>
    <t>glendaespirituaquino@gmail.com</t>
  </si>
  <si>
    <t>OSEC-DOHB-ADA3-270003-2020</t>
  </si>
  <si>
    <t>Carreon</t>
  </si>
  <si>
    <t>Aaron</t>
  </si>
  <si>
    <t>B15 L27 Kaia Homes</t>
  </si>
  <si>
    <t>2006203227</t>
  </si>
  <si>
    <t>1090-0124-1662</t>
  </si>
  <si>
    <t>1205-0931-4530</t>
  </si>
  <si>
    <t>417-614-600</t>
  </si>
  <si>
    <t>0966-899-2401</t>
  </si>
  <si>
    <t>(046) 440-9647</t>
  </si>
  <si>
    <t>ythanbrix19@gmail.com</t>
  </si>
  <si>
    <t>OSEC-DOHB-ADA3-270003-2022</t>
  </si>
  <si>
    <t>Marianne</t>
  </si>
  <si>
    <t>Agreda</t>
  </si>
  <si>
    <t>Pulborista</t>
  </si>
  <si>
    <t>1030-0172-1788</t>
  </si>
  <si>
    <t>0802-516-7815</t>
  </si>
  <si>
    <t>400-073-535</t>
  </si>
  <si>
    <t>0922-492-1400</t>
  </si>
  <si>
    <t>mariannebartolome5@gmail.com</t>
  </si>
  <si>
    <t>OSEC-DOHB-LAW2-270001-2020</t>
  </si>
  <si>
    <t>Laundry Worker II</t>
  </si>
  <si>
    <t>Laundry Worker</t>
  </si>
  <si>
    <t>Gapuz</t>
  </si>
  <si>
    <t>Amelita</t>
  </si>
  <si>
    <t>Cabral</t>
  </si>
  <si>
    <t>Rosario, Batangas</t>
  </si>
  <si>
    <t>363 Manggahan I Ext., Reyville</t>
  </si>
  <si>
    <t>2006095833</t>
  </si>
  <si>
    <t>1211-2018-0163</t>
  </si>
  <si>
    <t>0825-0146-2485</t>
  </si>
  <si>
    <t>704-436-696</t>
  </si>
  <si>
    <t>0961-520-5338</t>
  </si>
  <si>
    <t>kimcherry042112@gmail.com</t>
  </si>
  <si>
    <t>OSEC-DOHB-SEAM-270001-2022</t>
  </si>
  <si>
    <t>Seamstress</t>
  </si>
  <si>
    <t>Rarugal</t>
  </si>
  <si>
    <t>Ma. Victoria</t>
  </si>
  <si>
    <t>Block F15 Lot 4</t>
  </si>
  <si>
    <t>Sta. Cristina I</t>
  </si>
  <si>
    <t>2006407408</t>
  </si>
  <si>
    <t>1212-7878-9269</t>
  </si>
  <si>
    <t>0202-5559-5459</t>
  </si>
  <si>
    <t>492-727-981</t>
  </si>
  <si>
    <t>0918-222-2409</t>
  </si>
  <si>
    <t>ma.victoriar@yahoo.com</t>
  </si>
  <si>
    <t>Republic of the Philippines</t>
  </si>
  <si>
    <t>Department of Health</t>
  </si>
  <si>
    <t>Table 4. Distribution of Permanent Employees by Division Assignment and Age Group</t>
  </si>
  <si>
    <t>SOUTHERN TAGALOG REGIONAL HOSPITAL</t>
  </si>
  <si>
    <t>as of June 5, 2024</t>
  </si>
  <si>
    <t>Brgy. Habay II, City of Bacoor, Cavite</t>
  </si>
  <si>
    <r>
      <rPr>
        <sz val="10"/>
        <color theme="1"/>
        <rFont val="Arial"/>
        <charset val="134"/>
      </rPr>
      <t xml:space="preserve">Tel No. </t>
    </r>
    <r>
      <rPr>
        <b/>
        <sz val="10"/>
        <color theme="1"/>
        <rFont val="Arial"/>
        <charset val="134"/>
      </rPr>
      <t>(046) 884-2810 / (046)435-1071 / (046)435-0742</t>
    </r>
  </si>
  <si>
    <t xml:space="preserve"> Email: HRMS@strh.doh.gov.ph</t>
  </si>
  <si>
    <t>Table 1. Status of Plantilla Position by Division</t>
  </si>
  <si>
    <t>Table 2. Distribution of Permanent Employees by Level, Division Assignment and Sex</t>
  </si>
  <si>
    <t>as of</t>
  </si>
  <si>
    <t xml:space="preserve"> Table 3. Distribution of Permanent Employees by CADRE</t>
  </si>
  <si>
    <t>Prepared by:</t>
  </si>
  <si>
    <t>Noted by:</t>
  </si>
  <si>
    <t>CEPRIANO EDUARDO J. MALAYA, MMHoA</t>
  </si>
  <si>
    <t>WILMA P. BAYAS, MMHoA</t>
  </si>
  <si>
    <t>Administrative Officer V / HRMO III</t>
  </si>
  <si>
    <t>Table 4. Distribution of Permanent Employees by Position</t>
  </si>
  <si>
    <t xml:space="preserve">as of </t>
  </si>
  <si>
    <t>Divisions</t>
  </si>
  <si>
    <t>Position</t>
  </si>
  <si>
    <t>Total</t>
  </si>
  <si>
    <t>Level</t>
  </si>
  <si>
    <t>SEX</t>
  </si>
  <si>
    <t>Unfilled</t>
  </si>
  <si>
    <t>Medical Laboratory Technician</t>
  </si>
  <si>
    <t>Division</t>
  </si>
  <si>
    <t>Age Group</t>
  </si>
  <si>
    <t>20-29</t>
  </si>
  <si>
    <t>30-39</t>
  </si>
  <si>
    <t>40-49</t>
  </si>
  <si>
    <t>50-59</t>
  </si>
  <si>
    <t>60 and above</t>
  </si>
  <si>
    <t>Medical Laboratory Technician II</t>
  </si>
  <si>
    <t>LAST DAY</t>
  </si>
  <si>
    <t>STEP</t>
  </si>
  <si>
    <t>BASIC SALARY</t>
  </si>
  <si>
    <t>mm/dd/yyyy</t>
  </si>
  <si>
    <t>Remarks</t>
  </si>
  <si>
    <t>Enaldo</t>
  </si>
  <si>
    <t>Jim Dember</t>
  </si>
  <si>
    <t>Tagle</t>
  </si>
  <si>
    <t>June 1, 2021</t>
  </si>
  <si>
    <t>#59 Ilaya Proper</t>
  </si>
  <si>
    <t>Assoc. HRM</t>
  </si>
  <si>
    <t>PROF-N26-07-011011</t>
  </si>
  <si>
    <t>2004-119-819</t>
  </si>
  <si>
    <t>1210-5653-2579</t>
  </si>
  <si>
    <t>1305-0228-1921</t>
  </si>
  <si>
    <t>302-753-494</t>
  </si>
  <si>
    <t>0916-225-9532</t>
  </si>
  <si>
    <t>jimdember@gmail.com</t>
  </si>
  <si>
    <t>Marasigan</t>
  </si>
  <si>
    <t>Roselene Mae</t>
  </si>
  <si>
    <t>May 18, 2021</t>
  </si>
  <si>
    <t>Unit D B17 L15, Bacolod St., Southern City</t>
  </si>
  <si>
    <t>Tanzang Luma 4</t>
  </si>
  <si>
    <t>PRC</t>
  </si>
  <si>
    <t>0900083</t>
  </si>
  <si>
    <t>1210-8806-3655</t>
  </si>
  <si>
    <t>0305-1075-9288</t>
  </si>
  <si>
    <t>703-799-575</t>
  </si>
  <si>
    <t>0956-733-7778</t>
  </si>
  <si>
    <t>(046) 431-2908</t>
  </si>
  <si>
    <t>rosemarasigan2015@gmail.com</t>
  </si>
  <si>
    <t>Baita</t>
  </si>
  <si>
    <t>Aeron Frank</t>
  </si>
  <si>
    <t>Tapawan</t>
  </si>
  <si>
    <t>May 20, 2021</t>
  </si>
  <si>
    <t>257 Arnaldo Highway</t>
  </si>
  <si>
    <t>Pasong Camachille I</t>
  </si>
  <si>
    <t>0701215</t>
  </si>
  <si>
    <t>1211-1027-6955</t>
  </si>
  <si>
    <t>0802-5665-6942</t>
  </si>
  <si>
    <t>283-127-687</t>
  </si>
  <si>
    <t>0995-976-7886</t>
  </si>
  <si>
    <t>aeonfrankb@gmail.com</t>
  </si>
  <si>
    <t>Bernandino</t>
  </si>
  <si>
    <t>Jaybee</t>
  </si>
  <si>
    <t>Julian</t>
  </si>
  <si>
    <t>May 17, 2021</t>
  </si>
  <si>
    <t>Peñaranda, Nueva Ecija</t>
  </si>
  <si>
    <t>0723965</t>
  </si>
  <si>
    <t>1211-1011-6484</t>
  </si>
  <si>
    <t>0205-1043-4278</t>
  </si>
  <si>
    <t>443-202-731</t>
  </si>
  <si>
    <t>0977-603-1232</t>
  </si>
  <si>
    <t>bernandinojaybee@gmail.com</t>
  </si>
  <si>
    <t>Atap</t>
  </si>
  <si>
    <t>Rosalyn</t>
  </si>
  <si>
    <t>Castardo</t>
  </si>
  <si>
    <t>June 16, 2021</t>
  </si>
  <si>
    <t>Cebu City</t>
  </si>
  <si>
    <t>B16 L1 Fuji St., Citilane Subd.</t>
  </si>
  <si>
    <t>Malagasang 2F</t>
  </si>
  <si>
    <t>0075487</t>
  </si>
  <si>
    <t>2005-291-156</t>
  </si>
  <si>
    <t>1211-8403-1496</t>
  </si>
  <si>
    <t>0805-1550-1472</t>
  </si>
  <si>
    <t>700-798-933</t>
  </si>
  <si>
    <t>0926-151-6870</t>
  </si>
  <si>
    <t>(046) 454-9235</t>
  </si>
  <si>
    <t>ataprosalyn15@gmail.com</t>
  </si>
  <si>
    <t>Legaspi</t>
  </si>
  <si>
    <t>Phol Russel</t>
  </si>
  <si>
    <t>Lepon</t>
  </si>
  <si>
    <t>Anabu 2-D</t>
  </si>
  <si>
    <t>0841687</t>
  </si>
  <si>
    <t>2005-538-708</t>
  </si>
  <si>
    <t>1212-4057-3749</t>
  </si>
  <si>
    <t>0802-5790-2408</t>
  </si>
  <si>
    <t>735-475-197</t>
  </si>
  <si>
    <t>0927-285-3677</t>
  </si>
  <si>
    <t>(046) 424-3215</t>
  </si>
  <si>
    <t>russel_legaspi13@yahoo.com</t>
  </si>
  <si>
    <t>Ailyn</t>
  </si>
  <si>
    <t>AB Political Science</t>
  </si>
  <si>
    <t>2005911398</t>
  </si>
  <si>
    <t>1210-8374-2315</t>
  </si>
  <si>
    <t>2200-0100-7874</t>
  </si>
  <si>
    <t>433-369-010</t>
  </si>
  <si>
    <t>0955-078-3441</t>
  </si>
  <si>
    <t>aiylnanano@gmail.com</t>
  </si>
  <si>
    <t>Samala</t>
  </si>
  <si>
    <t>Kenneth</t>
  </si>
  <si>
    <t>Gelera</t>
  </si>
  <si>
    <t>311 Mangahan St.</t>
  </si>
  <si>
    <t>0121459</t>
  </si>
  <si>
    <t>2004193948</t>
  </si>
  <si>
    <t>1210-2925-3462</t>
  </si>
  <si>
    <t>0102-5361-2296</t>
  </si>
  <si>
    <t>417-468-407</t>
  </si>
  <si>
    <t>0917-630-2265</t>
  </si>
  <si>
    <t>(046) 476-2765</t>
  </si>
  <si>
    <t>kenn.samala@gmail.com</t>
  </si>
  <si>
    <t>Lagon-Manes</t>
  </si>
  <si>
    <t>Jowen Anne Marie</t>
  </si>
  <si>
    <t>Madarang</t>
  </si>
  <si>
    <t>B5 L15 Cannara St., Pontecelli Hills</t>
  </si>
  <si>
    <t>0129483</t>
  </si>
  <si>
    <t>2005057118</t>
  </si>
  <si>
    <t>1211-8933-3787</t>
  </si>
  <si>
    <t>1602-5709-2434</t>
  </si>
  <si>
    <t>478-007-727</t>
  </si>
  <si>
    <t>0917-704-5691</t>
  </si>
  <si>
    <t>jowen_armski@yahoo.com</t>
  </si>
  <si>
    <t>Elpedes</t>
  </si>
  <si>
    <t>Wilma</t>
  </si>
  <si>
    <t>Alpe</t>
  </si>
  <si>
    <t>Camaligan, Camarines Sur</t>
  </si>
  <si>
    <t>0093215</t>
  </si>
  <si>
    <t>2002172053</t>
  </si>
  <si>
    <t>1210-7200-4903</t>
  </si>
  <si>
    <t>1900-0761-0657</t>
  </si>
  <si>
    <t>925-934-294</t>
  </si>
  <si>
    <t>0922-856-1494</t>
  </si>
  <si>
    <t>wilmaelpedes@yahoo.com</t>
  </si>
  <si>
    <t>Billones</t>
  </si>
  <si>
    <t>Alain</t>
  </si>
  <si>
    <t>Tabarnero</t>
  </si>
  <si>
    <t>B-A 11 L10</t>
  </si>
  <si>
    <t>Luzviminda I</t>
  </si>
  <si>
    <t>0137036</t>
  </si>
  <si>
    <t>2005931479</t>
  </si>
  <si>
    <t>1010-0101-7367</t>
  </si>
  <si>
    <t>0105-0762-1533</t>
  </si>
  <si>
    <t>259-310-116</t>
  </si>
  <si>
    <t>0977-197-8409</t>
  </si>
  <si>
    <t>(046) 424-0837</t>
  </si>
  <si>
    <t>alainbillones@gmail.com</t>
  </si>
  <si>
    <t>Andrew Rufino</t>
  </si>
  <si>
    <t>Martin</t>
  </si>
  <si>
    <t>B15 L6&amp;7 Saint Rita St., Addas II Village</t>
  </si>
  <si>
    <t>Molino II</t>
  </si>
  <si>
    <t>0136907</t>
  </si>
  <si>
    <t>2005561419</t>
  </si>
  <si>
    <t>1212-3985-2229</t>
  </si>
  <si>
    <t>0202-6218-7412</t>
  </si>
  <si>
    <t>712-780-970</t>
  </si>
  <si>
    <t>0917-169-1221</t>
  </si>
  <si>
    <t>andewrufinovillafuerte@gmail.com</t>
  </si>
  <si>
    <t>De Castro</t>
  </si>
  <si>
    <t>Jener</t>
  </si>
  <si>
    <t>Novero</t>
  </si>
  <si>
    <t>Medical Specialist III (Part-time) (Pulmonologist)</t>
  </si>
  <si>
    <t>San Joaquin</t>
  </si>
  <si>
    <t>Sto. Tomas</t>
  </si>
  <si>
    <t>0130138</t>
  </si>
  <si>
    <t>1211-7729-2414</t>
  </si>
  <si>
    <t>0802-3090-0786</t>
  </si>
  <si>
    <t>277-601-266</t>
  </si>
  <si>
    <t>0917-675-1129</t>
  </si>
  <si>
    <t>(046) 522-1121</t>
  </si>
  <si>
    <t>docjenerdecastro@gmail.com</t>
  </si>
  <si>
    <t>Erika Anna</t>
  </si>
  <si>
    <t>Avellaneda</t>
  </si>
  <si>
    <t>P1 B41 L1 Parklane Country Homes</t>
  </si>
  <si>
    <t>0010291</t>
  </si>
  <si>
    <t>2005352375</t>
  </si>
  <si>
    <t>1211-7222-3128</t>
  </si>
  <si>
    <t>0825-0494-0175</t>
  </si>
  <si>
    <t>335-507-471</t>
  </si>
  <si>
    <t>0915-876-2508</t>
  </si>
  <si>
    <t>(046) 413-0346</t>
  </si>
  <si>
    <t>erikaannaadeleon@gmail.com</t>
  </si>
  <si>
    <t>Incognito</t>
  </si>
  <si>
    <t>Kristine Marie</t>
  </si>
  <si>
    <t>Vicman</t>
  </si>
  <si>
    <t>Castaños Lejos</t>
  </si>
  <si>
    <t>Gen. Emilio Aguinaldo</t>
  </si>
  <si>
    <t>BS Nursing/MPH/MPA</t>
  </si>
  <si>
    <t>0626832</t>
  </si>
  <si>
    <t>2004776988</t>
  </si>
  <si>
    <t>1210-3862-2187</t>
  </si>
  <si>
    <t>0302-5185-6997</t>
  </si>
  <si>
    <t>404-598-609</t>
  </si>
  <si>
    <t>0906-562-8834</t>
  </si>
  <si>
    <t>nursetine.doh4a@gmail.com</t>
  </si>
  <si>
    <t>Villalobos</t>
  </si>
  <si>
    <t>Angelo Anjo</t>
  </si>
  <si>
    <t>Fairview, Quezon City</t>
  </si>
  <si>
    <t>Blk 3 Lot 29 Grand Cypress Homes</t>
  </si>
  <si>
    <t>Tungko</t>
  </si>
  <si>
    <t>San Jose Del Monte</t>
  </si>
  <si>
    <t>0052194</t>
  </si>
  <si>
    <t>1211-1134-7459</t>
  </si>
  <si>
    <t>0205-1033-4230</t>
  </si>
  <si>
    <t>285-227-810</t>
  </si>
  <si>
    <t>0968-554-3361</t>
  </si>
  <si>
    <t>villalobos1013@gmail.com</t>
  </si>
  <si>
    <t>Aliño</t>
  </si>
  <si>
    <t>Phoebe</t>
  </si>
  <si>
    <t>Triunfo</t>
  </si>
  <si>
    <t>Block B2 Lot 2</t>
  </si>
  <si>
    <t>0757036</t>
  </si>
  <si>
    <t>05/19/2024</t>
  </si>
  <si>
    <t>1211-0132-4302</t>
  </si>
  <si>
    <t>0802-6008-1164</t>
  </si>
  <si>
    <t>720-918-690</t>
  </si>
  <si>
    <t>0977-691-7065</t>
  </si>
  <si>
    <t>phoebealino@yahoo.com</t>
  </si>
  <si>
    <t>Aragones</t>
  </si>
  <si>
    <t>Emmanuel</t>
  </si>
  <si>
    <t>275 Taylan Longos</t>
  </si>
  <si>
    <t>Zapote 5</t>
  </si>
  <si>
    <t>0561368</t>
  </si>
  <si>
    <t>1212-3714-2818</t>
  </si>
  <si>
    <t>0202-5260-8932</t>
  </si>
  <si>
    <t>228-380-989</t>
  </si>
  <si>
    <t>0992-209-5790</t>
  </si>
  <si>
    <t>macaragones@yahoo.com</t>
  </si>
  <si>
    <t>Suzette</t>
  </si>
  <si>
    <t>Laoag City</t>
  </si>
  <si>
    <t>0528835</t>
  </si>
  <si>
    <t>2005911550</t>
  </si>
  <si>
    <t>1210-9681-2897</t>
  </si>
  <si>
    <t>0202-5332-5322</t>
  </si>
  <si>
    <t>429-626-209</t>
  </si>
  <si>
    <t>0910-223-6062</t>
  </si>
  <si>
    <t>zhetsu_143@yahoo.com</t>
  </si>
  <si>
    <t>Blando-Fuentes</t>
  </si>
  <si>
    <t>Michelle Margaret</t>
  </si>
  <si>
    <t>Zamboanga City</t>
  </si>
  <si>
    <t>Block 7 Lot 3 Evangeline Pascual, BF Resort Village</t>
  </si>
  <si>
    <t>0127091</t>
  </si>
  <si>
    <t>1212-3073-9702</t>
  </si>
  <si>
    <t>1501-1946-6333</t>
  </si>
  <si>
    <t>163-666-497</t>
  </si>
  <si>
    <t>0917-835-3706</t>
  </si>
  <si>
    <t>mitch_blando@yahoo.com</t>
  </si>
  <si>
    <t>Caraveo</t>
  </si>
  <si>
    <t>Julien Nicole</t>
  </si>
  <si>
    <t>Camba</t>
  </si>
  <si>
    <t>B10 L23 Queen of Pilars St., Queens Row</t>
  </si>
  <si>
    <t>Queens Row East</t>
  </si>
  <si>
    <t>0140234</t>
  </si>
  <si>
    <t>2005931854</t>
  </si>
  <si>
    <t>1212-4065-1759</t>
  </si>
  <si>
    <t>0802-6536-1726</t>
  </si>
  <si>
    <t>455-221-418</t>
  </si>
  <si>
    <t>0906-209-6582</t>
  </si>
  <si>
    <t>(046) 440-9498</t>
  </si>
  <si>
    <t>julien.caraveo@gmail.com</t>
  </si>
  <si>
    <t>Jabonero</t>
  </si>
  <si>
    <t>Candeliña</t>
  </si>
  <si>
    <t>Kabacan, North Cotabato</t>
  </si>
  <si>
    <t>B7 L5 Solar St., Sunrise Hills Subd.</t>
  </si>
  <si>
    <t>0474711</t>
  </si>
  <si>
    <t>2005932069</t>
  </si>
  <si>
    <t>1211-0626-3313</t>
  </si>
  <si>
    <t>0802-5612-9462</t>
  </si>
  <si>
    <t>298-860-228</t>
  </si>
  <si>
    <t>0927-558-1673</t>
  </si>
  <si>
    <t>kencie010@yahoo.com</t>
  </si>
  <si>
    <t>Tagbago</t>
  </si>
  <si>
    <t>Kerwin</t>
  </si>
  <si>
    <t>Calixihan</t>
  </si>
  <si>
    <t>B6 L7 Pisces Camella Homes</t>
  </si>
  <si>
    <t>Salinas 3</t>
  </si>
  <si>
    <t>0765728</t>
  </si>
  <si>
    <t>1210-7220-8182</t>
  </si>
  <si>
    <t>0305-1038-1846</t>
  </si>
  <si>
    <t>312-925-349</t>
  </si>
  <si>
    <t>0917-304-2709</t>
  </si>
  <si>
    <t>kerwintagbago@gmail.com</t>
  </si>
  <si>
    <t>Intia</t>
  </si>
  <si>
    <t>Alyssa Mari</t>
  </si>
  <si>
    <t>Bengusta</t>
  </si>
  <si>
    <t>Valenzuela City</t>
  </si>
  <si>
    <t>54 Gallen Road, Regatta Classics Subd.</t>
  </si>
  <si>
    <t>Anabu II-B</t>
  </si>
  <si>
    <t>1211-0260-2472</t>
  </si>
  <si>
    <t>0805-1363-6834</t>
  </si>
  <si>
    <t>322-856-054</t>
  </si>
  <si>
    <t>0968-884-5722</t>
  </si>
  <si>
    <t>(046) 537-2886</t>
  </si>
  <si>
    <t>aintia0725@gmail.com</t>
  </si>
  <si>
    <t>Andres</t>
  </si>
  <si>
    <t>Charine</t>
  </si>
  <si>
    <t>Basul</t>
  </si>
  <si>
    <t>B23 L28 Stockholm St., Golden City Subd.</t>
  </si>
  <si>
    <t>0129879</t>
  </si>
  <si>
    <t>1212-1007-8230</t>
  </si>
  <si>
    <t>0302-6194-6870</t>
  </si>
  <si>
    <t>463-046-419</t>
  </si>
  <si>
    <t>0919-096-5105</t>
  </si>
  <si>
    <t>chel.charine@gmail.com</t>
  </si>
  <si>
    <t>Chu</t>
  </si>
  <si>
    <t>Fauline Joyce</t>
  </si>
  <si>
    <t>Beloy</t>
  </si>
  <si>
    <t>Block 80 Lot 10 Phase 3, Atis, Mary Chris Complex</t>
  </si>
  <si>
    <t>0011009</t>
  </si>
  <si>
    <t>1211-0701-7772</t>
  </si>
  <si>
    <t>0805-1428-5350</t>
  </si>
  <si>
    <t>467-868-283</t>
  </si>
  <si>
    <t>0975-059-3952</t>
  </si>
  <si>
    <t>(046) 527-5329</t>
  </si>
  <si>
    <t>faulin_12@yahoo.com</t>
  </si>
  <si>
    <t>Resigned</t>
  </si>
  <si>
    <t>Supelana</t>
  </si>
  <si>
    <t>Alan</t>
  </si>
  <si>
    <t>Donor</t>
  </si>
  <si>
    <t>Jeddah, KSA</t>
  </si>
  <si>
    <t>21/5/11 Jara Martinez, Bahayang Pagasa</t>
  </si>
  <si>
    <t>0818765</t>
  </si>
  <si>
    <t>1210-9413-5066</t>
  </si>
  <si>
    <t>0105-1874-3444</t>
  </si>
  <si>
    <t>277-974-111</t>
  </si>
  <si>
    <t>0975-520-6489</t>
  </si>
  <si>
    <t>(046) 437-6349</t>
  </si>
  <si>
    <t>alansupelana0720@gmail.com</t>
  </si>
  <si>
    <t>Pador</t>
  </si>
  <si>
    <t>Relacion</t>
  </si>
  <si>
    <t>Apalit, Pampanga</t>
  </si>
  <si>
    <t>Associate in Computer Technology</t>
  </si>
  <si>
    <t>2005971532</t>
  </si>
  <si>
    <t>1212-8894-2791</t>
  </si>
  <si>
    <t>0525-1623-5845</t>
  </si>
  <si>
    <t>718-668-182</t>
  </si>
  <si>
    <t>0966-374-1359</t>
  </si>
  <si>
    <t>angelicapador12@gmail.com</t>
  </si>
  <si>
    <t>Pangilinan</t>
  </si>
  <si>
    <t xml:space="preserve">Priscila </t>
  </si>
  <si>
    <t>Mecua</t>
  </si>
  <si>
    <t>Amadeo, Cavite</t>
  </si>
  <si>
    <t>B2 L7 P1 Akle St., Villa Luisa Homes</t>
  </si>
  <si>
    <t>San Agustin III</t>
  </si>
  <si>
    <t>0198312</t>
  </si>
  <si>
    <t>2001397667</t>
  </si>
  <si>
    <t>1030-0008-8539</t>
  </si>
  <si>
    <t>0800-0059-2556</t>
  </si>
  <si>
    <t>225-306-408</t>
  </si>
  <si>
    <t>0927-498-9782</t>
  </si>
  <si>
    <t>(046) 489-2321</t>
  </si>
  <si>
    <t>Retired</t>
  </si>
  <si>
    <t>Torcuator Jr.</t>
  </si>
  <si>
    <t xml:space="preserve">Benjamin </t>
  </si>
  <si>
    <t>B6 L9 Ph3 Camella Homes</t>
  </si>
  <si>
    <t>Bucandala</t>
  </si>
  <si>
    <t>0065430</t>
  </si>
  <si>
    <t>2000767448</t>
  </si>
  <si>
    <t>1080-0065-3216</t>
  </si>
  <si>
    <t>1900-0122-0784</t>
  </si>
  <si>
    <t>137-923-789</t>
  </si>
  <si>
    <t>0915-700-1641</t>
  </si>
  <si>
    <t>881-8192</t>
  </si>
  <si>
    <t>bentorcuatorjr@yahoo.com</t>
  </si>
  <si>
    <t>Unciano</t>
  </si>
  <si>
    <t>Valerie Anne</t>
  </si>
  <si>
    <t>Tolentino</t>
  </si>
  <si>
    <t>Block 23 Lot 10 Area B, Daisy St.</t>
  </si>
  <si>
    <t>Queen's Row West</t>
  </si>
  <si>
    <t>0422073</t>
  </si>
  <si>
    <t>1210-7985-5504</t>
  </si>
  <si>
    <t>0805-1042-1462</t>
  </si>
  <si>
    <t>291-386-719</t>
  </si>
  <si>
    <t>0995-937-4242</t>
  </si>
  <si>
    <t>valerie.unciano@gmail.com</t>
  </si>
  <si>
    <t>Ang-Chua</t>
  </si>
  <si>
    <t>Nikki</t>
  </si>
  <si>
    <t>Robles</t>
  </si>
  <si>
    <t>48B Cencale Drive, Sanville Subd.</t>
  </si>
  <si>
    <t>Culiat</t>
  </si>
  <si>
    <t>0130368</t>
  </si>
  <si>
    <t>2004888608</t>
  </si>
  <si>
    <t>1211-7110-2379</t>
  </si>
  <si>
    <t>0602-5143-7176</t>
  </si>
  <si>
    <t>474-626-498</t>
  </si>
  <si>
    <t>0917-537-4377</t>
  </si>
  <si>
    <t>angnikkir@gmail.com</t>
  </si>
  <si>
    <t>Malabaguio</t>
  </si>
  <si>
    <t>Ma. Jeane</t>
  </si>
  <si>
    <t>Sardea</t>
  </si>
  <si>
    <t>5039 GSIS Hills, PVB Subd.</t>
  </si>
  <si>
    <t>Novaliches</t>
  </si>
  <si>
    <t>0126641</t>
  </si>
  <si>
    <t>2004974738</t>
  </si>
  <si>
    <t>1211-8530-4755</t>
  </si>
  <si>
    <t>0300-0284-2080</t>
  </si>
  <si>
    <t>471-526-496</t>
  </si>
  <si>
    <t>0995-839-5932</t>
  </si>
  <si>
    <t>jeanbaguio@gmail.com</t>
  </si>
  <si>
    <t>Mary Keith</t>
  </si>
  <si>
    <t>Marquilencia</t>
  </si>
  <si>
    <t>B12 L4 Thistle St., Park Infina Ph. 2</t>
  </si>
  <si>
    <t>0578547</t>
  </si>
  <si>
    <t>08/12/2025</t>
  </si>
  <si>
    <t>1211-2773-0881</t>
  </si>
  <si>
    <t>0105-1948-9312</t>
  </si>
  <si>
    <t>456-715-071</t>
  </si>
  <si>
    <t>0917-849-3098</t>
  </si>
  <si>
    <t>keith.marqui@gmail.com</t>
  </si>
  <si>
    <t>Marijoie</t>
  </si>
  <si>
    <t>Arbis</t>
  </si>
  <si>
    <t>San Jose Del Monte, Bulacan</t>
  </si>
  <si>
    <t>Phase 2 Block 1 Lot 65, Boston Heights</t>
  </si>
  <si>
    <t>2006346220</t>
  </si>
  <si>
    <t>1210-2074-7137</t>
  </si>
  <si>
    <t>0202-5684-1690</t>
  </si>
  <si>
    <t>420-355-011</t>
  </si>
  <si>
    <t>0976-013-7577</t>
  </si>
  <si>
    <t>gonzalesmarijoie@gmail.com</t>
  </si>
  <si>
    <t>Mariquit</t>
  </si>
  <si>
    <t>Criszalene</t>
  </si>
  <si>
    <t>Balanay</t>
  </si>
  <si>
    <t>Block 6 Lot 28 Phase B, Legian 2</t>
  </si>
  <si>
    <t>2006346340</t>
  </si>
  <si>
    <t>1211-6131-2252</t>
  </si>
  <si>
    <t>1520-1801-9404</t>
  </si>
  <si>
    <t>327-838-682</t>
  </si>
  <si>
    <t>0977-073-0002</t>
  </si>
  <si>
    <t>criszandy@gmail.com</t>
  </si>
  <si>
    <t>Marc Gerard</t>
  </si>
  <si>
    <t>Caimol</t>
  </si>
  <si>
    <t>008 Manggahan-Lawin</t>
  </si>
  <si>
    <t>0013007</t>
  </si>
  <si>
    <t>2005594162</t>
  </si>
  <si>
    <t>1030-0134-3352</t>
  </si>
  <si>
    <t>0805-0814-4389</t>
  </si>
  <si>
    <t>296-116-860</t>
  </si>
  <si>
    <t>0956-147-3387</t>
  </si>
  <si>
    <t>(046) 434-1247</t>
  </si>
  <si>
    <t>marcgerardsolis32@yahoo.com</t>
  </si>
  <si>
    <t>Transferred</t>
  </si>
  <si>
    <t>Richard Jayson</t>
  </si>
  <si>
    <t>Block 3 Lot 50 Narcissa Cor. Concepcion, Anna Scapes</t>
  </si>
  <si>
    <t>Barandal</t>
  </si>
  <si>
    <t>0142140</t>
  </si>
  <si>
    <t>2005759503</t>
  </si>
  <si>
    <t>1210-0934-4962</t>
  </si>
  <si>
    <t>0302-5202-8133</t>
  </si>
  <si>
    <t>294-982-900</t>
  </si>
  <si>
    <t>0961-333-41445</t>
  </si>
  <si>
    <t>rcrivera.sbc@gmail.com</t>
  </si>
  <si>
    <t>Perocho</t>
  </si>
  <si>
    <t>Kriza</t>
  </si>
  <si>
    <t>Talinting</t>
  </si>
  <si>
    <t>818 Guava Southgrove</t>
  </si>
  <si>
    <t>0712529</t>
  </si>
  <si>
    <t>2006203391</t>
  </si>
  <si>
    <t>0202-5967-8278</t>
  </si>
  <si>
    <t>433-154-602</t>
  </si>
  <si>
    <t>09468-879-6557</t>
  </si>
  <si>
    <t>perochoiza@gmail.com</t>
  </si>
  <si>
    <t>Jonnaliz</t>
  </si>
  <si>
    <t>Conserman</t>
  </si>
  <si>
    <t>Block 5 Lot 13 Crystal Drive, Crystal Place</t>
  </si>
  <si>
    <t>0904282</t>
  </si>
  <si>
    <t>20044783590</t>
  </si>
  <si>
    <t>1030-0193-1293</t>
  </si>
  <si>
    <t>0802-5093-5742</t>
  </si>
  <si>
    <t>288-945-660</t>
  </si>
  <si>
    <t>0977-807-9164</t>
  </si>
  <si>
    <t>jonnaliznicolas@gmail.com</t>
  </si>
  <si>
    <t>Sarmiento</t>
  </si>
  <si>
    <t>Rubymae</t>
  </si>
  <si>
    <t>Del Rosario</t>
  </si>
  <si>
    <t>Block 7 Lot 1 Phase 1 Villa Antonia Subd.</t>
  </si>
  <si>
    <t>0384813</t>
  </si>
  <si>
    <t>2006360707</t>
  </si>
  <si>
    <t>1210-6776-9525</t>
  </si>
  <si>
    <t>0805-0644-1300</t>
  </si>
  <si>
    <t>249-487-781</t>
  </si>
  <si>
    <t>0932-785-8972</t>
  </si>
  <si>
    <t>(046) 418-4582</t>
  </si>
  <si>
    <t>bhing_rmdr@yahoo.com</t>
  </si>
  <si>
    <t>Macapagal</t>
  </si>
  <si>
    <t>Jeremiah</t>
  </si>
  <si>
    <t>Baroña</t>
  </si>
  <si>
    <t>39, Phase 2A-Annex, Florida, Camella Homes 2</t>
  </si>
  <si>
    <t>Salinas 4</t>
  </si>
  <si>
    <t>0062306</t>
  </si>
  <si>
    <t>2006135233</t>
  </si>
  <si>
    <t>1211-0064-5211</t>
  </si>
  <si>
    <t>0805-1455-9337</t>
  </si>
  <si>
    <t>317-144-790</t>
  </si>
  <si>
    <t>0966-245-8588</t>
  </si>
  <si>
    <t>jeremiahmacapagal@gmail.com</t>
  </si>
  <si>
    <t>Gabriel</t>
  </si>
  <si>
    <t>Franchesca Gabrielle</t>
  </si>
  <si>
    <t>Concha</t>
  </si>
  <si>
    <t>367 Palico St.</t>
  </si>
  <si>
    <t>Palico I</t>
  </si>
  <si>
    <t>0127729</t>
  </si>
  <si>
    <t>1211-4576-1317</t>
  </si>
  <si>
    <t>0202-5476-1317</t>
  </si>
  <si>
    <t>319-304-897</t>
  </si>
  <si>
    <t>0917-809-3061</t>
  </si>
  <si>
    <t>(046) 471-1085</t>
  </si>
  <si>
    <t>fgabriel.neuro@gmail.com</t>
  </si>
  <si>
    <t>Alvarez</t>
  </si>
  <si>
    <t>Camegla</t>
  </si>
  <si>
    <t>320 Don Placido Campos Ave.</t>
  </si>
  <si>
    <t>0464982</t>
  </si>
  <si>
    <t>2006497089</t>
  </si>
  <si>
    <t>1211-1794-0787</t>
  </si>
  <si>
    <t>0802-6458-4667</t>
  </si>
  <si>
    <t>230-012-480</t>
  </si>
  <si>
    <t>0976-294-8403</t>
  </si>
  <si>
    <t>maciealvarez@gmail.com</t>
  </si>
  <si>
    <t>Taladro</t>
  </si>
  <si>
    <t>Yanci Hubert</t>
  </si>
  <si>
    <t>Baxter</t>
  </si>
  <si>
    <t>Block 1 Lot 3,4, &amp; 5 Danny Reyes St., Hezar 8 HOA</t>
  </si>
  <si>
    <t>Niog II</t>
  </si>
  <si>
    <t>1211-1217-0863</t>
  </si>
  <si>
    <t>0305-0343-4225</t>
  </si>
  <si>
    <t>251-716-331</t>
  </si>
  <si>
    <t>0908-334-7773</t>
  </si>
  <si>
    <t>ybtaladro@gmail.com</t>
  </si>
  <si>
    <t>Deceased</t>
  </si>
  <si>
    <t>Boussati</t>
  </si>
  <si>
    <t>Jamela Merriam</t>
  </si>
  <si>
    <t>157 Diamond St., Shapell Homes</t>
  </si>
  <si>
    <t>Habay</t>
  </si>
  <si>
    <t>132006</t>
  </si>
  <si>
    <t>1211-8929-3556</t>
  </si>
  <si>
    <t>0900-0094-9603</t>
  </si>
  <si>
    <t>325-382-108</t>
  </si>
  <si>
    <t>0949-992-8879</t>
  </si>
  <si>
    <t>(046)434-5286</t>
  </si>
  <si>
    <t>jamboussatimd@gmail.com</t>
  </si>
  <si>
    <t>Jarin</t>
  </si>
  <si>
    <t>de Jesus</t>
  </si>
  <si>
    <t>Malagasang 1B</t>
  </si>
  <si>
    <t>0143938</t>
  </si>
  <si>
    <t>2001397193</t>
  </si>
  <si>
    <t>1030-0006-6658</t>
  </si>
  <si>
    <t>0800-0035-3217</t>
  </si>
  <si>
    <t>199-705-941</t>
  </si>
  <si>
    <t>0927-627-6229</t>
  </si>
  <si>
    <t>(046) 418-0681</t>
  </si>
  <si>
    <t>merjarin29@gmail.com</t>
  </si>
  <si>
    <t>Bicaldo</t>
  </si>
  <si>
    <t>Españo</t>
  </si>
  <si>
    <t>Nabua, Camarines Sur</t>
  </si>
  <si>
    <t>Lot 3 Block 14 Lemon St., Mandarin Homes</t>
  </si>
  <si>
    <t>Malagasang II</t>
  </si>
  <si>
    <t>0128844</t>
  </si>
  <si>
    <t>1010-0369-6085</t>
  </si>
  <si>
    <t>0205-0655-9015</t>
  </si>
  <si>
    <t>265-425-337</t>
  </si>
  <si>
    <t>0999-476-2447</t>
  </si>
  <si>
    <t>(046) 436-1207</t>
  </si>
  <si>
    <t>samuelbicaldo@yahoo.com</t>
  </si>
  <si>
    <t>Benitez</t>
  </si>
  <si>
    <t>John Paul</t>
  </si>
  <si>
    <t>B2 L40 Brighton I Subd.</t>
  </si>
  <si>
    <t>0124994</t>
  </si>
  <si>
    <t>2005931478</t>
  </si>
  <si>
    <t>1211-0553-8102</t>
  </si>
  <si>
    <t>0202-6049-5888</t>
  </si>
  <si>
    <t>237-734-920</t>
  </si>
  <si>
    <t>0998-971-9950</t>
  </si>
  <si>
    <t>(046) 538-4713</t>
  </si>
  <si>
    <t>johnpaul.benitezmd@gmail.com</t>
  </si>
  <si>
    <t>Supetran</t>
  </si>
  <si>
    <t>Cris John</t>
  </si>
  <si>
    <t>Venzuela</t>
  </si>
  <si>
    <t>Unit 2, Block 29, Sitio Alandy Subdivsion</t>
  </si>
  <si>
    <t>Brgy. Ibabang Bukal</t>
  </si>
  <si>
    <t>Tayabas City</t>
  </si>
  <si>
    <t>Quezon Province</t>
  </si>
  <si>
    <t>4327</t>
  </si>
  <si>
    <t>0146448</t>
  </si>
  <si>
    <t>2004223298</t>
  </si>
  <si>
    <t>1212-6506-3438</t>
  </si>
  <si>
    <t>0202-5745-2140</t>
  </si>
  <si>
    <t>426-426-641</t>
  </si>
  <si>
    <t>0936-904-0202</t>
  </si>
  <si>
    <t>cjsupetran@gmail.com</t>
  </si>
  <si>
    <t>Cabatian</t>
  </si>
  <si>
    <t>Kimper Maico</t>
  </si>
  <si>
    <t>Saquitan</t>
  </si>
  <si>
    <t>B5 L5 4th Street, Kaunlaran Subd.</t>
  </si>
  <si>
    <t>0017213</t>
  </si>
  <si>
    <t>2005911416</t>
  </si>
  <si>
    <t>1211-8267-1272</t>
  </si>
  <si>
    <t>0802-6193-5426</t>
  </si>
  <si>
    <t>499-943-722</t>
  </si>
  <si>
    <t>0935-973-2018</t>
  </si>
  <si>
    <t>cabatiankimper@yahoo.com</t>
  </si>
  <si>
    <t>Cuenca</t>
  </si>
  <si>
    <t>Agassi Joy</t>
  </si>
  <si>
    <t>0019334</t>
  </si>
  <si>
    <t>2005911417</t>
  </si>
  <si>
    <t>1212-3403-9072</t>
  </si>
  <si>
    <t>0825-0597-4804</t>
  </si>
  <si>
    <t>745-751-371</t>
  </si>
  <si>
    <t>0935-112-5468</t>
  </si>
  <si>
    <t>agassicuenca0317@gmail.com</t>
  </si>
  <si>
    <t>Alberto</t>
  </si>
  <si>
    <t>King Arthur Anthony</t>
  </si>
  <si>
    <t>Sosito</t>
  </si>
  <si>
    <t>Virac, Catanduanes</t>
  </si>
  <si>
    <t>B2 L32 Flamingo St., Addas Greenfields</t>
  </si>
  <si>
    <t>2003315794</t>
  </si>
  <si>
    <t>1211-9387-7154</t>
  </si>
  <si>
    <t>1005-0099-2020</t>
  </si>
  <si>
    <t>497-792-304</t>
  </si>
  <si>
    <t>0919-092-6986</t>
  </si>
  <si>
    <t>kingalberto.sosito@gmail.com</t>
  </si>
  <si>
    <t>Drop from the Rolls</t>
  </si>
  <si>
    <t>Ronquillo</t>
  </si>
  <si>
    <t xml:space="preserve">Julie </t>
  </si>
  <si>
    <t>Espina</t>
  </si>
  <si>
    <t>B29 L24 Calla Lily St., Asian Leaf Subd.</t>
  </si>
  <si>
    <t>0441359</t>
  </si>
  <si>
    <t>2005990751</t>
  </si>
  <si>
    <t>1210-6581-4798</t>
  </si>
  <si>
    <t>1902-6795-7197</t>
  </si>
  <si>
    <t>460-681-974</t>
  </si>
  <si>
    <t>0906-360-8734</t>
  </si>
  <si>
    <t>julyespino@yahoo.com</t>
  </si>
  <si>
    <t>Clapano</t>
  </si>
  <si>
    <t>Lyle Joseph</t>
  </si>
  <si>
    <t>Sab</t>
  </si>
  <si>
    <t>Block 6 Lot 15 Virgo, Silver Homes</t>
  </si>
  <si>
    <t>0702236</t>
  </si>
  <si>
    <t>2006782188</t>
  </si>
  <si>
    <t>1211-0050-5320</t>
  </si>
  <si>
    <t>0805-1321-5111</t>
  </si>
  <si>
    <t>439-409-075</t>
  </si>
  <si>
    <t>0997-711-4069</t>
  </si>
  <si>
    <t>(046) 489 4866</t>
  </si>
  <si>
    <t>lylejoseph25@gmail.com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</si>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</sst>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m/d/yyyy;@"/>
    <numFmt numFmtId="166" formatCode="[$-409]mmmm\ d\,\ yyyy;@"/>
    <numFmt numFmtId="167" formatCode="mm/dd/yyyy;@"/>
    <numFmt numFmtId="168" formatCode="[$-2409]mmmm\ dd\,\ yyyy;@"/>
    <numFmt numFmtId="169" formatCode="[$-3409]mmmm\ dd\,\ 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theme="10"/>
      <name val="Calibri"/>
      <charset val="134"/>
      <scheme val="minor"/>
    </font>
    <font>
      <sz val="11"/>
      <name val="Calibri"/>
      <charset val="134"/>
      <scheme val="minor"/>
    </font>
    <font>
      <u/>
      <sz val="11"/>
      <name val="Calibri"/>
      <charset val="134"/>
      <scheme val="minor"/>
    </font>
    <font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0"/>
      <color theme="0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Arial Narrow"/>
      <charset val="134"/>
    </font>
    <font>
      <b/>
      <sz val="12"/>
      <color theme="1"/>
      <name val="Arial"/>
      <charset val="134"/>
    </font>
    <font>
      <b/>
      <sz val="14"/>
      <color theme="1"/>
      <name val="Arial Narrow"/>
      <charset val="134"/>
    </font>
    <font>
      <sz val="12"/>
      <color theme="1"/>
      <name val="Arial Narrow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9"/>
      <name val="Tahoma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43" fontId="20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" fillId="0" borderId="0"/>
  </cellStyleXfs>
  <cellXfs count="19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/>
    </xf>
    <xf numFmtId="15" fontId="0" fillId="0" borderId="3" xfId="0" applyNumberFormat="1" applyBorder="1" applyAlignment="1">
      <alignment horizontal="left" vertical="center"/>
    </xf>
    <xf numFmtId="43" fontId="0" fillId="0" borderId="3" xfId="1" applyFont="1" applyBorder="1" applyAlignment="1">
      <alignment horizontal="left" vertical="center"/>
    </xf>
    <xf numFmtId="166" fontId="0" fillId="0" borderId="3" xfId="0" applyNumberFormat="1" applyBorder="1" applyAlignment="1">
      <alignment horizontal="left"/>
    </xf>
    <xf numFmtId="165" fontId="0" fillId="0" borderId="3" xfId="0" applyNumberFormat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left"/>
    </xf>
    <xf numFmtId="0" fontId="0" fillId="0" borderId="4" xfId="0" applyBorder="1"/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15" fontId="0" fillId="2" borderId="3" xfId="0" applyNumberFormat="1" applyFill="1" applyBorder="1" applyAlignment="1">
      <alignment horizontal="left" vertical="center"/>
    </xf>
    <xf numFmtId="43" fontId="0" fillId="2" borderId="3" xfId="1" applyFont="1" applyFill="1" applyBorder="1" applyAlignment="1">
      <alignment horizontal="left" vertical="center"/>
    </xf>
    <xf numFmtId="166" fontId="0" fillId="2" borderId="3" xfId="0" applyNumberFormat="1" applyFill="1" applyBorder="1" applyAlignment="1">
      <alignment horizontal="left"/>
    </xf>
    <xf numFmtId="165" fontId="0" fillId="2" borderId="3" xfId="0" applyNumberFormat="1" applyFill="1" applyBorder="1" applyAlignment="1">
      <alignment horizontal="left" vertical="center"/>
    </xf>
    <xf numFmtId="0" fontId="0" fillId="2" borderId="3" xfId="0" applyFill="1" applyBorder="1"/>
    <xf numFmtId="0" fontId="0" fillId="2" borderId="3" xfId="0" applyFill="1" applyBorder="1" applyAlignment="1">
      <alignment horizontal="right"/>
    </xf>
    <xf numFmtId="14" fontId="0" fillId="2" borderId="3" xfId="0" applyNumberFormat="1" applyFill="1" applyBorder="1" applyAlignment="1">
      <alignment horizontal="left"/>
    </xf>
    <xf numFmtId="0" fontId="0" fillId="2" borderId="4" xfId="0" applyFill="1" applyBorder="1"/>
    <xf numFmtId="0" fontId="0" fillId="0" borderId="3" xfId="0" applyBorder="1" applyAlignment="1">
      <alignment horizontal="right" vertical="center"/>
    </xf>
    <xf numFmtId="1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right" vertical="center"/>
    </xf>
    <xf numFmtId="0" fontId="2" fillId="2" borderId="4" xfId="12" applyFill="1" applyBorder="1"/>
    <xf numFmtId="165" fontId="0" fillId="0" borderId="5" xfId="0" applyNumberForma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2" fillId="0" borderId="4" xfId="12" applyBorder="1"/>
    <xf numFmtId="165" fontId="0" fillId="0" borderId="6" xfId="0" applyNumberFormat="1" applyBorder="1" applyAlignment="1">
      <alignment horizontal="left" vertical="center"/>
    </xf>
    <xf numFmtId="0" fontId="2" fillId="0" borderId="0" xfId="12"/>
    <xf numFmtId="0" fontId="0" fillId="0" borderId="7" xfId="0" applyBorder="1" applyAlignment="1">
      <alignment horizontal="left"/>
    </xf>
    <xf numFmtId="0" fontId="3" fillId="0" borderId="3" xfId="2" applyFill="1" applyBorder="1"/>
    <xf numFmtId="14" fontId="0" fillId="0" borderId="0" xfId="0" applyNumberFormat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4" fillId="0" borderId="3" xfId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left"/>
    </xf>
    <xf numFmtId="165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right"/>
    </xf>
    <xf numFmtId="14" fontId="4" fillId="0" borderId="3" xfId="0" applyNumberFormat="1" applyFont="1" applyBorder="1" applyAlignment="1">
      <alignment horizontal="left"/>
    </xf>
    <xf numFmtId="0" fontId="5" fillId="0" borderId="3" xfId="2" applyFont="1" applyFill="1" applyBorder="1"/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3" fillId="0" borderId="0" xfId="2" applyBorder="1"/>
    <xf numFmtId="0" fontId="4" fillId="0" borderId="3" xfId="0" applyFont="1" applyBorder="1" applyAlignment="1">
      <alignment horizontal="right" vertical="center"/>
    </xf>
    <xf numFmtId="14" fontId="4" fillId="0" borderId="3" xfId="0" applyNumberFormat="1" applyFont="1" applyBorder="1" applyAlignment="1">
      <alignment horizontal="left" vertical="center"/>
    </xf>
    <xf numFmtId="0" fontId="3" fillId="0" borderId="3" xfId="2" applyBorder="1"/>
    <xf numFmtId="0" fontId="6" fillId="0" borderId="3" xfId="0" applyFont="1" applyBorder="1"/>
    <xf numFmtId="167" fontId="7" fillId="0" borderId="3" xfId="0" applyNumberFormat="1" applyFont="1" applyBorder="1"/>
    <xf numFmtId="49" fontId="7" fillId="0" borderId="3" xfId="0" applyNumberFormat="1" applyFont="1" applyBorder="1"/>
    <xf numFmtId="0" fontId="7" fillId="0" borderId="3" xfId="0" applyFont="1" applyBorder="1"/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167" fontId="8" fillId="3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43" fontId="7" fillId="0" borderId="3" xfId="1" applyFont="1" applyBorder="1"/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167" fontId="7" fillId="2" borderId="12" xfId="0" applyNumberFormat="1" applyFont="1" applyFill="1" applyBorder="1"/>
    <xf numFmtId="0" fontId="7" fillId="2" borderId="3" xfId="0" applyFont="1" applyFill="1" applyBorder="1"/>
    <xf numFmtId="0" fontId="7" fillId="4" borderId="3" xfId="0" applyFont="1" applyFill="1" applyBorder="1"/>
    <xf numFmtId="0" fontId="7" fillId="2" borderId="3" xfId="0" applyFont="1" applyFill="1" applyBorder="1" applyAlignment="1">
      <alignment horizontal="center"/>
    </xf>
    <xf numFmtId="43" fontId="7" fillId="2" borderId="3" xfId="1" applyFont="1" applyFill="1" applyBorder="1"/>
    <xf numFmtId="0" fontId="6" fillId="2" borderId="3" xfId="0" applyFont="1" applyFill="1" applyBorder="1"/>
    <xf numFmtId="167" fontId="7" fillId="2" borderId="3" xfId="0" applyNumberFormat="1" applyFont="1" applyFill="1" applyBorder="1"/>
    <xf numFmtId="49" fontId="7" fillId="2" borderId="3" xfId="0" applyNumberFormat="1" applyFont="1" applyFill="1" applyBorder="1"/>
    <xf numFmtId="167" fontId="3" fillId="2" borderId="3" xfId="2" applyNumberFormat="1" applyFill="1" applyBorder="1"/>
    <xf numFmtId="167" fontId="7" fillId="0" borderId="12" xfId="0" applyNumberFormat="1" applyFont="1" applyBorder="1"/>
    <xf numFmtId="167" fontId="3" fillId="0" borderId="3" xfId="2" applyNumberFormat="1" applyBorder="1"/>
    <xf numFmtId="0" fontId="7" fillId="5" borderId="3" xfId="0" applyFont="1" applyFill="1" applyBorder="1"/>
    <xf numFmtId="167" fontId="7" fillId="2" borderId="0" xfId="0" applyNumberFormat="1" applyFont="1" applyFill="1"/>
    <xf numFmtId="0" fontId="6" fillId="6" borderId="3" xfId="0" applyFont="1" applyFill="1" applyBorder="1"/>
    <xf numFmtId="0" fontId="7" fillId="6" borderId="3" xfId="0" applyFont="1" applyFill="1" applyBorder="1"/>
    <xf numFmtId="167" fontId="7" fillId="2" borderId="7" xfId="0" applyNumberFormat="1" applyFont="1" applyFill="1" applyBorder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9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7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 wrapText="1"/>
    </xf>
    <xf numFmtId="166" fontId="12" fillId="7" borderId="0" xfId="0" applyNumberFormat="1" applyFont="1" applyFill="1" applyAlignment="1">
      <alignment horizontal="left" vertical="center"/>
    </xf>
    <xf numFmtId="166" fontId="12" fillId="7" borderId="0" xfId="0" applyNumberFormat="1" applyFont="1" applyFill="1" applyAlignment="1">
      <alignment vertical="center"/>
    </xf>
    <xf numFmtId="166" fontId="12" fillId="5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0" applyFont="1"/>
    <xf numFmtId="0" fontId="10" fillId="0" borderId="0" xfId="0" applyFont="1"/>
    <xf numFmtId="0" fontId="1" fillId="0" borderId="0" xfId="0" applyFont="1"/>
    <xf numFmtId="0" fontId="17" fillId="8" borderId="0" xfId="0" applyFont="1" applyFill="1"/>
    <xf numFmtId="0" fontId="8" fillId="3" borderId="1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167" fontId="8" fillId="3" borderId="6" xfId="0" applyNumberFormat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/>
    </xf>
    <xf numFmtId="0" fontId="7" fillId="9" borderId="3" xfId="0" applyFont="1" applyFill="1" applyBorder="1"/>
    <xf numFmtId="0" fontId="6" fillId="4" borderId="3" xfId="0" applyFont="1" applyFill="1" applyBorder="1"/>
    <xf numFmtId="0" fontId="7" fillId="0" borderId="0" xfId="0" applyFont="1"/>
    <xf numFmtId="0" fontId="7" fillId="0" borderId="8" xfId="0" applyFont="1" applyBorder="1"/>
    <xf numFmtId="0" fontId="7" fillId="5" borderId="8" xfId="0" applyFont="1" applyFill="1" applyBorder="1"/>
    <xf numFmtId="0" fontId="7" fillId="0" borderId="8" xfId="0" applyFont="1" applyBorder="1" applyAlignment="1">
      <alignment horizontal="center"/>
    </xf>
    <xf numFmtId="0" fontId="6" fillId="0" borderId="8" xfId="0" applyFont="1" applyBorder="1"/>
    <xf numFmtId="167" fontId="7" fillId="0" borderId="8" xfId="0" applyNumberFormat="1" applyFont="1" applyBorder="1"/>
    <xf numFmtId="49" fontId="7" fillId="0" borderId="8" xfId="0" applyNumberFormat="1" applyFont="1" applyBorder="1"/>
    <xf numFmtId="0" fontId="6" fillId="0" borderId="7" xfId="0" applyFont="1" applyBorder="1"/>
    <xf numFmtId="167" fontId="7" fillId="0" borderId="0" xfId="0" applyNumberFormat="1" applyFont="1"/>
    <xf numFmtId="0" fontId="7" fillId="0" borderId="7" xfId="0" applyFont="1" applyBorder="1"/>
    <xf numFmtId="0" fontId="6" fillId="9" borderId="3" xfId="0" applyFont="1" applyFill="1" applyBorder="1"/>
    <xf numFmtId="0" fontId="19" fillId="0" borderId="3" xfId="0" applyFont="1" applyBorder="1"/>
    <xf numFmtId="0" fontId="7" fillId="0" borderId="3" xfId="0" applyFont="1" applyBorder="1" applyAlignment="1">
      <alignment horizontal="left"/>
    </xf>
    <xf numFmtId="167" fontId="3" fillId="0" borderId="8" xfId="2" applyNumberFormat="1" applyBorder="1"/>
    <xf numFmtId="167" fontId="7" fillId="0" borderId="3" xfId="0" quotePrefix="1" applyNumberFormat="1" applyFont="1" applyBorder="1"/>
    <xf numFmtId="0" fontId="7" fillId="0" borderId="3" xfId="0" quotePrefix="1" applyFont="1" applyBorder="1" applyAlignment="1">
      <alignment horizontal="left"/>
    </xf>
    <xf numFmtId="15" fontId="0" fillId="0" borderId="3" xfId="0" quotePrefix="1" applyNumberFormat="1" applyBorder="1" applyAlignment="1">
      <alignment horizontal="left" vertical="center"/>
    </xf>
    <xf numFmtId="0" fontId="0" fillId="0" borderId="3" xfId="0" quotePrefix="1" applyBorder="1"/>
    <xf numFmtId="0" fontId="0" fillId="2" borderId="3" xfId="0" quotePrefix="1" applyFill="1" applyBorder="1" applyAlignment="1">
      <alignment horizontal="left" vertical="center"/>
    </xf>
    <xf numFmtId="0" fontId="0" fillId="2" borderId="3" xfId="0" quotePrefix="1" applyFill="1" applyBorder="1"/>
    <xf numFmtId="0" fontId="0" fillId="0" borderId="3" xfId="0" quotePrefix="1" applyBorder="1" applyAlignment="1">
      <alignment horizontal="left" vertical="center"/>
    </xf>
    <xf numFmtId="15" fontId="0" fillId="2" borderId="3" xfId="0" quotePrefix="1" applyNumberFormat="1" applyFill="1" applyBorder="1" applyAlignment="1">
      <alignment horizontal="left" vertical="center"/>
    </xf>
    <xf numFmtId="14" fontId="0" fillId="2" borderId="3" xfId="0" quotePrefix="1" applyNumberFormat="1" applyFill="1" applyBorder="1" applyAlignment="1">
      <alignment horizontal="left"/>
    </xf>
    <xf numFmtId="14" fontId="0" fillId="0" borderId="3" xfId="0" quotePrefix="1" applyNumberFormat="1" applyBorder="1" applyAlignment="1">
      <alignment horizontal="left"/>
    </xf>
    <xf numFmtId="0" fontId="2" fillId="0" borderId="0" xfId="12" quotePrefix="1"/>
    <xf numFmtId="0" fontId="4" fillId="0" borderId="3" xfId="0" quotePrefix="1" applyFont="1" applyBorder="1"/>
    <xf numFmtId="0" fontId="4" fillId="0" borderId="6" xfId="0" quotePrefix="1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167" fontId="7" fillId="2" borderId="3" xfId="0" quotePrefix="1" applyNumberFormat="1" applyFont="1" applyFill="1" applyBorder="1"/>
    <xf numFmtId="0" fontId="12" fillId="7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/>
    </xf>
    <xf numFmtId="169" fontId="18" fillId="8" borderId="0" xfId="0" applyNumberFormat="1" applyFont="1" applyFill="1" applyAlignment="1">
      <alignment horizontal="left"/>
    </xf>
    <xf numFmtId="166" fontId="12" fillId="5" borderId="0" xfId="0" applyNumberFormat="1" applyFont="1" applyFill="1" applyAlignment="1">
      <alignment horizontal="left" vertical="center"/>
    </xf>
    <xf numFmtId="0" fontId="12" fillId="7" borderId="0" xfId="0" applyFont="1" applyFill="1" applyAlignment="1">
      <alignment horizontal="right" vertical="center"/>
    </xf>
    <xf numFmtId="166" fontId="12" fillId="7" borderId="0" xfId="0" applyNumberFormat="1" applyFont="1" applyFill="1" applyAlignment="1">
      <alignment horizontal="left" vertical="center"/>
    </xf>
    <xf numFmtId="0" fontId="17" fillId="8" borderId="0" xfId="0" applyFont="1" applyFill="1" applyAlignment="1">
      <alignment horizontal="center"/>
    </xf>
    <xf numFmtId="167" fontId="12" fillId="7" borderId="0" xfId="0" applyNumberFormat="1" applyFont="1" applyFill="1" applyAlignment="1">
      <alignment horizontal="right" vertical="center"/>
    </xf>
    <xf numFmtId="168" fontId="12" fillId="7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9">
    <cellStyle name="Comma" xfId="1" builtinId="3"/>
    <cellStyle name="Comma 2" xfId="3" xr:uid="{00000000-0005-0000-0000-000031000000}"/>
    <cellStyle name="Comma 2 2" xfId="4" xr:uid="{00000000-0005-0000-0000-000032000000}"/>
    <cellStyle name="Comma 2 3" xfId="5" xr:uid="{00000000-0005-0000-0000-000033000000}"/>
    <cellStyle name="Comma 3" xfId="6" xr:uid="{00000000-0005-0000-0000-000034000000}"/>
    <cellStyle name="Comma 3 2" xfId="7" xr:uid="{00000000-0005-0000-0000-000035000000}"/>
    <cellStyle name="Comma 4" xfId="8" xr:uid="{00000000-0005-0000-0000-000036000000}"/>
    <cellStyle name="Comma 5" xfId="9" xr:uid="{00000000-0005-0000-0000-000037000000}"/>
    <cellStyle name="Comma 6" xfId="10" xr:uid="{00000000-0005-0000-0000-000038000000}"/>
    <cellStyle name="Comma 6 2" xfId="11" xr:uid="{00000000-0005-0000-0000-000039000000}"/>
    <cellStyle name="Hyperlink" xfId="2" builtinId="8"/>
    <cellStyle name="Normal" xfId="0" builtinId="0"/>
    <cellStyle name="Normal 2" xfId="12" xr:uid="{00000000-0005-0000-0000-00003A000000}"/>
    <cellStyle name="Normal 2 2" xfId="13" xr:uid="{00000000-0005-0000-0000-00003B000000}"/>
    <cellStyle name="Normal 2 2 2" xfId="14" xr:uid="{00000000-0005-0000-0000-00003C000000}"/>
    <cellStyle name="Normal 2 3" xfId="15" xr:uid="{00000000-0005-0000-0000-00003D000000}"/>
    <cellStyle name="Normal 3" xfId="16" xr:uid="{00000000-0005-0000-0000-00003E000000}"/>
    <cellStyle name="Normal 4" xfId="17" xr:uid="{00000000-0005-0000-0000-00003F000000}"/>
    <cellStyle name="Normal 4 2" xfId="18" xr:uid="{00000000-0005-0000-0000-000040000000}"/>
  </cellStyles>
  <dxfs count="48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167" formatCode="mm/dd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auto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numFmt numFmtId="35" formatCode="_(* #,##0.00_);_(* \(#,##0.00\);_(* &quot;-&quot;??_);_(@_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Calibri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FormulaSheet!$A$6:$A$8</c:f>
              <c:strCache>
                <c:ptCount val="3"/>
                <c:pt idx="0">
                  <c:v>Hospital Operation and Patient Support Division</c:v>
                </c:pt>
                <c:pt idx="1">
                  <c:v>Nursing Division</c:v>
                </c:pt>
                <c:pt idx="2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6B-45F2-83DF-0A7A6D4EF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6B-45F2-83DF-0A7A6D4EF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6B-45F2-83DF-0A7A6D4EF9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FormulaSheet!$D$6:$D$8</c:f>
              <c:numCache>
                <c:formatCode>General</c:formatCode>
                <c:ptCount val="3"/>
                <c:pt idx="0">
                  <c:v>54</c:v>
                </c:pt>
                <c:pt idx="1">
                  <c:v>141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6B-45F2-83DF-0A7A6D4EF9C4}"/>
            </c:ext>
          </c:extLst>
        </c:ser>
        <c:ser>
          <c:idx val="1"/>
          <c:order val="1"/>
          <c:tx>
            <c:strRef>
              <c:f>FormulaSheet!$A$7</c:f>
              <c:strCache>
                <c:ptCount val="1"/>
                <c:pt idx="0">
                  <c:v>Nursing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76B-45F2-83DF-0A7A6D4EF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76B-45F2-83DF-0A7A6D4EF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76B-45F2-83DF-0A7A6D4EF9C4}"/>
              </c:ext>
            </c:extLst>
          </c:dPt>
          <c:val>
            <c:numRef>
              <c:f>FormulaSheet!$B$7:$D$7</c:f>
              <c:numCache>
                <c:formatCode>General</c:formatCode>
                <c:ptCount val="3"/>
                <c:pt idx="0">
                  <c:v>138</c:v>
                </c:pt>
                <c:pt idx="1">
                  <c:v>3</c:v>
                </c:pt>
                <c:pt idx="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6B-45F2-83DF-0A7A6D4EF9C4}"/>
            </c:ext>
          </c:extLst>
        </c:ser>
        <c:ser>
          <c:idx val="2"/>
          <c:order val="2"/>
          <c:tx>
            <c:strRef>
              <c:f>FormulaSheet!$A$8</c:f>
              <c:strCache>
                <c:ptCount val="1"/>
                <c:pt idx="0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6B-45F2-83DF-0A7A6D4EF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6B-45F2-83DF-0A7A6D4EF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6B-45F2-83DF-0A7A6D4EF9C4}"/>
              </c:ext>
            </c:extLst>
          </c:dPt>
          <c:val>
            <c:numRef>
              <c:f>FormulaSheet!$B$8:$D$8</c:f>
              <c:numCache>
                <c:formatCode>General</c:formatCode>
                <c:ptCount val="3"/>
                <c:pt idx="0">
                  <c:v>108</c:v>
                </c:pt>
                <c:pt idx="1">
                  <c:v>4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76B-45F2-83DF-0A7A6D4E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acf940-c758-4018-b8b3-8a6945d48a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FormulaSheet!$A$15:$A$17</c:f>
              <c:strCache>
                <c:ptCount val="3"/>
                <c:pt idx="0">
                  <c:v>Hospital Operation and Patient Support Division</c:v>
                </c:pt>
                <c:pt idx="1">
                  <c:v>Nursing Division</c:v>
                </c:pt>
                <c:pt idx="2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D3-4003-B20D-7494111E9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D3-4003-B20D-7494111E9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D3-4003-B20D-7494111E91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FormulaSheet!$D$15:$D$17</c:f>
              <c:numCache>
                <c:formatCode>General</c:formatCode>
                <c:ptCount val="3"/>
                <c:pt idx="0">
                  <c:v>52</c:v>
                </c:pt>
                <c:pt idx="1">
                  <c:v>138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D3-4003-B20D-7494111E91BB}"/>
            </c:ext>
          </c:extLst>
        </c:ser>
        <c:ser>
          <c:idx val="1"/>
          <c:order val="1"/>
          <c:tx>
            <c:strRef>
              <c:f>FormulaSheet!$A$16</c:f>
              <c:strCache>
                <c:ptCount val="1"/>
                <c:pt idx="0">
                  <c:v>Nursing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FD3-4003-B20D-7494111E9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FD3-4003-B20D-7494111E9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FD3-4003-B20D-7494111E91BB}"/>
              </c:ext>
            </c:extLst>
          </c:dPt>
          <c:val>
            <c:numRef>
              <c:f>FormulaSheet!$B$16:$D$16</c:f>
              <c:numCache>
                <c:formatCode>General</c:formatCode>
                <c:ptCount val="3"/>
                <c:pt idx="0">
                  <c:v>37</c:v>
                </c:pt>
                <c:pt idx="1">
                  <c:v>101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D3-4003-B20D-7494111E91BB}"/>
            </c:ext>
          </c:extLst>
        </c:ser>
        <c:ser>
          <c:idx val="2"/>
          <c:order val="2"/>
          <c:tx>
            <c:strRef>
              <c:f>FormulaSheet!$A$17</c:f>
              <c:strCache>
                <c:ptCount val="1"/>
                <c:pt idx="0">
                  <c:v>Medical Division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FD3-4003-B20D-7494111E91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FD3-4003-B20D-7494111E91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FD3-4003-B20D-7494111E91B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FD3-4003-B20D-7494111E91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FD3-4003-B20D-7494111E91BB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FD3-4003-B20D-7494111E91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FormulaSheet!$B$17:$D$17</c:f>
              <c:numCache>
                <c:formatCode>General</c:formatCode>
                <c:ptCount val="3"/>
                <c:pt idx="0">
                  <c:v>41</c:v>
                </c:pt>
                <c:pt idx="1">
                  <c:v>66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FD3-4003-B20D-7494111E9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3f19e-d56e-43f1-8ca3-3b29cb2f6a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24.emf"/><Relationship Id="rId13" Type="http://schemas.openxmlformats.org/officeDocument/2006/relationships/image" Target="../media/image29.emf"/><Relationship Id="rId3" Type="http://schemas.openxmlformats.org/officeDocument/2006/relationships/image" Target="../media/image19.emf"/><Relationship Id="rId7" Type="http://schemas.openxmlformats.org/officeDocument/2006/relationships/image" Target="../media/image23.emf"/><Relationship Id="rId12" Type="http://schemas.openxmlformats.org/officeDocument/2006/relationships/image" Target="../media/image28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6" Type="http://schemas.openxmlformats.org/officeDocument/2006/relationships/image" Target="../media/image22.emf"/><Relationship Id="rId11" Type="http://schemas.openxmlformats.org/officeDocument/2006/relationships/image" Target="../media/image27.emf"/><Relationship Id="rId5" Type="http://schemas.openxmlformats.org/officeDocument/2006/relationships/image" Target="../media/image21.emf"/><Relationship Id="rId10" Type="http://schemas.openxmlformats.org/officeDocument/2006/relationships/image" Target="../media/image26.emf"/><Relationship Id="rId4" Type="http://schemas.openxmlformats.org/officeDocument/2006/relationships/image" Target="../media/image20.emf"/><Relationship Id="rId9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95250</xdr:colOff>
      <xdr:row>10</xdr:row>
      <xdr:rowOff>95250</xdr:rowOff>
    </xdr:from>
    <xdr:ext cx="216534" cy="264560"/>
    <xdr:sp macro="" textlink="">
      <xdr:nvSpPr>
        <xdr:cNvPr id="10244" name="Text Box 2">
          <a:extLst>
            <a:ext uri="{FF2B5EF4-FFF2-40B4-BE49-F238E27FC236}">
              <a16:creationId xmlns:a16="http://schemas.microsoft.com/office/drawing/2014/main" id="{00000000-0008-0000-0100-000004280000}"/>
            </a:ext>
          </a:extLst>
        </xdr:cNvPr>
        <xdr:cNvSpPr txBox="1">
          <a:spLocks noChangeArrowheads="1"/>
        </xdr:cNvSpPr>
      </xdr:nvSpPr>
      <xdr:spPr>
        <a:xfrm>
          <a:off x="8505825" y="2152650"/>
          <a:ext cx="215900" cy="264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oneCellAnchor>
  <xdr:twoCellAnchor>
    <xdr:from>
      <xdr:col>0</xdr:col>
      <xdr:colOff>161925</xdr:colOff>
      <xdr:row>0</xdr:row>
      <xdr:rowOff>104775</xdr:rowOff>
    </xdr:from>
    <xdr:to>
      <xdr:col>6</xdr:col>
      <xdr:colOff>9525</xdr:colOff>
      <xdr:row>4</xdr:row>
      <xdr:rowOff>100013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925" y="104775"/>
          <a:ext cx="819150" cy="766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76200</xdr:colOff>
      <xdr:row>0</xdr:row>
      <xdr:rowOff>66675</xdr:rowOff>
    </xdr:from>
    <xdr:to>
      <xdr:col>11</xdr:col>
      <xdr:colOff>123825</xdr:colOff>
      <xdr:row>4</xdr:row>
      <xdr:rowOff>104775</xdr:rowOff>
    </xdr:to>
    <xdr:pic>
      <xdr:nvPicPr>
        <xdr:cNvPr id="8" name="Picture 4" descr="STRH-removebg-preview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750" y="66675"/>
          <a:ext cx="8572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28576</xdr:colOff>
          <xdr:row>9</xdr:row>
          <xdr:rowOff>9524</xdr:rowOff>
        </xdr:from>
        <xdr:to>
          <xdr:col>21</xdr:col>
          <xdr:colOff>133350</xdr:colOff>
          <xdr:row>19</xdr:row>
          <xdr:rowOff>66675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4:$D$9" spid="_x0000_s10972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190500" y="1875790"/>
              <a:ext cx="3343275" cy="19723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9524</xdr:colOff>
          <xdr:row>9</xdr:row>
          <xdr:rowOff>9525</xdr:rowOff>
        </xdr:from>
        <xdr:to>
          <xdr:col>40</xdr:col>
          <xdr:colOff>121999</xdr:colOff>
          <xdr:row>19</xdr:row>
          <xdr:rowOff>76200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13:$D$18" spid="_x0000_s10972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>
            <a:xfrm>
              <a:off x="3733165" y="1876425"/>
              <a:ext cx="2922905" cy="19812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0</xdr:colOff>
          <xdr:row>3</xdr:row>
          <xdr:rowOff>19050</xdr:rowOff>
        </xdr:from>
        <xdr:to>
          <xdr:col>83</xdr:col>
          <xdr:colOff>0</xdr:colOff>
          <xdr:row>12</xdr:row>
          <xdr:rowOff>95250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75:$G$80" spid="_x0000_s10972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>
            <a:xfrm>
              <a:off x="6953250" y="600075"/>
              <a:ext cx="6315075" cy="1943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76199</xdr:colOff>
          <xdr:row>32</xdr:row>
          <xdr:rowOff>114299</xdr:rowOff>
        </xdr:from>
        <xdr:to>
          <xdr:col>40</xdr:col>
          <xdr:colOff>76200</xdr:colOff>
          <xdr:row>48</xdr:row>
          <xdr:rowOff>142874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23:$D$36" spid="_x0000_s10972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>
            <a:xfrm>
              <a:off x="3799840" y="6390640"/>
              <a:ext cx="2810510" cy="3076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23</xdr:row>
          <xdr:rowOff>19049</xdr:rowOff>
        </xdr:from>
        <xdr:to>
          <xdr:col>23</xdr:col>
          <xdr:colOff>76201</xdr:colOff>
          <xdr:row>48</xdr:row>
          <xdr:rowOff>142874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39:$D$62" spid="_x0000_s109728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>
            <a:xfrm>
              <a:off x="171450" y="4580890"/>
              <a:ext cx="3629025" cy="48863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23</xdr:row>
          <xdr:rowOff>19049</xdr:rowOff>
        </xdr:from>
        <xdr:to>
          <xdr:col>40</xdr:col>
          <xdr:colOff>101600</xdr:colOff>
          <xdr:row>32</xdr:row>
          <xdr:rowOff>114300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A$65:$D$71" spid="_x0000_s109729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>
            <a:xfrm>
              <a:off x="3810000" y="4580890"/>
              <a:ext cx="2825750" cy="181038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58</xdr:row>
          <xdr:rowOff>19051</xdr:rowOff>
        </xdr:from>
        <xdr:to>
          <xdr:col>20</xdr:col>
          <xdr:colOff>38100</xdr:colOff>
          <xdr:row>84</xdr:row>
          <xdr:rowOff>0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ormulaSheet!$A$89:$D$115" spid="_x0000_s109730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>
            <a:xfrm>
              <a:off x="171450" y="11344275"/>
              <a:ext cx="3105150" cy="4933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38101</xdr:colOff>
          <xdr:row>58</xdr:row>
          <xdr:rowOff>19050</xdr:rowOff>
        </xdr:from>
        <xdr:to>
          <xdr:col>39</xdr:col>
          <xdr:colOff>76200</xdr:colOff>
          <xdr:row>98</xdr:row>
          <xdr:rowOff>161925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ormulaSheet!$A$118:$D$158" spid="_x0000_s109731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>
            <a:xfrm>
              <a:off x="3276600" y="11344275"/>
              <a:ext cx="3171825" cy="7762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</xdr:colOff>
          <xdr:row>84</xdr:row>
          <xdr:rowOff>19050</xdr:rowOff>
        </xdr:from>
        <xdr:to>
          <xdr:col>20</xdr:col>
          <xdr:colOff>47625</xdr:colOff>
          <xdr:row>98</xdr:row>
          <xdr:rowOff>152400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FormulaSheet!$A$162:$D$174" spid="_x0000_s109732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>
            <a:xfrm>
              <a:off x="161925" y="16297275"/>
              <a:ext cx="3124200" cy="2800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31</xdr:col>
      <xdr:colOff>0</xdr:colOff>
      <xdr:row>0</xdr:row>
      <xdr:rowOff>38100</xdr:rowOff>
    </xdr:from>
    <xdr:to>
      <xdr:col>36</xdr:col>
      <xdr:colOff>104775</xdr:colOff>
      <xdr:row>4</xdr:row>
      <xdr:rowOff>167640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38100"/>
          <a:ext cx="914400" cy="901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104775</xdr:rowOff>
        </xdr:from>
        <xdr:to>
          <xdr:col>31</xdr:col>
          <xdr:colOff>123825</xdr:colOff>
          <xdr:row>118</xdr:row>
          <xdr:rowOff>104775</xdr:rowOff>
        </xdr:to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N$4:$R$9" spid="_x0000_s109733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>
            <a:xfrm>
              <a:off x="971550" y="21336000"/>
              <a:ext cx="4229100" cy="1524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180975</xdr:rowOff>
        </xdr:from>
        <xdr:to>
          <xdr:col>31</xdr:col>
          <xdr:colOff>123825</xdr:colOff>
          <xdr:row>127</xdr:row>
          <xdr:rowOff>0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N$12:$R$17" spid="_x0000_s109734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>
            <a:xfrm>
              <a:off x="971550" y="22936200"/>
              <a:ext cx="4229100" cy="15335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127</xdr:row>
          <xdr:rowOff>66675</xdr:rowOff>
        </xdr:from>
        <xdr:to>
          <xdr:col>31</xdr:col>
          <xdr:colOff>123825</xdr:colOff>
          <xdr:row>134</xdr:row>
          <xdr:rowOff>76200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N$20:$R$25" spid="_x0000_s109735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>
            <a:xfrm>
              <a:off x="971550" y="24536400"/>
              <a:ext cx="4229100" cy="1343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137</xdr:row>
          <xdr:rowOff>161925</xdr:rowOff>
        </xdr:from>
        <xdr:to>
          <xdr:col>35</xdr:col>
          <xdr:colOff>142875</xdr:colOff>
          <xdr:row>145</xdr:row>
          <xdr:rowOff>161925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rmulaSheet!$T$4:$Z$9" spid="_x0000_s109736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>
            <a:xfrm>
              <a:off x="447675" y="26536650"/>
              <a:ext cx="5419725" cy="1524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19050</xdr:rowOff>
    </xdr:from>
    <xdr:to>
      <xdr:col>11</xdr:col>
      <xdr:colOff>428625</xdr:colOff>
      <xdr:row>13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80962</xdr:colOff>
      <xdr:row>14</xdr:row>
      <xdr:rowOff>9525</xdr:rowOff>
    </xdr:from>
    <xdr:to>
      <xdr:col>11</xdr:col>
      <xdr:colOff>385762</xdr:colOff>
      <xdr:row>27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308" totalsRowShown="0">
  <autoFilter ref="A1:AP308" xr:uid="{00000000-0009-0000-0100-000001000000}"/>
  <tableColumns count="42">
    <tableColumn id="1" xr3:uid="{00000000-0010-0000-0000-000001000000}" name="Count" dataDxfId="47"/>
    <tableColumn id="2" xr3:uid="{00000000-0010-0000-0000-000002000000}" name="Item Number" dataDxfId="46"/>
    <tableColumn id="3" xr3:uid="{00000000-0010-0000-0000-000003000000}" name="POSITION" dataDxfId="45"/>
    <tableColumn id="41" xr3:uid="{00000000-0010-0000-0000-000029000000}" name="Specialist" dataDxfId="44"/>
    <tableColumn id="40" xr3:uid="{00000000-0010-0000-0000-000028000000}" name="Parentetical" dataDxfId="43"/>
    <tableColumn id="49" xr3:uid="{00000000-0010-0000-0000-000031000000}" name="UNIT / SECTION" dataDxfId="42"/>
    <tableColumn id="4" xr3:uid="{00000000-0010-0000-0000-000004000000}" name="CADRE" dataDxfId="41"/>
    <tableColumn id="5" xr3:uid="{00000000-0010-0000-0000-000005000000}" name="26" dataDxfId="40"/>
    <tableColumn id="6" xr3:uid="{00000000-0010-0000-0000-000006000000}" name="SALARY GRADE" dataDxfId="39"/>
    <tableColumn id="7" xr3:uid="{00000000-0010-0000-0000-000007000000}" name="AUTHORIZED SALARY" dataDxfId="38">
      <calculatedColumnFormula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calculatedColumnFormula>
    </tableColumn>
    <tableColumn id="8" xr3:uid="{00000000-0010-0000-0000-000008000000}" name="Level2" dataDxfId="37"/>
    <tableColumn id="9" xr3:uid="{00000000-0010-0000-0000-000009000000}" name="FILLED&amp;UNFILLED" dataDxfId="36">
      <calculatedColumnFormula>IF(Table1[[#This Row],[LAST]]="","Unfilled","Filled")</calculatedColumnFormula>
    </tableColumn>
    <tableColumn id="10" xr3:uid="{00000000-0010-0000-0000-00000A000000}" name="LAST" dataDxfId="35"/>
    <tableColumn id="11" xr3:uid="{00000000-0010-0000-0000-00000B000000}" name="FIRST" dataDxfId="34"/>
    <tableColumn id="12" xr3:uid="{00000000-0010-0000-0000-00000C000000}" name="MIDDLE" dataDxfId="33"/>
    <tableColumn id="13" xr3:uid="{00000000-0010-0000-0000-00000D000000}" name="SUFFIX" dataDxfId="32"/>
    <tableColumn id="14" xr3:uid="{00000000-0010-0000-0000-00000E000000}" name="DATE OF BIRTH" dataDxfId="31"/>
    <tableColumn id="15" xr3:uid="{00000000-0010-0000-0000-00000F000000}" name="DATE OF ORIGINAL APPOINTMENT" dataDxfId="30"/>
    <tableColumn id="16" xr3:uid="{00000000-0010-0000-0000-000010000000}" name="ASSUMPTION" dataDxfId="29"/>
    <tableColumn id="17" xr3:uid="{00000000-0010-0000-0000-000011000000}" name="LATEST PROMOTION" dataDxfId="28"/>
    <tableColumn id="18" xr3:uid="{00000000-0010-0000-0000-000012000000}" name="CIVIL STATUS" dataDxfId="27"/>
    <tableColumn id="19" xr3:uid="{00000000-0010-0000-0000-000013000000}" name="GENDER" dataDxfId="26"/>
    <tableColumn id="20" xr3:uid="{00000000-0010-0000-0000-000014000000}" name="AGE" dataDxfId="25">
      <calculatedColumnFormula>DATEDIF(Q2,TODAY(),"Y")</calculatedColumnFormula>
    </tableColumn>
    <tableColumn id="39" xr3:uid="{00000000-0010-0000-0000-000027000000}" name="AGE GROUP" dataDxfId="24">
      <calculatedColumnFormula>IF(ABS(Table1[[#This Row],[AGE]])&gt;59,"60 and above",IF(ABS(Table1[[#This Row],[AGE]])&gt;49,"50-59",IF(ABS(Table1[[#This Row],[AGE]])&gt;39,"40-49",IF(ABS(Table1[[#This Row],[AGE]])&gt;29,"30-39",IF(ABS(Table1[[#This Row],[AGE]])&gt;19,"20-29","")))))</calculatedColumnFormula>
    </tableColumn>
    <tableColumn id="21" xr3:uid="{00000000-0010-0000-0000-000015000000}" name="PLACE OF BIRTH" dataDxfId="23"/>
    <tableColumn id="22" xr3:uid="{00000000-0010-0000-0000-000016000000}" name="No., Street, Subd./Village" dataDxfId="22"/>
    <tableColumn id="23" xr3:uid="{00000000-0010-0000-0000-000017000000}" name="Baranggay" dataDxfId="21"/>
    <tableColumn id="24" xr3:uid="{00000000-0010-0000-0000-000018000000}" name="City/Municipality" dataDxfId="20"/>
    <tableColumn id="25" xr3:uid="{00000000-0010-0000-0000-000019000000}" name="Province" dataDxfId="19"/>
    <tableColumn id="26" xr3:uid="{00000000-0010-0000-0000-00001A000000}" name="Zip Code" dataDxfId="18"/>
    <tableColumn id="27" xr3:uid="{00000000-0010-0000-0000-00001B000000}" name="EDUCATIONAL ATTAINMENT" dataDxfId="17"/>
    <tableColumn id="28" xr3:uid="{00000000-0010-0000-0000-00001C000000}" name="PROGRAM/COURSE" dataDxfId="16"/>
    <tableColumn id="29" xr3:uid="{00000000-0010-0000-0000-00001D000000}" name="ELIGIBILITY" dataDxfId="15"/>
    <tableColumn id="30" xr3:uid="{00000000-0010-0000-0000-00001E000000}" name="LICENSE NO." dataDxfId="14"/>
    <tableColumn id="31" xr3:uid="{00000000-0010-0000-0000-00001F000000}" name="VALIDITY" dataDxfId="13"/>
    <tableColumn id="32" xr3:uid="{00000000-0010-0000-0000-000020000000}" name="GSIS" dataDxfId="12"/>
    <tableColumn id="33" xr3:uid="{00000000-0010-0000-0000-000021000000}" name="PAG-IBIG" dataDxfId="11"/>
    <tableColumn id="34" xr3:uid="{00000000-0010-0000-0000-000022000000}" name="PHILHEALTH" dataDxfId="10"/>
    <tableColumn id="35" xr3:uid="{00000000-0010-0000-0000-000023000000}" name="TIN" dataDxfId="9"/>
    <tableColumn id="36" xr3:uid="{00000000-0010-0000-0000-000024000000}" name="MOBILE NO." dataDxfId="8"/>
    <tableColumn id="37" xr3:uid="{00000000-0010-0000-0000-000025000000}" name="PHONE NO." dataDxfId="7"/>
    <tableColumn id="38" xr3:uid="{00000000-0010-0000-0000-000026000000}" name="EMAIL ADDRES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gela.arkoncel@gmail.com" TargetMode="External"/><Relationship Id="rId21" Type="http://schemas.openxmlformats.org/officeDocument/2006/relationships/hyperlink" Target="mailto:lunasanders357@gmail.com" TargetMode="External"/><Relationship Id="rId42" Type="http://schemas.openxmlformats.org/officeDocument/2006/relationships/hyperlink" Target="mailto:ma.victoriar@yahoo.com" TargetMode="External"/><Relationship Id="rId47" Type="http://schemas.openxmlformats.org/officeDocument/2006/relationships/hyperlink" Target="mailto:noelsarrosa@gmail.com" TargetMode="External"/><Relationship Id="rId63" Type="http://schemas.openxmlformats.org/officeDocument/2006/relationships/hyperlink" Target="mailto:justineerikamontana0221@gmail.com" TargetMode="External"/><Relationship Id="rId68" Type="http://schemas.openxmlformats.org/officeDocument/2006/relationships/hyperlink" Target="mailto:japi19@yahoo.com" TargetMode="External"/><Relationship Id="rId84" Type="http://schemas.openxmlformats.org/officeDocument/2006/relationships/hyperlink" Target="mailto:camillenatoagapito@gmail.com" TargetMode="External"/><Relationship Id="rId89" Type="http://schemas.openxmlformats.org/officeDocument/2006/relationships/hyperlink" Target="mailto:mariavictoriatina0504@gmail.com" TargetMode="External"/><Relationship Id="rId16" Type="http://schemas.openxmlformats.org/officeDocument/2006/relationships/hyperlink" Target="mailto:jazelanne.cortez@yahoo.com" TargetMode="External"/><Relationship Id="rId107" Type="http://schemas.openxmlformats.org/officeDocument/2006/relationships/vmlDrawing" Target="../drawings/vmlDrawing1.vml"/><Relationship Id="rId11" Type="http://schemas.openxmlformats.org/officeDocument/2006/relationships/hyperlink" Target="mailto:czaidelmrosales@gmail.com" TargetMode="External"/><Relationship Id="rId32" Type="http://schemas.openxmlformats.org/officeDocument/2006/relationships/hyperlink" Target="mailto:mariellekane1025@gmail.com" TargetMode="External"/><Relationship Id="rId37" Type="http://schemas.openxmlformats.org/officeDocument/2006/relationships/hyperlink" Target="mailto:jenysagala@gmail.com" TargetMode="External"/><Relationship Id="rId53" Type="http://schemas.openxmlformats.org/officeDocument/2006/relationships/hyperlink" Target="mailto:rachellemoral29@gmail.com" TargetMode="External"/><Relationship Id="rId58" Type="http://schemas.openxmlformats.org/officeDocument/2006/relationships/hyperlink" Target="mailto:jepaniemorales@gmail.com" TargetMode="External"/><Relationship Id="rId74" Type="http://schemas.openxmlformats.org/officeDocument/2006/relationships/hyperlink" Target="mailto:keithlyngutierrezrmt@gmail.com" TargetMode="External"/><Relationship Id="rId79" Type="http://schemas.openxmlformats.org/officeDocument/2006/relationships/hyperlink" Target="mailto:willahbaloy@gmail.com" TargetMode="External"/><Relationship Id="rId102" Type="http://schemas.openxmlformats.org/officeDocument/2006/relationships/hyperlink" Target="mailto:yen_lim18@yahoo.com.ph" TargetMode="External"/><Relationship Id="rId5" Type="http://schemas.openxmlformats.org/officeDocument/2006/relationships/hyperlink" Target="mailto:lexteranabe@yahoo.com" TargetMode="External"/><Relationship Id="rId90" Type="http://schemas.openxmlformats.org/officeDocument/2006/relationships/hyperlink" Target="mailto:hannagumama0225@gmail.com" TargetMode="External"/><Relationship Id="rId95" Type="http://schemas.openxmlformats.org/officeDocument/2006/relationships/hyperlink" Target="mailto:jpfravelo@gmail.com" TargetMode="External"/><Relationship Id="rId22" Type="http://schemas.openxmlformats.org/officeDocument/2006/relationships/hyperlink" Target="mailto:lynneaysh@gmail.com" TargetMode="External"/><Relationship Id="rId27" Type="http://schemas.openxmlformats.org/officeDocument/2006/relationships/hyperlink" Target="mailto:gasidjamella@yahoo.com" TargetMode="External"/><Relationship Id="rId43" Type="http://schemas.openxmlformats.org/officeDocument/2006/relationships/hyperlink" Target="mailto:zellybean10@gmail.com" TargetMode="External"/><Relationship Id="rId48" Type="http://schemas.openxmlformats.org/officeDocument/2006/relationships/hyperlink" Target="mailto:eleonorlamsen@yahoo.com" TargetMode="External"/><Relationship Id="rId64" Type="http://schemas.openxmlformats.org/officeDocument/2006/relationships/hyperlink" Target="mailto:alfonsoedgardo6@gmail.com" TargetMode="External"/><Relationship Id="rId69" Type="http://schemas.openxmlformats.org/officeDocument/2006/relationships/hyperlink" Target="mailto:hnnhrr.97@gmail.com" TargetMode="External"/><Relationship Id="rId80" Type="http://schemas.openxmlformats.org/officeDocument/2006/relationships/hyperlink" Target="mailto:annamayjimenez@gmail.com" TargetMode="External"/><Relationship Id="rId85" Type="http://schemas.openxmlformats.org/officeDocument/2006/relationships/hyperlink" Target="mailto:maanching.mc@gmail.com" TargetMode="External"/><Relationship Id="rId12" Type="http://schemas.openxmlformats.org/officeDocument/2006/relationships/hyperlink" Target="mailto:ronaldogarrido261984@gmail.com" TargetMode="External"/><Relationship Id="rId17" Type="http://schemas.openxmlformats.org/officeDocument/2006/relationships/hyperlink" Target="mailto:markgreysonblanco@gmail.com" TargetMode="External"/><Relationship Id="rId33" Type="http://schemas.openxmlformats.org/officeDocument/2006/relationships/hyperlink" Target="mailto:siazoncoleen@gmail.com" TargetMode="External"/><Relationship Id="rId38" Type="http://schemas.openxmlformats.org/officeDocument/2006/relationships/hyperlink" Target="mailto:mommycharry68@gmail.com" TargetMode="External"/><Relationship Id="rId59" Type="http://schemas.openxmlformats.org/officeDocument/2006/relationships/hyperlink" Target="mailto:keitellarraineocomen@gmail.com" TargetMode="External"/><Relationship Id="rId103" Type="http://schemas.openxmlformats.org/officeDocument/2006/relationships/hyperlink" Target="mailto:jaguar0796@yahoo.com" TargetMode="External"/><Relationship Id="rId108" Type="http://schemas.openxmlformats.org/officeDocument/2006/relationships/table" Target="../tables/table1.xml"/><Relationship Id="rId54" Type="http://schemas.openxmlformats.org/officeDocument/2006/relationships/hyperlink" Target="mailto:divine.escobar95@gmail.com" TargetMode="External"/><Relationship Id="rId70" Type="http://schemas.openxmlformats.org/officeDocument/2006/relationships/hyperlink" Target="mailto:margievaldez026@gmail.com" TargetMode="External"/><Relationship Id="rId75" Type="http://schemas.openxmlformats.org/officeDocument/2006/relationships/hyperlink" Target="mailto:aisneraqueno.rmt@gmail.com" TargetMode="External"/><Relationship Id="rId91" Type="http://schemas.openxmlformats.org/officeDocument/2006/relationships/hyperlink" Target="mailto:tarucreggie@gmail.com" TargetMode="External"/><Relationship Id="rId96" Type="http://schemas.openxmlformats.org/officeDocument/2006/relationships/hyperlink" Target="mailto:erickamallillin@gmail.com" TargetMode="External"/><Relationship Id="rId1" Type="http://schemas.openxmlformats.org/officeDocument/2006/relationships/hyperlink" Target="mailto:rer.rubiano@gmail.com" TargetMode="External"/><Relationship Id="rId6" Type="http://schemas.openxmlformats.org/officeDocument/2006/relationships/hyperlink" Target="mailto:dikhei14@g,ail.com" TargetMode="External"/><Relationship Id="rId15" Type="http://schemas.openxmlformats.org/officeDocument/2006/relationships/hyperlink" Target="mailto:minequenoeshelle@gmail.com" TargetMode="External"/><Relationship Id="rId23" Type="http://schemas.openxmlformats.org/officeDocument/2006/relationships/hyperlink" Target="mailto:roxannelipuradoctor0118@gmail.com" TargetMode="External"/><Relationship Id="rId28" Type="http://schemas.openxmlformats.org/officeDocument/2006/relationships/hyperlink" Target="mailto:janettereyes1212@gmail.com" TargetMode="External"/><Relationship Id="rId36" Type="http://schemas.openxmlformats.org/officeDocument/2006/relationships/hyperlink" Target="mailto:bayaswilma@gmail.com" TargetMode="External"/><Relationship Id="rId49" Type="http://schemas.openxmlformats.org/officeDocument/2006/relationships/hyperlink" Target="mailto:betangirl@yahoo.com" TargetMode="External"/><Relationship Id="rId57" Type="http://schemas.openxmlformats.org/officeDocument/2006/relationships/hyperlink" Target="mailto:wengpooh@yahoo.com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mailto:elouisasantizo@gmail.com" TargetMode="External"/><Relationship Id="rId31" Type="http://schemas.openxmlformats.org/officeDocument/2006/relationships/hyperlink" Target="mailto:cabrerazeres@gmail.com" TargetMode="External"/><Relationship Id="rId44" Type="http://schemas.openxmlformats.org/officeDocument/2006/relationships/hyperlink" Target="mailto:abarquezmyrafe46@gmail.com" TargetMode="External"/><Relationship Id="rId52" Type="http://schemas.openxmlformats.org/officeDocument/2006/relationships/hyperlink" Target="mailto:onahnieto77@gmail.com" TargetMode="External"/><Relationship Id="rId60" Type="http://schemas.openxmlformats.org/officeDocument/2006/relationships/hyperlink" Target="mailto:barron_ej@yahoo.com" TargetMode="External"/><Relationship Id="rId65" Type="http://schemas.openxmlformats.org/officeDocument/2006/relationships/hyperlink" Target="mailto:kevin_dulce2006@gmail.com" TargetMode="External"/><Relationship Id="rId73" Type="http://schemas.openxmlformats.org/officeDocument/2006/relationships/hyperlink" Target="mailto:janegisellermt21@gmail.com" TargetMode="External"/><Relationship Id="rId78" Type="http://schemas.openxmlformats.org/officeDocument/2006/relationships/hyperlink" Target="mailto:janolaskosunga@gmail.com" TargetMode="External"/><Relationship Id="rId81" Type="http://schemas.openxmlformats.org/officeDocument/2006/relationships/hyperlink" Target="mailto:franleo.rn@gmail.com" TargetMode="External"/><Relationship Id="rId86" Type="http://schemas.openxmlformats.org/officeDocument/2006/relationships/hyperlink" Target="mailto:ronaldchua@gmail.com" TargetMode="External"/><Relationship Id="rId94" Type="http://schemas.openxmlformats.org/officeDocument/2006/relationships/hyperlink" Target="mailto:moreno.vs0328@gmail.com" TargetMode="External"/><Relationship Id="rId99" Type="http://schemas.openxmlformats.org/officeDocument/2006/relationships/hyperlink" Target="mailto:violagojeffrey042189@gmail.com" TargetMode="External"/><Relationship Id="rId101" Type="http://schemas.openxmlformats.org/officeDocument/2006/relationships/hyperlink" Target="mailto:rebeccaanngabormd@gmail.com" TargetMode="External"/><Relationship Id="rId4" Type="http://schemas.openxmlformats.org/officeDocument/2006/relationships/hyperlink" Target="mailto:reinamanzanoperalta@gmail.com" TargetMode="External"/><Relationship Id="rId9" Type="http://schemas.openxmlformats.org/officeDocument/2006/relationships/hyperlink" Target="mailto:pedeguzman7668@gmail.com" TargetMode="External"/><Relationship Id="rId13" Type="http://schemas.openxmlformats.org/officeDocument/2006/relationships/hyperlink" Target="mailto:hersheyarandia@gmail.com" TargetMode="External"/><Relationship Id="rId18" Type="http://schemas.openxmlformats.org/officeDocument/2006/relationships/hyperlink" Target="mailto:onin.saavedra@yahoo.com" TargetMode="External"/><Relationship Id="rId39" Type="http://schemas.openxmlformats.org/officeDocument/2006/relationships/hyperlink" Target="mailto:edna_hg88@yahoo.com" TargetMode="External"/><Relationship Id="rId109" Type="http://schemas.openxmlformats.org/officeDocument/2006/relationships/comments" Target="../comments1.xml"/><Relationship Id="rId34" Type="http://schemas.openxmlformats.org/officeDocument/2006/relationships/hyperlink" Target="mailto:erdultra@yahoo.com" TargetMode="External"/><Relationship Id="rId50" Type="http://schemas.openxmlformats.org/officeDocument/2006/relationships/hyperlink" Target="mailto:monengmd@yahoo.com" TargetMode="External"/><Relationship Id="rId55" Type="http://schemas.openxmlformats.org/officeDocument/2006/relationships/hyperlink" Target="mailto:yvesgarcia@gmail.com" TargetMode="External"/><Relationship Id="rId76" Type="http://schemas.openxmlformats.org/officeDocument/2006/relationships/hyperlink" Target="mailto:psrmt2018@gmail.com" TargetMode="External"/><Relationship Id="rId97" Type="http://schemas.openxmlformats.org/officeDocument/2006/relationships/hyperlink" Target="mailto:krystelmarietorres@gmail.com" TargetMode="External"/><Relationship Id="rId104" Type="http://schemas.openxmlformats.org/officeDocument/2006/relationships/hyperlink" Target="mailto:jerrolcabuhat@gmail.com" TargetMode="External"/><Relationship Id="rId7" Type="http://schemas.openxmlformats.org/officeDocument/2006/relationships/hyperlink" Target="mailto:nicole_nadua@yahoo.com" TargetMode="External"/><Relationship Id="rId71" Type="http://schemas.openxmlformats.org/officeDocument/2006/relationships/hyperlink" Target="mailto:sfds128@yahoo.com" TargetMode="External"/><Relationship Id="rId92" Type="http://schemas.openxmlformats.org/officeDocument/2006/relationships/hyperlink" Target="mailto:jasonvillasenor080189@gmail.com" TargetMode="External"/><Relationship Id="rId2" Type="http://schemas.openxmlformats.org/officeDocument/2006/relationships/hyperlink" Target="mailto:jesdm3a@gmail.com" TargetMode="External"/><Relationship Id="rId29" Type="http://schemas.openxmlformats.org/officeDocument/2006/relationships/hyperlink" Target="mailto:licelpamaran25@gmail.com" TargetMode="External"/><Relationship Id="rId24" Type="http://schemas.openxmlformats.org/officeDocument/2006/relationships/hyperlink" Target="mailto:jino.bugna@gmail.com" TargetMode="External"/><Relationship Id="rId40" Type="http://schemas.openxmlformats.org/officeDocument/2006/relationships/hyperlink" Target="mailto:renantebacdayan7@gmail.com" TargetMode="External"/><Relationship Id="rId45" Type="http://schemas.openxmlformats.org/officeDocument/2006/relationships/hyperlink" Target="mailto:greggjulian09@gmail.com" TargetMode="External"/><Relationship Id="rId66" Type="http://schemas.openxmlformats.org/officeDocument/2006/relationships/hyperlink" Target="mailto:jermacemojica18@gmail.com" TargetMode="External"/><Relationship Id="rId87" Type="http://schemas.openxmlformats.org/officeDocument/2006/relationships/hyperlink" Target="mailto:fredabratigue@gmail.com" TargetMode="External"/><Relationship Id="rId61" Type="http://schemas.openxmlformats.org/officeDocument/2006/relationships/hyperlink" Target="mailto:rhonixperalta@gmail.com" TargetMode="External"/><Relationship Id="rId82" Type="http://schemas.openxmlformats.org/officeDocument/2006/relationships/hyperlink" Target="mailto:hanafloreslim@gmail.com" TargetMode="External"/><Relationship Id="rId19" Type="http://schemas.openxmlformats.org/officeDocument/2006/relationships/hyperlink" Target="mailto:joannarioguevarra0705@gmail.com" TargetMode="External"/><Relationship Id="rId14" Type="http://schemas.openxmlformats.org/officeDocument/2006/relationships/hyperlink" Target="mailto:olivajiezl03@gmail.com" TargetMode="External"/><Relationship Id="rId30" Type="http://schemas.openxmlformats.org/officeDocument/2006/relationships/hyperlink" Target="mailto:periphnymu@gmail.com" TargetMode="External"/><Relationship Id="rId35" Type="http://schemas.openxmlformats.org/officeDocument/2006/relationships/hyperlink" Target="mailto:epurugganan547@gmail.com" TargetMode="External"/><Relationship Id="rId56" Type="http://schemas.openxmlformats.org/officeDocument/2006/relationships/hyperlink" Target="mailto:uyagcarnation@gmail.com" TargetMode="External"/><Relationship Id="rId77" Type="http://schemas.openxmlformats.org/officeDocument/2006/relationships/hyperlink" Target="mailto:kerthsedantes@gmail.com" TargetMode="External"/><Relationship Id="rId100" Type="http://schemas.openxmlformats.org/officeDocument/2006/relationships/hyperlink" Target="mailto:mcautor@gmail.com" TargetMode="External"/><Relationship Id="rId105" Type="http://schemas.openxmlformats.org/officeDocument/2006/relationships/hyperlink" Target="mailto:andydicen07@gmail.com" TargetMode="External"/><Relationship Id="rId8" Type="http://schemas.openxmlformats.org/officeDocument/2006/relationships/hyperlink" Target="mailto:swilfreda@yahoo.com" TargetMode="External"/><Relationship Id="rId51" Type="http://schemas.openxmlformats.org/officeDocument/2006/relationships/hyperlink" Target="mailto:rogerrossberango@gmail.com" TargetMode="External"/><Relationship Id="rId72" Type="http://schemas.openxmlformats.org/officeDocument/2006/relationships/hyperlink" Target="mailto:sirkarl21@gmail.com" TargetMode="External"/><Relationship Id="rId93" Type="http://schemas.openxmlformats.org/officeDocument/2006/relationships/hyperlink" Target="mailto:dalagonmichelle84@gmail.com" TargetMode="External"/><Relationship Id="rId98" Type="http://schemas.openxmlformats.org/officeDocument/2006/relationships/hyperlink" Target="mailto:yuriregalado30@gmail.com" TargetMode="External"/><Relationship Id="rId3" Type="http://schemas.openxmlformats.org/officeDocument/2006/relationships/hyperlink" Target="mailto:leejaymd@gmail.com" TargetMode="External"/><Relationship Id="rId25" Type="http://schemas.openxmlformats.org/officeDocument/2006/relationships/hyperlink" Target="mailto:bmjmiranda@gmail.com" TargetMode="External"/><Relationship Id="rId46" Type="http://schemas.openxmlformats.org/officeDocument/2006/relationships/hyperlink" Target="mailto:blancorenzton@gmail.com" TargetMode="External"/><Relationship Id="rId67" Type="http://schemas.openxmlformats.org/officeDocument/2006/relationships/hyperlink" Target="mailto:egparoanrn@gmail.com" TargetMode="External"/><Relationship Id="rId20" Type="http://schemas.openxmlformats.org/officeDocument/2006/relationships/hyperlink" Target="mailto:iam.ronnieross@gmail.com" TargetMode="External"/><Relationship Id="rId41" Type="http://schemas.openxmlformats.org/officeDocument/2006/relationships/hyperlink" Target="mailto:napnicor@gmail.com" TargetMode="External"/><Relationship Id="rId62" Type="http://schemas.openxmlformats.org/officeDocument/2006/relationships/hyperlink" Target="mailto:malufajardorivera@yahoo.com.ph" TargetMode="External"/><Relationship Id="rId83" Type="http://schemas.openxmlformats.org/officeDocument/2006/relationships/hyperlink" Target="mailto:andaiagretchen@gmail.com" TargetMode="External"/><Relationship Id="rId88" Type="http://schemas.openxmlformats.org/officeDocument/2006/relationships/hyperlink" Target="mailto:mara.banag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cgerardsolis32@yahoo.com" TargetMode="External"/><Relationship Id="rId13" Type="http://schemas.openxmlformats.org/officeDocument/2006/relationships/hyperlink" Target="mailto:cjsupetran@gmail.com" TargetMode="External"/><Relationship Id="rId3" Type="http://schemas.openxmlformats.org/officeDocument/2006/relationships/hyperlink" Target="mailto:phoebealino@yahoo.com" TargetMode="External"/><Relationship Id="rId7" Type="http://schemas.openxmlformats.org/officeDocument/2006/relationships/hyperlink" Target="mailto:angnikkir@gmail.com" TargetMode="External"/><Relationship Id="rId12" Type="http://schemas.openxmlformats.org/officeDocument/2006/relationships/hyperlink" Target="mailto:merjarin29@gmail.com" TargetMode="External"/><Relationship Id="rId2" Type="http://schemas.openxmlformats.org/officeDocument/2006/relationships/hyperlink" Target="mailto:villalobos1013@gmail.com" TargetMode="External"/><Relationship Id="rId1" Type="http://schemas.openxmlformats.org/officeDocument/2006/relationships/hyperlink" Target="mailto:andewrufinovillafuerte@gmail.com" TargetMode="External"/><Relationship Id="rId6" Type="http://schemas.openxmlformats.org/officeDocument/2006/relationships/hyperlink" Target="mailto:valerie.unciano@gmail.com" TargetMode="External"/><Relationship Id="rId11" Type="http://schemas.openxmlformats.org/officeDocument/2006/relationships/hyperlink" Target="mailto:ybtaladro@gmail.com" TargetMode="External"/><Relationship Id="rId5" Type="http://schemas.openxmlformats.org/officeDocument/2006/relationships/hyperlink" Target="mailto:alansupelana0720@gmail.com" TargetMode="External"/><Relationship Id="rId10" Type="http://schemas.openxmlformats.org/officeDocument/2006/relationships/hyperlink" Target="mailto:maciealvarez@gmail.com" TargetMode="External"/><Relationship Id="rId4" Type="http://schemas.openxmlformats.org/officeDocument/2006/relationships/hyperlink" Target="mailto:macaragones@yahoo.com" TargetMode="External"/><Relationship Id="rId9" Type="http://schemas.openxmlformats.org/officeDocument/2006/relationships/hyperlink" Target="mailto:jonnaliznicolas@gmail.com" TargetMode="External"/><Relationship Id="rId14" Type="http://schemas.openxmlformats.org/officeDocument/2006/relationships/hyperlink" Target="mailto:lylejoseph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0"/>
  <sheetViews>
    <sheetView tabSelected="1" zoomScale="85" zoomScaleNormal="85" zoomScaleSheetLayoutView="70" workbookViewId="0">
      <pane ySplit="1" topLeftCell="A2" activePane="bottomLeft" state="frozen"/>
      <selection pane="bottomLeft" activeCell="M51" sqref="M51"/>
    </sheetView>
  </sheetViews>
  <sheetFormatPr defaultColWidth="9" defaultRowHeight="15"/>
  <cols>
    <col min="1" max="1" width="9.85546875" customWidth="1"/>
    <col min="2" max="2" width="27.5703125" customWidth="1"/>
    <col min="3" max="3" width="57.140625" customWidth="1"/>
    <col min="4" max="7" width="63.85546875" hidden="1" customWidth="1"/>
    <col min="8" max="8" width="25.5703125" customWidth="1"/>
    <col min="9" max="9" width="6.140625" customWidth="1"/>
    <col min="10" max="10" width="15.28515625" customWidth="1"/>
    <col min="11" max="11" width="14" customWidth="1"/>
    <col min="12" max="12" width="19.5703125" customWidth="1"/>
    <col min="13" max="13" width="22.42578125" customWidth="1"/>
    <col min="14" max="14" width="24.42578125" customWidth="1"/>
    <col min="15" max="15" width="16.5703125" customWidth="1"/>
    <col min="16" max="16" width="11.28515625" customWidth="1"/>
    <col min="17" max="17" width="20.85546875" customWidth="1"/>
    <col min="18" max="18" width="14.85546875" customWidth="1"/>
    <col min="19" max="19" width="18.42578125" customWidth="1"/>
    <col min="20" max="20" width="15.7109375" customWidth="1"/>
    <col min="21" max="21" width="18.42578125" customWidth="1"/>
    <col min="22" max="22" width="12.85546875" customWidth="1"/>
    <col min="23" max="24" width="14.85546875" customWidth="1"/>
    <col min="25" max="25" width="22.28515625" customWidth="1"/>
    <col min="26" max="26" width="55.42578125" customWidth="1"/>
    <col min="27" max="27" width="18.28515625" customWidth="1"/>
    <col min="28" max="28" width="20.85546875" customWidth="1"/>
    <col min="29" max="29" width="16.28515625" customWidth="1"/>
    <col min="30" max="30" width="10.42578125" customWidth="1"/>
    <col min="31" max="31" width="34.85546875" customWidth="1"/>
    <col min="32" max="32" width="25.28515625" customWidth="1"/>
    <col min="33" max="33" width="15.85546875" customWidth="1"/>
    <col min="34" max="34" width="17.28515625" customWidth="1"/>
    <col min="35" max="35" width="14.85546875" customWidth="1"/>
    <col min="36" max="36" width="17.28515625" customWidth="1"/>
    <col min="37" max="38" width="20.42578125" customWidth="1"/>
    <col min="39" max="39" width="16" customWidth="1"/>
    <col min="40" max="40" width="19" customWidth="1"/>
    <col min="41" max="41" width="20.42578125" customWidth="1"/>
    <col min="42" max="42" width="42" customWidth="1"/>
  </cols>
  <sheetData>
    <row r="1" spans="1:43">
      <c r="A1" s="134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G1" s="135" t="s">
        <v>6</v>
      </c>
      <c r="H1" s="135" t="s">
        <v>4791</v>
      </c>
      <c r="I1" s="135" t="s">
        <v>7</v>
      </c>
      <c r="J1" s="136" t="s">
        <v>8</v>
      </c>
      <c r="K1" s="135" t="s">
        <v>9</v>
      </c>
      <c r="L1" s="135" t="s">
        <v>10</v>
      </c>
      <c r="M1" s="137" t="s">
        <v>11</v>
      </c>
      <c r="N1" s="137" t="s">
        <v>12</v>
      </c>
      <c r="O1" s="137" t="s">
        <v>13</v>
      </c>
      <c r="P1" s="137" t="s">
        <v>14</v>
      </c>
      <c r="Q1" s="138" t="s">
        <v>15</v>
      </c>
      <c r="R1" s="138" t="s">
        <v>16</v>
      </c>
      <c r="S1" s="138" t="s">
        <v>17</v>
      </c>
      <c r="T1" s="138" t="s">
        <v>18</v>
      </c>
      <c r="U1" s="138" t="s">
        <v>19</v>
      </c>
      <c r="V1" s="138" t="s">
        <v>20</v>
      </c>
      <c r="W1" s="138" t="s">
        <v>21</v>
      </c>
      <c r="X1" s="138" t="s">
        <v>22</v>
      </c>
      <c r="Y1" s="138" t="s">
        <v>23</v>
      </c>
      <c r="Z1" s="138" t="s">
        <v>24</v>
      </c>
      <c r="AA1" s="138" t="s">
        <v>25</v>
      </c>
      <c r="AB1" s="138" t="s">
        <v>26</v>
      </c>
      <c r="AC1" s="138" t="s">
        <v>27</v>
      </c>
      <c r="AD1" s="138" t="s">
        <v>28</v>
      </c>
      <c r="AE1" s="138" t="s">
        <v>29</v>
      </c>
      <c r="AF1" s="138" t="s">
        <v>30</v>
      </c>
      <c r="AG1" s="138" t="s">
        <v>31</v>
      </c>
      <c r="AH1" s="138" t="s">
        <v>32</v>
      </c>
      <c r="AI1" s="138" t="s">
        <v>33</v>
      </c>
      <c r="AJ1" s="138" t="s">
        <v>34</v>
      </c>
      <c r="AK1" s="138" t="s">
        <v>35</v>
      </c>
      <c r="AL1" s="138" t="s">
        <v>36</v>
      </c>
      <c r="AM1" s="138" t="s">
        <v>37</v>
      </c>
      <c r="AN1" s="138" t="s">
        <v>38</v>
      </c>
      <c r="AO1" s="138" t="s">
        <v>39</v>
      </c>
      <c r="AP1" s="138" t="s">
        <v>40</v>
      </c>
    </row>
    <row r="2" spans="1:43" ht="18.75">
      <c r="A2" s="139">
        <v>1</v>
      </c>
      <c r="B2" s="66" t="s">
        <v>41</v>
      </c>
      <c r="C2" s="66" t="s">
        <v>42</v>
      </c>
      <c r="D2" s="66"/>
      <c r="E2" s="66" t="s">
        <v>43</v>
      </c>
      <c r="F2" s="66" t="s">
        <v>44</v>
      </c>
      <c r="G2" s="66" t="s">
        <v>45</v>
      </c>
      <c r="H2" s="66" t="s">
        <v>46</v>
      </c>
      <c r="I2" s="71">
        <v>27</v>
      </c>
      <c r="J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148940</v>
      </c>
      <c r="K2" s="71" t="s">
        <v>47</v>
      </c>
      <c r="L2" s="71" t="str">
        <f>IF(Table1[[#This Row],[LAST]]="","Unfilled","Filled")</f>
        <v>Filled</v>
      </c>
      <c r="M2" s="63" t="s">
        <v>48</v>
      </c>
      <c r="N2" s="63" t="s">
        <v>49</v>
      </c>
      <c r="O2" s="63" t="s">
        <v>50</v>
      </c>
      <c r="P2" s="63"/>
      <c r="Q2" s="64">
        <v>24172</v>
      </c>
      <c r="R2" s="64">
        <v>42019</v>
      </c>
      <c r="S2" s="64">
        <v>45061</v>
      </c>
      <c r="T2" s="64">
        <v>45061</v>
      </c>
      <c r="U2" s="64" t="s">
        <v>51</v>
      </c>
      <c r="V2" s="64" t="s">
        <v>52</v>
      </c>
      <c r="W2" s="66">
        <f t="shared" ref="W2:W36" ca="1" si="0">DATEDIF(Q2,TODAY(),"Y")</f>
        <v>60</v>
      </c>
      <c r="X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2" s="64" t="s">
        <v>53</v>
      </c>
      <c r="Z2" s="64" t="s">
        <v>54</v>
      </c>
      <c r="AA2" s="64" t="s">
        <v>55</v>
      </c>
      <c r="AB2" s="64" t="s">
        <v>56</v>
      </c>
      <c r="AC2" s="64" t="s">
        <v>57</v>
      </c>
      <c r="AD2" s="65">
        <v>1103</v>
      </c>
      <c r="AE2" s="64" t="s">
        <v>58</v>
      </c>
      <c r="AF2" s="64" t="s">
        <v>59</v>
      </c>
      <c r="AG2" s="64" t="s">
        <v>60</v>
      </c>
      <c r="AH2" s="64" t="s">
        <v>61</v>
      </c>
      <c r="AI2" s="64">
        <v>46452</v>
      </c>
      <c r="AJ2" s="66">
        <v>2001913799</v>
      </c>
      <c r="AK2" s="64" t="s">
        <v>62</v>
      </c>
      <c r="AL2" s="64" t="s">
        <v>63</v>
      </c>
      <c r="AM2" s="64" t="s">
        <v>64</v>
      </c>
      <c r="AN2" s="64" t="s">
        <v>65</v>
      </c>
      <c r="AO2" s="64" t="s">
        <v>66</v>
      </c>
      <c r="AP2" s="85" t="s">
        <v>67</v>
      </c>
    </row>
    <row r="3" spans="1:43" ht="18.75">
      <c r="A3" s="139">
        <v>2</v>
      </c>
      <c r="B3" s="66" t="s">
        <v>68</v>
      </c>
      <c r="C3" s="66" t="s">
        <v>69</v>
      </c>
      <c r="D3" s="66" t="s">
        <v>70</v>
      </c>
      <c r="E3" s="66" t="s">
        <v>71</v>
      </c>
      <c r="F3" s="66" t="s">
        <v>72</v>
      </c>
      <c r="G3" s="66" t="s">
        <v>45</v>
      </c>
      <c r="H3" s="66" t="s">
        <v>46</v>
      </c>
      <c r="I3" s="71">
        <v>26</v>
      </c>
      <c r="J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131807</v>
      </c>
      <c r="K3" s="71" t="s">
        <v>47</v>
      </c>
      <c r="L3" s="71" t="str">
        <f>IF(Table1[[#This Row],[LAST]]="","Unfilled","Filled")</f>
        <v>Filled</v>
      </c>
      <c r="M3" s="63" t="s">
        <v>73</v>
      </c>
      <c r="N3" s="63" t="s">
        <v>74</v>
      </c>
      <c r="O3" s="63" t="s">
        <v>75</v>
      </c>
      <c r="P3" s="63"/>
      <c r="Q3" s="64">
        <v>30144</v>
      </c>
      <c r="R3" s="64">
        <v>44363</v>
      </c>
      <c r="S3" s="64">
        <v>44363</v>
      </c>
      <c r="T3" s="64">
        <v>45505</v>
      </c>
      <c r="U3" s="64" t="s">
        <v>76</v>
      </c>
      <c r="V3" s="64" t="s">
        <v>77</v>
      </c>
      <c r="W3" s="66">
        <f t="shared" ca="1" si="0"/>
        <v>44</v>
      </c>
      <c r="X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" s="64" t="s">
        <v>78</v>
      </c>
      <c r="Z3" s="64" t="s">
        <v>79</v>
      </c>
      <c r="AA3" s="65" t="s">
        <v>80</v>
      </c>
      <c r="AB3" s="64" t="s">
        <v>81</v>
      </c>
      <c r="AC3" s="64" t="s">
        <v>82</v>
      </c>
      <c r="AD3" s="65">
        <v>1740</v>
      </c>
      <c r="AE3" s="64" t="s">
        <v>58</v>
      </c>
      <c r="AF3" s="64" t="s">
        <v>59</v>
      </c>
      <c r="AG3" s="64" t="s">
        <v>60</v>
      </c>
      <c r="AH3" s="64" t="s">
        <v>83</v>
      </c>
      <c r="AI3" s="64">
        <v>45850</v>
      </c>
      <c r="AJ3" s="66">
        <v>2004118248</v>
      </c>
      <c r="AK3" s="64" t="s">
        <v>84</v>
      </c>
      <c r="AL3" s="64" t="s">
        <v>85</v>
      </c>
      <c r="AM3" s="64" t="s">
        <v>86</v>
      </c>
      <c r="AN3" s="64" t="s">
        <v>87</v>
      </c>
      <c r="AO3" s="64" t="s">
        <v>88</v>
      </c>
      <c r="AP3" s="85" t="s">
        <v>89</v>
      </c>
    </row>
    <row r="4" spans="1:43" ht="18.75">
      <c r="A4" s="139">
        <v>3</v>
      </c>
      <c r="B4" s="66" t="s">
        <v>90</v>
      </c>
      <c r="C4" s="66" t="s">
        <v>91</v>
      </c>
      <c r="D4" s="66" t="s">
        <v>92</v>
      </c>
      <c r="E4" s="66" t="s">
        <v>93</v>
      </c>
      <c r="F4" s="66" t="s">
        <v>94</v>
      </c>
      <c r="G4" s="66" t="s">
        <v>45</v>
      </c>
      <c r="H4" s="66" t="s">
        <v>46</v>
      </c>
      <c r="I4" s="71">
        <v>24</v>
      </c>
      <c r="J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4" s="71" t="s">
        <v>95</v>
      </c>
      <c r="L4" s="71" t="str">
        <f>IF(Table1[[#This Row],[LAST]]="","Unfilled","Filled")</f>
        <v>Filled</v>
      </c>
      <c r="M4" s="63" t="s">
        <v>96</v>
      </c>
      <c r="N4" s="63" t="s">
        <v>97</v>
      </c>
      <c r="O4" s="63" t="s">
        <v>98</v>
      </c>
      <c r="P4" s="63"/>
      <c r="Q4" s="64">
        <v>28721</v>
      </c>
      <c r="R4" s="64">
        <v>44858</v>
      </c>
      <c r="S4" s="64">
        <v>44858</v>
      </c>
      <c r="T4" s="64">
        <v>44858</v>
      </c>
      <c r="U4" s="64" t="s">
        <v>51</v>
      </c>
      <c r="V4" s="64" t="s">
        <v>52</v>
      </c>
      <c r="W4" s="66">
        <f t="shared" ca="1" si="0"/>
        <v>47</v>
      </c>
      <c r="X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" s="64" t="s">
        <v>99</v>
      </c>
      <c r="Z4" s="64" t="s">
        <v>100</v>
      </c>
      <c r="AA4" s="64" t="s">
        <v>101</v>
      </c>
      <c r="AB4" s="64" t="s">
        <v>102</v>
      </c>
      <c r="AC4" s="64" t="s">
        <v>103</v>
      </c>
      <c r="AD4" s="65">
        <v>4103</v>
      </c>
      <c r="AE4" s="64" t="s">
        <v>58</v>
      </c>
      <c r="AF4" s="64" t="s">
        <v>59</v>
      </c>
      <c r="AG4" s="64" t="s">
        <v>60</v>
      </c>
      <c r="AH4" s="64" t="s">
        <v>104</v>
      </c>
      <c r="AI4" s="64">
        <v>46253</v>
      </c>
      <c r="AJ4" s="66">
        <v>2001127858</v>
      </c>
      <c r="AK4" s="64" t="s">
        <v>105</v>
      </c>
      <c r="AL4" s="64" t="s">
        <v>106</v>
      </c>
      <c r="AM4" s="64" t="s">
        <v>107</v>
      </c>
      <c r="AN4" s="64" t="s">
        <v>108</v>
      </c>
      <c r="AO4" s="64" t="s">
        <v>109</v>
      </c>
      <c r="AP4" s="64" t="s">
        <v>110</v>
      </c>
      <c r="AQ4" s="44"/>
    </row>
    <row r="5" spans="1:43" ht="18.75">
      <c r="A5" s="139">
        <v>4</v>
      </c>
      <c r="B5" s="66" t="s">
        <v>111</v>
      </c>
      <c r="C5" s="66" t="s">
        <v>112</v>
      </c>
      <c r="D5" s="66" t="s">
        <v>113</v>
      </c>
      <c r="E5" s="66" t="s">
        <v>93</v>
      </c>
      <c r="F5" s="66" t="s">
        <v>114</v>
      </c>
      <c r="G5" s="66" t="s">
        <v>45</v>
      </c>
      <c r="H5" s="66" t="s">
        <v>46</v>
      </c>
      <c r="I5" s="71">
        <v>24</v>
      </c>
      <c r="J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5" s="71" t="s">
        <v>95</v>
      </c>
      <c r="L5" s="71" t="str">
        <f>IF(Table1[[#This Row],[LAST]]="","Unfilled","Filled")</f>
        <v>Filled</v>
      </c>
      <c r="M5" s="63" t="s">
        <v>115</v>
      </c>
      <c r="N5" s="63" t="s">
        <v>116</v>
      </c>
      <c r="O5" s="63" t="s">
        <v>117</v>
      </c>
      <c r="P5" s="63" t="s">
        <v>118</v>
      </c>
      <c r="Q5" s="64">
        <v>26382</v>
      </c>
      <c r="R5" s="64">
        <v>44907</v>
      </c>
      <c r="S5" s="64">
        <v>44907</v>
      </c>
      <c r="T5" s="64">
        <v>44907</v>
      </c>
      <c r="U5" s="64" t="s">
        <v>51</v>
      </c>
      <c r="V5" s="64" t="s">
        <v>52</v>
      </c>
      <c r="W5" s="66">
        <f t="shared" ca="1" si="0"/>
        <v>54</v>
      </c>
      <c r="X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5" s="64" t="s">
        <v>119</v>
      </c>
      <c r="Z5" s="64" t="s">
        <v>120</v>
      </c>
      <c r="AA5" s="65">
        <v>43</v>
      </c>
      <c r="AB5" s="64" t="s">
        <v>121</v>
      </c>
      <c r="AC5" s="64" t="s">
        <v>103</v>
      </c>
      <c r="AD5" s="65">
        <v>4100</v>
      </c>
      <c r="AE5" s="64" t="s">
        <v>58</v>
      </c>
      <c r="AF5" s="64" t="s">
        <v>59</v>
      </c>
      <c r="AG5" s="64" t="s">
        <v>60</v>
      </c>
      <c r="AH5" s="64" t="s">
        <v>122</v>
      </c>
      <c r="AI5" s="64">
        <v>45740</v>
      </c>
      <c r="AJ5" s="66">
        <v>2001006475</v>
      </c>
      <c r="AK5" s="64" t="s">
        <v>123</v>
      </c>
      <c r="AL5" s="64" t="s">
        <v>124</v>
      </c>
      <c r="AM5" s="64" t="s">
        <v>125</v>
      </c>
      <c r="AN5" s="64" t="s">
        <v>126</v>
      </c>
      <c r="AO5" s="64" t="s">
        <v>127</v>
      </c>
      <c r="AP5" s="64" t="s">
        <v>128</v>
      </c>
    </row>
    <row r="6" spans="1:43" ht="18.75">
      <c r="A6" s="139">
        <v>5</v>
      </c>
      <c r="B6" s="66" t="s">
        <v>129</v>
      </c>
      <c r="C6" s="66" t="s">
        <v>130</v>
      </c>
      <c r="D6" s="66" t="s">
        <v>131</v>
      </c>
      <c r="E6" s="66" t="s">
        <v>93</v>
      </c>
      <c r="F6" s="66" t="s">
        <v>132</v>
      </c>
      <c r="G6" s="66" t="s">
        <v>45</v>
      </c>
      <c r="H6" s="66" t="s">
        <v>46</v>
      </c>
      <c r="I6" s="71">
        <v>24</v>
      </c>
      <c r="J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6" s="71" t="s">
        <v>95</v>
      </c>
      <c r="L6" s="71" t="str">
        <f>IF(Table1[[#This Row],[LAST]]="","Unfilled","Filled")</f>
        <v>Filled</v>
      </c>
      <c r="M6" s="63" t="s">
        <v>133</v>
      </c>
      <c r="N6" s="63" t="s">
        <v>134</v>
      </c>
      <c r="O6" s="63" t="s">
        <v>135</v>
      </c>
      <c r="P6" s="63"/>
      <c r="Q6" s="64">
        <v>32209</v>
      </c>
      <c r="R6" s="64">
        <v>44851</v>
      </c>
      <c r="S6" s="64">
        <v>44851</v>
      </c>
      <c r="T6" s="64">
        <v>44851</v>
      </c>
      <c r="U6" s="64" t="s">
        <v>51</v>
      </c>
      <c r="V6" s="64" t="s">
        <v>52</v>
      </c>
      <c r="W6" s="66">
        <f t="shared" ca="1" si="0"/>
        <v>38</v>
      </c>
      <c r="X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6" s="64" t="s">
        <v>81</v>
      </c>
      <c r="Z6" s="64" t="s">
        <v>136</v>
      </c>
      <c r="AA6" s="65" t="s">
        <v>137</v>
      </c>
      <c r="AB6" s="64" t="s">
        <v>138</v>
      </c>
      <c r="AC6" s="64" t="s">
        <v>103</v>
      </c>
      <c r="AD6" s="65">
        <v>4114</v>
      </c>
      <c r="AE6" s="64" t="s">
        <v>58</v>
      </c>
      <c r="AF6" s="64" t="s">
        <v>59</v>
      </c>
      <c r="AG6" s="64" t="s">
        <v>60</v>
      </c>
      <c r="AH6" s="64" t="s">
        <v>139</v>
      </c>
      <c r="AI6" s="64">
        <v>46206</v>
      </c>
      <c r="AJ6" s="66">
        <v>2004685518</v>
      </c>
      <c r="AK6" s="64" t="s">
        <v>140</v>
      </c>
      <c r="AL6" s="64" t="s">
        <v>141</v>
      </c>
      <c r="AM6" s="64" t="s">
        <v>142</v>
      </c>
      <c r="AN6" s="64" t="s">
        <v>143</v>
      </c>
      <c r="AO6" s="64" t="s">
        <v>66</v>
      </c>
      <c r="AP6" s="64" t="s">
        <v>144</v>
      </c>
    </row>
    <row r="7" spans="1:43" ht="18.75">
      <c r="A7" s="139">
        <v>6</v>
      </c>
      <c r="B7" s="66" t="s">
        <v>145</v>
      </c>
      <c r="C7" s="66" t="s">
        <v>146</v>
      </c>
      <c r="D7" s="66" t="s">
        <v>147</v>
      </c>
      <c r="E7" s="66" t="s">
        <v>93</v>
      </c>
      <c r="F7" s="66" t="s">
        <v>148</v>
      </c>
      <c r="G7" s="66" t="s">
        <v>45</v>
      </c>
      <c r="H7" s="66" t="s">
        <v>46</v>
      </c>
      <c r="I7" s="71">
        <v>24</v>
      </c>
      <c r="J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7" s="71" t="s">
        <v>95</v>
      </c>
      <c r="L7" s="71" t="str">
        <f>IF(Table1[[#This Row],[LAST]]="","Unfilled","Filled")</f>
        <v>Filled</v>
      </c>
      <c r="M7" s="63" t="s">
        <v>149</v>
      </c>
      <c r="N7" s="63" t="s">
        <v>150</v>
      </c>
      <c r="O7" s="63" t="s">
        <v>151</v>
      </c>
      <c r="P7" s="63"/>
      <c r="Q7" s="64">
        <v>32445</v>
      </c>
      <c r="R7" s="64">
        <v>44837</v>
      </c>
      <c r="S7" s="64">
        <v>44837</v>
      </c>
      <c r="T7" s="64">
        <v>44837</v>
      </c>
      <c r="U7" s="64" t="s">
        <v>51</v>
      </c>
      <c r="V7" s="64" t="s">
        <v>77</v>
      </c>
      <c r="W7" s="66">
        <f t="shared" ca="1" si="0"/>
        <v>37</v>
      </c>
      <c r="X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" s="64" t="s">
        <v>56</v>
      </c>
      <c r="Z7" s="64" t="s">
        <v>152</v>
      </c>
      <c r="AA7" s="65">
        <v>719</v>
      </c>
      <c r="AB7" s="64" t="s">
        <v>153</v>
      </c>
      <c r="AC7" s="64" t="s">
        <v>154</v>
      </c>
      <c r="AD7" s="65"/>
      <c r="AE7" s="64" t="s">
        <v>58</v>
      </c>
      <c r="AF7" s="64" t="s">
        <v>59</v>
      </c>
      <c r="AG7" s="64" t="s">
        <v>60</v>
      </c>
      <c r="AH7" s="64" t="s">
        <v>155</v>
      </c>
      <c r="AI7" s="64">
        <v>46689</v>
      </c>
      <c r="AJ7" s="66">
        <v>2006160496</v>
      </c>
      <c r="AK7" s="64" t="s">
        <v>156</v>
      </c>
      <c r="AL7" s="64" t="s">
        <v>157</v>
      </c>
      <c r="AM7" s="64" t="s">
        <v>158</v>
      </c>
      <c r="AN7" s="64" t="s">
        <v>159</v>
      </c>
      <c r="AO7" s="64" t="s">
        <v>160</v>
      </c>
      <c r="AP7" s="64" t="s">
        <v>161</v>
      </c>
    </row>
    <row r="8" spans="1:43" ht="18.75">
      <c r="A8" s="139">
        <v>7</v>
      </c>
      <c r="B8" s="66" t="s">
        <v>162</v>
      </c>
      <c r="C8" s="66" t="s">
        <v>163</v>
      </c>
      <c r="D8" s="86" t="s">
        <v>164</v>
      </c>
      <c r="E8" s="66" t="s">
        <v>93</v>
      </c>
      <c r="F8" s="66" t="s">
        <v>165</v>
      </c>
      <c r="G8" s="66" t="s">
        <v>45</v>
      </c>
      <c r="H8" s="66" t="s">
        <v>46</v>
      </c>
      <c r="I8" s="71">
        <v>24</v>
      </c>
      <c r="J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8" s="71" t="s">
        <v>95</v>
      </c>
      <c r="L8" s="71" t="str">
        <f>IF(Table1[[#This Row],[LAST]]="","Unfilled","Filled")</f>
        <v>Filled</v>
      </c>
      <c r="M8" s="63" t="s">
        <v>166</v>
      </c>
      <c r="N8" s="63" t="s">
        <v>167</v>
      </c>
      <c r="O8" s="63" t="s">
        <v>168</v>
      </c>
      <c r="P8" s="63"/>
      <c r="Q8" s="64">
        <v>32426</v>
      </c>
      <c r="R8" s="64">
        <v>44762</v>
      </c>
      <c r="S8" s="64">
        <v>45323</v>
      </c>
      <c r="T8" s="64">
        <v>45323</v>
      </c>
      <c r="U8" s="64" t="s">
        <v>76</v>
      </c>
      <c r="V8" s="64" t="s">
        <v>77</v>
      </c>
      <c r="W8" s="66">
        <f t="shared" ca="1" si="0"/>
        <v>37</v>
      </c>
      <c r="X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" s="64" t="s">
        <v>169</v>
      </c>
      <c r="Z8" s="64" t="s">
        <v>170</v>
      </c>
      <c r="AA8" s="65" t="s">
        <v>171</v>
      </c>
      <c r="AB8" s="64" t="s">
        <v>172</v>
      </c>
      <c r="AC8" s="64" t="s">
        <v>57</v>
      </c>
      <c r="AD8" s="65" t="s">
        <v>173</v>
      </c>
      <c r="AE8" s="64" t="s">
        <v>58</v>
      </c>
      <c r="AF8" s="64" t="s">
        <v>59</v>
      </c>
      <c r="AG8" s="64" t="s">
        <v>60</v>
      </c>
      <c r="AH8" s="156" t="s">
        <v>174</v>
      </c>
      <c r="AI8" s="64">
        <v>45940</v>
      </c>
      <c r="AJ8" s="66">
        <v>2005378321</v>
      </c>
      <c r="AK8" s="64" t="s">
        <v>175</v>
      </c>
      <c r="AL8" s="64" t="s">
        <v>176</v>
      </c>
      <c r="AM8" s="64" t="s">
        <v>177</v>
      </c>
      <c r="AN8" s="64" t="s">
        <v>178</v>
      </c>
      <c r="AO8" s="64" t="s">
        <v>179</v>
      </c>
      <c r="AP8" s="85" t="s">
        <v>180</v>
      </c>
    </row>
    <row r="9" spans="1:43" ht="18.75">
      <c r="A9" s="139">
        <v>8</v>
      </c>
      <c r="B9" s="66" t="s">
        <v>181</v>
      </c>
      <c r="C9" s="66" t="s">
        <v>182</v>
      </c>
      <c r="D9" s="66" t="s">
        <v>183</v>
      </c>
      <c r="E9" s="66" t="s">
        <v>93</v>
      </c>
      <c r="F9" s="66" t="s">
        <v>184</v>
      </c>
      <c r="G9" s="66" t="s">
        <v>45</v>
      </c>
      <c r="H9" s="66" t="s">
        <v>46</v>
      </c>
      <c r="I9" s="71">
        <v>24</v>
      </c>
      <c r="J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9" s="71" t="s">
        <v>95</v>
      </c>
      <c r="L9" s="71" t="str">
        <f>IF(Table1[[#This Row],[LAST]]="","Unfilled","Filled")</f>
        <v>Filled</v>
      </c>
      <c r="M9" s="63" t="s">
        <v>185</v>
      </c>
      <c r="N9" s="63" t="s">
        <v>186</v>
      </c>
      <c r="O9" s="63" t="s">
        <v>187</v>
      </c>
      <c r="P9" s="63"/>
      <c r="Q9" s="64">
        <v>32280</v>
      </c>
      <c r="R9" s="64">
        <v>44966</v>
      </c>
      <c r="S9" s="64">
        <v>45302</v>
      </c>
      <c r="T9" s="64">
        <v>45302</v>
      </c>
      <c r="U9" s="64" t="s">
        <v>76</v>
      </c>
      <c r="V9" s="64" t="s">
        <v>52</v>
      </c>
      <c r="W9" s="66">
        <f t="shared" ca="1" si="0"/>
        <v>38</v>
      </c>
      <c r="X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" s="64" t="s">
        <v>81</v>
      </c>
      <c r="Z9" s="64" t="s">
        <v>188</v>
      </c>
      <c r="AA9" s="65" t="s">
        <v>189</v>
      </c>
      <c r="AB9" s="64" t="s">
        <v>190</v>
      </c>
      <c r="AC9" s="64" t="s">
        <v>103</v>
      </c>
      <c r="AD9" s="65">
        <v>4102</v>
      </c>
      <c r="AE9" s="64" t="s">
        <v>58</v>
      </c>
      <c r="AF9" s="64" t="s">
        <v>59</v>
      </c>
      <c r="AG9" s="64" t="s">
        <v>60</v>
      </c>
      <c r="AH9" s="64" t="s">
        <v>191</v>
      </c>
      <c r="AI9" s="64">
        <v>46159</v>
      </c>
      <c r="AJ9" s="65" t="s">
        <v>192</v>
      </c>
      <c r="AK9" s="64" t="s">
        <v>193</v>
      </c>
      <c r="AL9" s="64" t="s">
        <v>194</v>
      </c>
      <c r="AM9" s="64" t="s">
        <v>195</v>
      </c>
      <c r="AN9" s="64" t="s">
        <v>196</v>
      </c>
      <c r="AO9" s="64" t="s">
        <v>66</v>
      </c>
      <c r="AP9" s="64" t="s">
        <v>197</v>
      </c>
    </row>
    <row r="10" spans="1:43" ht="18.75">
      <c r="A10" s="139">
        <v>9</v>
      </c>
      <c r="B10" s="66" t="s">
        <v>198</v>
      </c>
      <c r="C10" s="66" t="s">
        <v>199</v>
      </c>
      <c r="D10" s="66" t="s">
        <v>200</v>
      </c>
      <c r="E10" s="66" t="s">
        <v>93</v>
      </c>
      <c r="F10" s="66" t="s">
        <v>148</v>
      </c>
      <c r="G10" s="66" t="s">
        <v>45</v>
      </c>
      <c r="H10" s="66" t="s">
        <v>46</v>
      </c>
      <c r="I10" s="71">
        <v>24</v>
      </c>
      <c r="J1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0" s="71" t="s">
        <v>95</v>
      </c>
      <c r="L10" s="71" t="str">
        <f>IF(Table1[[#This Row],[LAST]]="","Unfilled","Filled")</f>
        <v>Filled</v>
      </c>
      <c r="M10" s="63" t="s">
        <v>201</v>
      </c>
      <c r="N10" s="63" t="s">
        <v>202</v>
      </c>
      <c r="O10" s="63" t="s">
        <v>203</v>
      </c>
      <c r="P10" s="63"/>
      <c r="Q10" s="64">
        <v>30063</v>
      </c>
      <c r="R10" s="64">
        <v>45027</v>
      </c>
      <c r="S10" s="64">
        <v>45027</v>
      </c>
      <c r="T10" s="64">
        <v>45027</v>
      </c>
      <c r="U10" s="64" t="s">
        <v>76</v>
      </c>
      <c r="V10" s="64" t="s">
        <v>77</v>
      </c>
      <c r="W10" s="66">
        <f t="shared" ca="1" si="0"/>
        <v>44</v>
      </c>
      <c r="X1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0" s="64" t="s">
        <v>57</v>
      </c>
      <c r="Z10" s="64" t="s">
        <v>204</v>
      </c>
      <c r="AA10" s="65" t="s">
        <v>137</v>
      </c>
      <c r="AB10" s="64" t="s">
        <v>138</v>
      </c>
      <c r="AC10" s="64" t="s">
        <v>103</v>
      </c>
      <c r="AD10" s="65">
        <v>4114</v>
      </c>
      <c r="AE10" s="64" t="s">
        <v>58</v>
      </c>
      <c r="AF10" s="64" t="s">
        <v>59</v>
      </c>
      <c r="AG10" s="64" t="s">
        <v>60</v>
      </c>
      <c r="AH10" s="64" t="s">
        <v>205</v>
      </c>
      <c r="AI10" s="64">
        <v>45769</v>
      </c>
      <c r="AJ10" s="66">
        <v>2004285297</v>
      </c>
      <c r="AK10" s="64" t="s">
        <v>206</v>
      </c>
      <c r="AL10" s="64" t="s">
        <v>207</v>
      </c>
      <c r="AM10" s="64" t="s">
        <v>208</v>
      </c>
      <c r="AN10" s="64" t="s">
        <v>209</v>
      </c>
      <c r="AO10" s="64" t="s">
        <v>66</v>
      </c>
      <c r="AP10" s="64" t="s">
        <v>210</v>
      </c>
    </row>
    <row r="11" spans="1:43" ht="18.75">
      <c r="A11" s="139">
        <v>10</v>
      </c>
      <c r="B11" s="66" t="s">
        <v>211</v>
      </c>
      <c r="C11" s="66" t="s">
        <v>212</v>
      </c>
      <c r="D11" s="66" t="s">
        <v>213</v>
      </c>
      <c r="E11" s="66" t="s">
        <v>93</v>
      </c>
      <c r="F11" s="66" t="s">
        <v>94</v>
      </c>
      <c r="G11" s="66" t="s">
        <v>45</v>
      </c>
      <c r="H11" s="66" t="s">
        <v>46</v>
      </c>
      <c r="I11" s="71">
        <v>24</v>
      </c>
      <c r="J1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1" s="71" t="s">
        <v>95</v>
      </c>
      <c r="L11" s="71" t="str">
        <f>IF(Table1[[#This Row],[LAST]]="","Unfilled","Filled")</f>
        <v>Filled</v>
      </c>
      <c r="M11" s="63" t="s">
        <v>214</v>
      </c>
      <c r="N11" s="63" t="s">
        <v>215</v>
      </c>
      <c r="O11" s="63" t="s">
        <v>216</v>
      </c>
      <c r="P11" s="63"/>
      <c r="Q11" s="64">
        <v>32406</v>
      </c>
      <c r="R11" s="64">
        <v>46064</v>
      </c>
      <c r="S11" s="64">
        <v>46064</v>
      </c>
      <c r="T11" s="64">
        <v>46064</v>
      </c>
      <c r="U11" s="64" t="s">
        <v>76</v>
      </c>
      <c r="V11" s="64" t="s">
        <v>52</v>
      </c>
      <c r="W11" s="66">
        <f t="shared" ca="1" si="0"/>
        <v>37</v>
      </c>
      <c r="X1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" s="64" t="s">
        <v>154</v>
      </c>
      <c r="Z11" s="64" t="s">
        <v>217</v>
      </c>
      <c r="AA11" s="65" t="s">
        <v>218</v>
      </c>
      <c r="AB11" s="64" t="s">
        <v>219</v>
      </c>
      <c r="AC11" s="64" t="s">
        <v>57</v>
      </c>
      <c r="AD11" s="65" t="s">
        <v>220</v>
      </c>
      <c r="AE11" s="64" t="s">
        <v>58</v>
      </c>
      <c r="AF11" s="64" t="s">
        <v>59</v>
      </c>
      <c r="AG11" s="64" t="s">
        <v>60</v>
      </c>
      <c r="AH11" s="156" t="s">
        <v>221</v>
      </c>
      <c r="AI11" s="64">
        <v>46285</v>
      </c>
      <c r="AJ11" s="66">
        <v>2004854373</v>
      </c>
      <c r="AK11" s="64" t="s">
        <v>222</v>
      </c>
      <c r="AL11" s="64" t="s">
        <v>223</v>
      </c>
      <c r="AM11" s="64" t="s">
        <v>224</v>
      </c>
      <c r="AN11" s="64" t="s">
        <v>225</v>
      </c>
      <c r="AO11" s="64" t="s">
        <v>226</v>
      </c>
      <c r="AP11" s="85" t="s">
        <v>227</v>
      </c>
    </row>
    <row r="12" spans="1:43" ht="18.75">
      <c r="A12" s="139">
        <v>11</v>
      </c>
      <c r="B12" s="66" t="s">
        <v>228</v>
      </c>
      <c r="C12" s="66" t="s">
        <v>229</v>
      </c>
      <c r="D12" s="66" t="s">
        <v>230</v>
      </c>
      <c r="E12" s="66" t="s">
        <v>93</v>
      </c>
      <c r="F12" s="66" t="s">
        <v>94</v>
      </c>
      <c r="G12" s="66" t="s">
        <v>45</v>
      </c>
      <c r="H12" s="66" t="s">
        <v>46</v>
      </c>
      <c r="I12" s="71">
        <v>24</v>
      </c>
      <c r="J1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2" s="71" t="s">
        <v>95</v>
      </c>
      <c r="L12" s="71" t="str">
        <f>IF(Table1[[#This Row],[LAST]]="","Unfilled","Filled")</f>
        <v>Filled</v>
      </c>
      <c r="M12" s="63" t="s">
        <v>231</v>
      </c>
      <c r="N12" s="63" t="s">
        <v>232</v>
      </c>
      <c r="O12" s="63" t="s">
        <v>233</v>
      </c>
      <c r="P12" s="63"/>
      <c r="Q12" s="64">
        <v>33397</v>
      </c>
      <c r="R12" s="64">
        <v>45126</v>
      </c>
      <c r="S12" s="64">
        <v>45126</v>
      </c>
      <c r="T12" s="64">
        <v>45126</v>
      </c>
      <c r="U12" s="64" t="s">
        <v>76</v>
      </c>
      <c r="V12" s="64" t="s">
        <v>52</v>
      </c>
      <c r="W12" s="66">
        <f t="shared" ca="1" si="0"/>
        <v>35</v>
      </c>
      <c r="X1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" s="64" t="s">
        <v>234</v>
      </c>
      <c r="Z12" s="64" t="s">
        <v>235</v>
      </c>
      <c r="AA12" s="65" t="s">
        <v>236</v>
      </c>
      <c r="AB12" s="64" t="s">
        <v>237</v>
      </c>
      <c r="AC12" s="64" t="s">
        <v>103</v>
      </c>
      <c r="AD12" s="65">
        <v>4107</v>
      </c>
      <c r="AE12" s="64" t="s">
        <v>58</v>
      </c>
      <c r="AF12" s="64" t="s">
        <v>59</v>
      </c>
      <c r="AG12" s="64" t="s">
        <v>60</v>
      </c>
      <c r="AH12" s="64" t="s">
        <v>238</v>
      </c>
      <c r="AI12" s="64">
        <v>45816</v>
      </c>
      <c r="AJ12" s="66">
        <v>2006346341</v>
      </c>
      <c r="AK12" s="64" t="s">
        <v>239</v>
      </c>
      <c r="AL12" s="64" t="s">
        <v>240</v>
      </c>
      <c r="AM12" s="64" t="s">
        <v>241</v>
      </c>
      <c r="AN12" s="64" t="s">
        <v>242</v>
      </c>
      <c r="AO12" s="64" t="s">
        <v>243</v>
      </c>
      <c r="AP12" s="64" t="s">
        <v>244</v>
      </c>
    </row>
    <row r="13" spans="1:43" ht="18.75">
      <c r="A13" s="139">
        <v>12</v>
      </c>
      <c r="B13" s="66" t="s">
        <v>245</v>
      </c>
      <c r="C13" s="66" t="s">
        <v>246</v>
      </c>
      <c r="D13" s="86" t="s">
        <v>247</v>
      </c>
      <c r="E13" s="66" t="s">
        <v>93</v>
      </c>
      <c r="F13" s="66" t="s">
        <v>248</v>
      </c>
      <c r="G13" s="66" t="s">
        <v>45</v>
      </c>
      <c r="H13" s="66" t="s">
        <v>46</v>
      </c>
      <c r="I13" s="71">
        <v>24</v>
      </c>
      <c r="J1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3" s="71" t="s">
        <v>95</v>
      </c>
      <c r="L13" s="71" t="str">
        <f>IF(Table1[[#This Row],[LAST]]="","Unfilled","Filled")</f>
        <v>Filled</v>
      </c>
      <c r="M13" s="63" t="s">
        <v>249</v>
      </c>
      <c r="N13" s="63" t="s">
        <v>250</v>
      </c>
      <c r="O13" s="63" t="s">
        <v>251</v>
      </c>
      <c r="P13" s="63"/>
      <c r="Q13" s="64">
        <v>26327</v>
      </c>
      <c r="R13" s="64">
        <v>45463</v>
      </c>
      <c r="S13" s="64">
        <v>45463</v>
      </c>
      <c r="T13" s="64">
        <v>45463</v>
      </c>
      <c r="U13" s="64" t="s">
        <v>76</v>
      </c>
      <c r="V13" s="64" t="s">
        <v>52</v>
      </c>
      <c r="W13" s="66">
        <f t="shared" ca="1" si="0"/>
        <v>54</v>
      </c>
      <c r="X1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3" s="64" t="s">
        <v>252</v>
      </c>
      <c r="Z13" s="64" t="s">
        <v>253</v>
      </c>
      <c r="AA13" s="65" t="s">
        <v>254</v>
      </c>
      <c r="AB13" s="64" t="s">
        <v>81</v>
      </c>
      <c r="AC13" s="64" t="s">
        <v>57</v>
      </c>
      <c r="AD13" s="65" t="s">
        <v>255</v>
      </c>
      <c r="AE13" s="64" t="s">
        <v>58</v>
      </c>
      <c r="AF13" s="64" t="s">
        <v>59</v>
      </c>
      <c r="AG13" s="64" t="s">
        <v>60</v>
      </c>
      <c r="AH13" s="156" t="s">
        <v>256</v>
      </c>
      <c r="AI13" s="64">
        <v>46416</v>
      </c>
      <c r="AJ13" s="66">
        <v>2001754190</v>
      </c>
      <c r="AK13" s="64" t="s">
        <v>257</v>
      </c>
      <c r="AL13" s="64" t="s">
        <v>258</v>
      </c>
      <c r="AM13" s="64" t="s">
        <v>259</v>
      </c>
      <c r="AN13" s="64" t="s">
        <v>260</v>
      </c>
      <c r="AO13" s="64" t="s">
        <v>66</v>
      </c>
      <c r="AP13" s="85" t="s">
        <v>261</v>
      </c>
    </row>
    <row r="14" spans="1:43" ht="18.75">
      <c r="A14" s="139">
        <v>13</v>
      </c>
      <c r="B14" s="66" t="s">
        <v>262</v>
      </c>
      <c r="C14" s="66" t="s">
        <v>263</v>
      </c>
      <c r="D14" s="66" t="s">
        <v>264</v>
      </c>
      <c r="E14" s="66" t="s">
        <v>93</v>
      </c>
      <c r="F14" s="66" t="s">
        <v>94</v>
      </c>
      <c r="G14" s="66" t="s">
        <v>45</v>
      </c>
      <c r="H14" s="66" t="s">
        <v>46</v>
      </c>
      <c r="I14" s="71">
        <v>24</v>
      </c>
      <c r="J1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4" s="71" t="s">
        <v>95</v>
      </c>
      <c r="L14" s="71" t="str">
        <f>IF(Table1[[#This Row],[LAST]]="","Unfilled","Filled")</f>
        <v>Filled</v>
      </c>
      <c r="M14" s="63" t="s">
        <v>265</v>
      </c>
      <c r="N14" s="63" t="s">
        <v>266</v>
      </c>
      <c r="O14" s="63" t="s">
        <v>267</v>
      </c>
      <c r="P14" s="63"/>
      <c r="Q14" s="64">
        <v>27394</v>
      </c>
      <c r="R14" s="64">
        <v>45019</v>
      </c>
      <c r="S14" s="64">
        <v>45019</v>
      </c>
      <c r="T14" s="64">
        <v>45019</v>
      </c>
      <c r="U14" s="64" t="s">
        <v>76</v>
      </c>
      <c r="V14" s="64" t="s">
        <v>52</v>
      </c>
      <c r="W14" s="66">
        <f t="shared" ca="1" si="0"/>
        <v>51</v>
      </c>
      <c r="X1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4" s="64" t="s">
        <v>268</v>
      </c>
      <c r="Z14" s="64" t="s">
        <v>269</v>
      </c>
      <c r="AA14" s="65" t="s">
        <v>270</v>
      </c>
      <c r="AB14" s="64" t="s">
        <v>81</v>
      </c>
      <c r="AC14" s="64" t="s">
        <v>57</v>
      </c>
      <c r="AD14" s="65">
        <v>1740</v>
      </c>
      <c r="AE14" s="64" t="s">
        <v>58</v>
      </c>
      <c r="AF14" s="64" t="s">
        <v>59</v>
      </c>
      <c r="AG14" s="64" t="s">
        <v>60</v>
      </c>
      <c r="AH14" s="64" t="s">
        <v>271</v>
      </c>
      <c r="AI14" s="64">
        <v>46022</v>
      </c>
      <c r="AJ14" s="66">
        <v>2006306691</v>
      </c>
      <c r="AK14" s="64" t="s">
        <v>272</v>
      </c>
      <c r="AL14" s="64" t="s">
        <v>273</v>
      </c>
      <c r="AM14" s="64" t="s">
        <v>274</v>
      </c>
      <c r="AN14" s="64" t="s">
        <v>275</v>
      </c>
      <c r="AO14" s="64" t="s">
        <v>276</v>
      </c>
      <c r="AP14" s="64" t="s">
        <v>277</v>
      </c>
    </row>
    <row r="15" spans="1:43" ht="18.75">
      <c r="A15" s="139">
        <v>14</v>
      </c>
      <c r="B15" s="66" t="s">
        <v>278</v>
      </c>
      <c r="C15" s="66" t="s">
        <v>279</v>
      </c>
      <c r="D15" s="66" t="s">
        <v>280</v>
      </c>
      <c r="E15" s="66" t="s">
        <v>93</v>
      </c>
      <c r="F15" s="66" t="s">
        <v>94</v>
      </c>
      <c r="G15" s="66" t="s">
        <v>45</v>
      </c>
      <c r="H15" s="66" t="s">
        <v>46</v>
      </c>
      <c r="I15" s="71">
        <v>24</v>
      </c>
      <c r="J1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5" s="71" t="s">
        <v>95</v>
      </c>
      <c r="L15" s="71" t="str">
        <f>IF(Table1[[#This Row],[LAST]]="","Unfilled","Filled")</f>
        <v>Filled</v>
      </c>
      <c r="M15" s="63" t="s">
        <v>281</v>
      </c>
      <c r="N15" s="63" t="s">
        <v>282</v>
      </c>
      <c r="O15" s="63" t="s">
        <v>283</v>
      </c>
      <c r="P15" s="63"/>
      <c r="Q15" s="64">
        <v>32550</v>
      </c>
      <c r="R15" s="64">
        <v>44691</v>
      </c>
      <c r="S15" s="64">
        <v>44691</v>
      </c>
      <c r="T15" s="64">
        <v>44691</v>
      </c>
      <c r="U15" s="64" t="s">
        <v>51</v>
      </c>
      <c r="V15" s="64" t="s">
        <v>52</v>
      </c>
      <c r="W15" s="66">
        <f t="shared" ca="1" si="0"/>
        <v>37</v>
      </c>
      <c r="X1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" s="64" t="s">
        <v>284</v>
      </c>
      <c r="Z15" s="64" t="s">
        <v>285</v>
      </c>
      <c r="AA15" s="65" t="s">
        <v>286</v>
      </c>
      <c r="AB15" s="64" t="s">
        <v>190</v>
      </c>
      <c r="AC15" s="64" t="s">
        <v>103</v>
      </c>
      <c r="AD15" s="65">
        <v>4102</v>
      </c>
      <c r="AE15" s="64" t="s">
        <v>58</v>
      </c>
      <c r="AF15" s="64" t="s">
        <v>59</v>
      </c>
      <c r="AG15" s="64" t="s">
        <v>60</v>
      </c>
      <c r="AH15" s="64" t="s">
        <v>287</v>
      </c>
      <c r="AI15" s="64">
        <v>46064</v>
      </c>
      <c r="AJ15" s="66">
        <v>2006083593</v>
      </c>
      <c r="AK15" s="64" t="s">
        <v>288</v>
      </c>
      <c r="AL15" s="64" t="s">
        <v>289</v>
      </c>
      <c r="AM15" s="64" t="s">
        <v>290</v>
      </c>
      <c r="AN15" s="64" t="s">
        <v>291</v>
      </c>
      <c r="AO15" s="64" t="s">
        <v>292</v>
      </c>
      <c r="AP15" s="64" t="s">
        <v>293</v>
      </c>
    </row>
    <row r="16" spans="1:43" ht="18.75">
      <c r="A16" s="139">
        <v>15</v>
      </c>
      <c r="B16" s="66" t="s">
        <v>294</v>
      </c>
      <c r="C16" s="66" t="s">
        <v>295</v>
      </c>
      <c r="D16" s="66" t="s">
        <v>296</v>
      </c>
      <c r="E16" s="66" t="s">
        <v>93</v>
      </c>
      <c r="F16" s="66" t="s">
        <v>94</v>
      </c>
      <c r="G16" s="66" t="s">
        <v>45</v>
      </c>
      <c r="H16" s="66" t="s">
        <v>46</v>
      </c>
      <c r="I16" s="71">
        <v>24</v>
      </c>
      <c r="J1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6" s="71" t="s">
        <v>95</v>
      </c>
      <c r="L16" s="71" t="str">
        <f>IF(Table1[[#This Row],[LAST]]="","Unfilled","Filled")</f>
        <v>Filled</v>
      </c>
      <c r="M16" s="63" t="s">
        <v>297</v>
      </c>
      <c r="N16" s="63" t="s">
        <v>298</v>
      </c>
      <c r="O16" s="63" t="s">
        <v>299</v>
      </c>
      <c r="P16" s="63"/>
      <c r="Q16" s="64">
        <v>32376</v>
      </c>
      <c r="R16" s="64">
        <v>44748</v>
      </c>
      <c r="S16" s="64">
        <v>44748</v>
      </c>
      <c r="T16" s="64">
        <v>44748</v>
      </c>
      <c r="U16" s="64" t="s">
        <v>76</v>
      </c>
      <c r="V16" s="64" t="s">
        <v>77</v>
      </c>
      <c r="W16" s="66">
        <f t="shared" ca="1" si="0"/>
        <v>37</v>
      </c>
      <c r="X1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" s="64" t="s">
        <v>300</v>
      </c>
      <c r="Z16" s="64" t="s">
        <v>301</v>
      </c>
      <c r="AA16" s="65" t="s">
        <v>302</v>
      </c>
      <c r="AB16" s="64" t="s">
        <v>237</v>
      </c>
      <c r="AC16" s="64" t="s">
        <v>103</v>
      </c>
      <c r="AD16" s="65">
        <v>4107</v>
      </c>
      <c r="AE16" s="64" t="s">
        <v>58</v>
      </c>
      <c r="AF16" s="64" t="s">
        <v>59</v>
      </c>
      <c r="AG16" s="64" t="s">
        <v>60</v>
      </c>
      <c r="AH16" s="64" t="s">
        <v>303</v>
      </c>
      <c r="AI16" s="64">
        <v>46255</v>
      </c>
      <c r="AJ16" s="66">
        <v>2004875794</v>
      </c>
      <c r="AK16" s="64" t="s">
        <v>304</v>
      </c>
      <c r="AL16" s="64" t="s">
        <v>305</v>
      </c>
      <c r="AM16" s="64" t="s">
        <v>306</v>
      </c>
      <c r="AN16" s="64" t="s">
        <v>307</v>
      </c>
      <c r="AO16" s="64" t="s">
        <v>66</v>
      </c>
      <c r="AP16" s="64" t="s">
        <v>308</v>
      </c>
    </row>
    <row r="17" spans="1:42" ht="18.75">
      <c r="A17" s="139">
        <v>16</v>
      </c>
      <c r="B17" s="66" t="s">
        <v>309</v>
      </c>
      <c r="C17" s="66" t="s">
        <v>310</v>
      </c>
      <c r="D17" s="66" t="s">
        <v>311</v>
      </c>
      <c r="E17" s="66" t="s">
        <v>93</v>
      </c>
      <c r="F17" s="66" t="s">
        <v>148</v>
      </c>
      <c r="G17" s="66" t="s">
        <v>45</v>
      </c>
      <c r="H17" s="66" t="s">
        <v>46</v>
      </c>
      <c r="I17" s="71">
        <v>24</v>
      </c>
      <c r="J1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7" s="71" t="s">
        <v>95</v>
      </c>
      <c r="L17" s="71" t="str">
        <f>IF(Table1[[#This Row],[LAST]]="","Unfilled","Filled")</f>
        <v>Filled</v>
      </c>
      <c r="M17" s="63" t="s">
        <v>312</v>
      </c>
      <c r="N17" s="63" t="s">
        <v>313</v>
      </c>
      <c r="O17" s="63" t="s">
        <v>314</v>
      </c>
      <c r="P17" s="63"/>
      <c r="Q17" s="64">
        <v>32082</v>
      </c>
      <c r="R17" s="64">
        <v>44691</v>
      </c>
      <c r="S17" s="64">
        <v>44691</v>
      </c>
      <c r="T17" s="64">
        <v>44691</v>
      </c>
      <c r="U17" s="64" t="s">
        <v>51</v>
      </c>
      <c r="V17" s="64" t="s">
        <v>77</v>
      </c>
      <c r="W17" s="66">
        <f t="shared" ca="1" si="0"/>
        <v>38</v>
      </c>
      <c r="X1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" s="64" t="s">
        <v>154</v>
      </c>
      <c r="Z17" s="64" t="s">
        <v>315</v>
      </c>
      <c r="AA17" s="65" t="s">
        <v>270</v>
      </c>
      <c r="AB17" s="64" t="s">
        <v>81</v>
      </c>
      <c r="AC17" s="64" t="s">
        <v>82</v>
      </c>
      <c r="AD17" s="65">
        <v>1747</v>
      </c>
      <c r="AE17" s="64" t="s">
        <v>58</v>
      </c>
      <c r="AF17" s="64" t="s">
        <v>59</v>
      </c>
      <c r="AG17" s="64" t="s">
        <v>60</v>
      </c>
      <c r="AH17" s="64" t="s">
        <v>316</v>
      </c>
      <c r="AI17" s="64">
        <v>46033</v>
      </c>
      <c r="AJ17" s="66">
        <v>2005217481</v>
      </c>
      <c r="AK17" s="64" t="s">
        <v>317</v>
      </c>
      <c r="AL17" s="64" t="s">
        <v>318</v>
      </c>
      <c r="AM17" s="64" t="s">
        <v>319</v>
      </c>
      <c r="AN17" s="64" t="s">
        <v>320</v>
      </c>
      <c r="AO17" s="64" t="s">
        <v>66</v>
      </c>
      <c r="AP17" s="64" t="s">
        <v>321</v>
      </c>
    </row>
    <row r="18" spans="1:42" ht="18.75">
      <c r="A18" s="139">
        <v>17</v>
      </c>
      <c r="B18" s="66" t="s">
        <v>322</v>
      </c>
      <c r="C18" s="66" t="s">
        <v>323</v>
      </c>
      <c r="D18" s="66" t="s">
        <v>70</v>
      </c>
      <c r="E18" s="66" t="s">
        <v>93</v>
      </c>
      <c r="F18" s="66" t="s">
        <v>248</v>
      </c>
      <c r="G18" s="66" t="s">
        <v>45</v>
      </c>
      <c r="H18" s="66" t="s">
        <v>46</v>
      </c>
      <c r="I18" s="71">
        <v>24</v>
      </c>
      <c r="J1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102603</v>
      </c>
      <c r="K18" s="71" t="s">
        <v>95</v>
      </c>
      <c r="L18" s="71" t="str">
        <f>IF(Table1[[#This Row],[LAST]]="","Unfilled","Filled")</f>
        <v>Filled</v>
      </c>
      <c r="M18" s="63" t="s">
        <v>324</v>
      </c>
      <c r="N18" s="63" t="s">
        <v>325</v>
      </c>
      <c r="O18" s="63" t="s">
        <v>326</v>
      </c>
      <c r="P18" s="63"/>
      <c r="Q18" s="64">
        <v>24976</v>
      </c>
      <c r="R18" s="64">
        <v>42353</v>
      </c>
      <c r="S18" s="64">
        <v>44743</v>
      </c>
      <c r="T18" s="64">
        <v>45566</v>
      </c>
      <c r="U18" s="64" t="s">
        <v>51</v>
      </c>
      <c r="V18" s="64" t="s">
        <v>77</v>
      </c>
      <c r="W18" s="66">
        <f t="shared" ca="1" si="0"/>
        <v>58</v>
      </c>
      <c r="X1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8" s="64" t="s">
        <v>327</v>
      </c>
      <c r="Z18" s="64" t="s">
        <v>328</v>
      </c>
      <c r="AA18" s="65" t="s">
        <v>329</v>
      </c>
      <c r="AB18" s="64" t="s">
        <v>330</v>
      </c>
      <c r="AC18" s="64" t="s">
        <v>331</v>
      </c>
      <c r="AD18" s="65">
        <v>4023</v>
      </c>
      <c r="AE18" s="64" t="s">
        <v>58</v>
      </c>
      <c r="AF18" s="64" t="s">
        <v>59</v>
      </c>
      <c r="AG18" s="64" t="s">
        <v>60</v>
      </c>
      <c r="AH18" s="64" t="s">
        <v>332</v>
      </c>
      <c r="AI18" s="64">
        <v>45795</v>
      </c>
      <c r="AJ18" s="65">
        <v>2004815670</v>
      </c>
      <c r="AK18" s="64" t="s">
        <v>333</v>
      </c>
      <c r="AL18" s="64" t="s">
        <v>334</v>
      </c>
      <c r="AM18" s="64" t="s">
        <v>335</v>
      </c>
      <c r="AN18" s="64" t="s">
        <v>336</v>
      </c>
      <c r="AO18" s="64" t="s">
        <v>66</v>
      </c>
      <c r="AP18" s="85" t="s">
        <v>337</v>
      </c>
    </row>
    <row r="19" spans="1:42" ht="18.75">
      <c r="A19" s="139">
        <v>18</v>
      </c>
      <c r="B19" s="66" t="s">
        <v>338</v>
      </c>
      <c r="C19" s="66" t="s">
        <v>339</v>
      </c>
      <c r="D19" s="66"/>
      <c r="E19" s="66" t="s">
        <v>339</v>
      </c>
      <c r="F19" s="66" t="s">
        <v>340</v>
      </c>
      <c r="G19" s="66" t="s">
        <v>341</v>
      </c>
      <c r="H19" s="66" t="s">
        <v>46</v>
      </c>
      <c r="I19" s="71">
        <v>23</v>
      </c>
      <c r="J1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19" s="71" t="s">
        <v>95</v>
      </c>
      <c r="L19" s="71" t="str">
        <f>IF(Table1[[#This Row],[LAST]]="","Unfilled","Filled")</f>
        <v>Filled</v>
      </c>
      <c r="M19" s="66" t="s">
        <v>342</v>
      </c>
      <c r="N19" s="66" t="s">
        <v>343</v>
      </c>
      <c r="O19" s="66" t="s">
        <v>344</v>
      </c>
      <c r="P19" s="63"/>
      <c r="Q19" s="64">
        <v>23998</v>
      </c>
      <c r="R19" s="64">
        <v>37280</v>
      </c>
      <c r="S19" s="64">
        <v>44363</v>
      </c>
      <c r="T19" s="64">
        <v>45687</v>
      </c>
      <c r="U19" s="64" t="s">
        <v>51</v>
      </c>
      <c r="V19" s="64" t="s">
        <v>77</v>
      </c>
      <c r="W19" s="66">
        <f t="shared" ca="1" si="0"/>
        <v>60</v>
      </c>
      <c r="X1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19" s="64" t="s">
        <v>345</v>
      </c>
      <c r="Z19" s="64" t="s">
        <v>346</v>
      </c>
      <c r="AA19" s="65" t="s">
        <v>347</v>
      </c>
      <c r="AB19" s="64" t="s">
        <v>348</v>
      </c>
      <c r="AC19" s="64" t="s">
        <v>103</v>
      </c>
      <c r="AD19" s="65">
        <v>1742</v>
      </c>
      <c r="AE19" s="64" t="s">
        <v>349</v>
      </c>
      <c r="AF19" s="64" t="s">
        <v>350</v>
      </c>
      <c r="AG19" s="64" t="s">
        <v>60</v>
      </c>
      <c r="AH19" s="64" t="s">
        <v>351</v>
      </c>
      <c r="AI19" s="64">
        <v>45913</v>
      </c>
      <c r="AJ19" s="65" t="s">
        <v>352</v>
      </c>
      <c r="AK19" s="64" t="s">
        <v>353</v>
      </c>
      <c r="AL19" s="64" t="s">
        <v>354</v>
      </c>
      <c r="AM19" s="64" t="s">
        <v>355</v>
      </c>
      <c r="AN19" s="64" t="s">
        <v>356</v>
      </c>
      <c r="AO19" s="64" t="s">
        <v>66</v>
      </c>
      <c r="AP19" s="85" t="s">
        <v>357</v>
      </c>
    </row>
    <row r="20" spans="1:42" ht="18.75">
      <c r="A20" s="139">
        <v>19</v>
      </c>
      <c r="B20" s="66" t="s">
        <v>358</v>
      </c>
      <c r="C20" s="66" t="s">
        <v>359</v>
      </c>
      <c r="D20" s="66" t="s">
        <v>131</v>
      </c>
      <c r="E20" s="66" t="s">
        <v>359</v>
      </c>
      <c r="F20" s="66" t="s">
        <v>132</v>
      </c>
      <c r="G20" s="66" t="s">
        <v>45</v>
      </c>
      <c r="H20" s="66" t="s">
        <v>46</v>
      </c>
      <c r="I20" s="71">
        <v>23</v>
      </c>
      <c r="J2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0" s="71" t="s">
        <v>95</v>
      </c>
      <c r="L20" s="71" t="str">
        <f>IF(Table1[[#This Row],[LAST]]="","Unfilled","Filled")</f>
        <v>Filled</v>
      </c>
      <c r="M20" s="63" t="s">
        <v>360</v>
      </c>
      <c r="N20" s="66" t="s">
        <v>361</v>
      </c>
      <c r="O20" s="63" t="s">
        <v>362</v>
      </c>
      <c r="P20" s="63"/>
      <c r="Q20" s="64">
        <v>31747</v>
      </c>
      <c r="R20" s="64">
        <v>44851</v>
      </c>
      <c r="S20" s="64">
        <v>44851</v>
      </c>
      <c r="T20" s="64">
        <v>44851</v>
      </c>
      <c r="U20" s="64" t="s">
        <v>76</v>
      </c>
      <c r="V20" s="64" t="s">
        <v>77</v>
      </c>
      <c r="W20" s="66">
        <f t="shared" ca="1" si="0"/>
        <v>39</v>
      </c>
      <c r="X2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" s="64" t="s">
        <v>154</v>
      </c>
      <c r="Z20" s="64" t="s">
        <v>363</v>
      </c>
      <c r="AA20" s="65" t="s">
        <v>364</v>
      </c>
      <c r="AB20" s="64" t="s">
        <v>190</v>
      </c>
      <c r="AC20" s="64" t="s">
        <v>103</v>
      </c>
      <c r="AD20" s="65">
        <v>4102</v>
      </c>
      <c r="AE20" s="64" t="s">
        <v>58</v>
      </c>
      <c r="AF20" s="64" t="s">
        <v>59</v>
      </c>
      <c r="AG20" s="64" t="s">
        <v>60</v>
      </c>
      <c r="AH20" s="64" t="s">
        <v>365</v>
      </c>
      <c r="AI20" s="64">
        <v>46034</v>
      </c>
      <c r="AJ20" s="66">
        <v>2005345316</v>
      </c>
      <c r="AK20" s="64" t="s">
        <v>366</v>
      </c>
      <c r="AL20" s="64" t="s">
        <v>367</v>
      </c>
      <c r="AM20" s="64" t="s">
        <v>368</v>
      </c>
      <c r="AN20" s="64" t="s">
        <v>369</v>
      </c>
      <c r="AO20" s="64" t="s">
        <v>66</v>
      </c>
      <c r="AP20" s="64" t="s">
        <v>370</v>
      </c>
    </row>
    <row r="21" spans="1:42" ht="18.75">
      <c r="A21" s="139">
        <v>20</v>
      </c>
      <c r="B21" s="66" t="s">
        <v>371</v>
      </c>
      <c r="C21" s="66" t="s">
        <v>359</v>
      </c>
      <c r="D21" s="66" t="s">
        <v>147</v>
      </c>
      <c r="E21" s="66" t="s">
        <v>359</v>
      </c>
      <c r="F21" s="66" t="s">
        <v>148</v>
      </c>
      <c r="G21" s="66" t="s">
        <v>45</v>
      </c>
      <c r="H21" s="66" t="s">
        <v>46</v>
      </c>
      <c r="I21" s="71">
        <v>23</v>
      </c>
      <c r="J2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1" s="71" t="s">
        <v>95</v>
      </c>
      <c r="L21" s="71" t="str">
        <f>IF(Table1[[#This Row],[LAST]]="","Unfilled","Filled")</f>
        <v>Filled</v>
      </c>
      <c r="M21" s="63" t="s">
        <v>372</v>
      </c>
      <c r="N21" s="66" t="s">
        <v>373</v>
      </c>
      <c r="O21" s="63" t="s">
        <v>374</v>
      </c>
      <c r="P21" s="63"/>
      <c r="Q21" s="64">
        <v>32602</v>
      </c>
      <c r="R21" s="64">
        <v>46092</v>
      </c>
      <c r="S21" s="64">
        <v>46092</v>
      </c>
      <c r="T21" s="64">
        <v>46092</v>
      </c>
      <c r="U21" s="64" t="s">
        <v>76</v>
      </c>
      <c r="V21" s="64" t="s">
        <v>77</v>
      </c>
      <c r="W21" s="66">
        <f t="shared" ca="1" si="0"/>
        <v>37</v>
      </c>
      <c r="X2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" s="64" t="s">
        <v>154</v>
      </c>
      <c r="Z21" s="64" t="s">
        <v>375</v>
      </c>
      <c r="AA21" s="65" t="s">
        <v>376</v>
      </c>
      <c r="AB21" s="64" t="s">
        <v>377</v>
      </c>
      <c r="AC21" s="64" t="s">
        <v>57</v>
      </c>
      <c r="AD21" s="65" t="s">
        <v>378</v>
      </c>
      <c r="AE21" s="64" t="s">
        <v>58</v>
      </c>
      <c r="AF21" s="64" t="s">
        <v>59</v>
      </c>
      <c r="AG21" s="64" t="s">
        <v>60</v>
      </c>
      <c r="AH21" s="156" t="s">
        <v>379</v>
      </c>
      <c r="AI21" s="64">
        <v>46116</v>
      </c>
      <c r="AJ21" s="66">
        <v>2005539158</v>
      </c>
      <c r="AK21" s="64" t="s">
        <v>380</v>
      </c>
      <c r="AL21" s="64" t="s">
        <v>381</v>
      </c>
      <c r="AM21" s="64" t="s">
        <v>382</v>
      </c>
      <c r="AN21" s="64" t="s">
        <v>383</v>
      </c>
      <c r="AO21" s="64" t="s">
        <v>66</v>
      </c>
      <c r="AP21" s="85" t="s">
        <v>384</v>
      </c>
    </row>
    <row r="22" spans="1:42" ht="18.75">
      <c r="A22" s="139">
        <v>21</v>
      </c>
      <c r="B22" s="66" t="s">
        <v>385</v>
      </c>
      <c r="C22" s="66" t="s">
        <v>359</v>
      </c>
      <c r="D22" s="66" t="s">
        <v>386</v>
      </c>
      <c r="E22" s="66" t="s">
        <v>359</v>
      </c>
      <c r="F22" s="66" t="s">
        <v>387</v>
      </c>
      <c r="G22" s="66" t="s">
        <v>45</v>
      </c>
      <c r="H22" s="66" t="s">
        <v>46</v>
      </c>
      <c r="I22" s="71">
        <v>23</v>
      </c>
      <c r="J2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2" s="71" t="s">
        <v>95</v>
      </c>
      <c r="L22" s="71" t="str">
        <f>IF(Table1[[#This Row],[LAST]]="","Unfilled","Filled")</f>
        <v>Filled</v>
      </c>
      <c r="M22" s="66" t="s">
        <v>388</v>
      </c>
      <c r="N22" s="66" t="s">
        <v>389</v>
      </c>
      <c r="O22" s="66" t="s">
        <v>390</v>
      </c>
      <c r="P22" s="63"/>
      <c r="Q22" s="64">
        <v>26768</v>
      </c>
      <c r="R22" s="64">
        <v>38257</v>
      </c>
      <c r="S22" s="64">
        <v>44383</v>
      </c>
      <c r="T22" s="64">
        <v>44383</v>
      </c>
      <c r="U22" s="64" t="s">
        <v>76</v>
      </c>
      <c r="V22" s="64" t="s">
        <v>77</v>
      </c>
      <c r="W22" s="66">
        <f t="shared" ca="1" si="0"/>
        <v>53</v>
      </c>
      <c r="X2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2" s="64" t="s">
        <v>391</v>
      </c>
      <c r="Z22" s="64" t="s">
        <v>392</v>
      </c>
      <c r="AA22" s="65" t="s">
        <v>393</v>
      </c>
      <c r="AB22" s="64" t="s">
        <v>394</v>
      </c>
      <c r="AC22" s="64" t="s">
        <v>82</v>
      </c>
      <c r="AD22" s="65">
        <v>1600</v>
      </c>
      <c r="AE22" s="64" t="s">
        <v>58</v>
      </c>
      <c r="AF22" s="64" t="s">
        <v>59</v>
      </c>
      <c r="AG22" s="64" t="s">
        <v>60</v>
      </c>
      <c r="AH22" s="64" t="s">
        <v>395</v>
      </c>
      <c r="AI22" s="64">
        <v>46126</v>
      </c>
      <c r="AJ22" s="66">
        <v>2001397754</v>
      </c>
      <c r="AK22" s="64" t="s">
        <v>396</v>
      </c>
      <c r="AL22" s="64" t="s">
        <v>397</v>
      </c>
      <c r="AM22" s="64" t="s">
        <v>398</v>
      </c>
      <c r="AN22" s="64" t="s">
        <v>399</v>
      </c>
      <c r="AO22" s="64" t="s">
        <v>400</v>
      </c>
      <c r="AP22" s="64" t="s">
        <v>401</v>
      </c>
    </row>
    <row r="23" spans="1:42" ht="18.75">
      <c r="A23" s="139">
        <v>22</v>
      </c>
      <c r="B23" s="66" t="s">
        <v>402</v>
      </c>
      <c r="C23" s="66" t="s">
        <v>359</v>
      </c>
      <c r="D23" s="66" t="s">
        <v>113</v>
      </c>
      <c r="E23" s="66" t="s">
        <v>359</v>
      </c>
      <c r="F23" s="66" t="s">
        <v>114</v>
      </c>
      <c r="G23" s="66" t="s">
        <v>45</v>
      </c>
      <c r="H23" s="66" t="s">
        <v>46</v>
      </c>
      <c r="I23" s="71">
        <v>23</v>
      </c>
      <c r="J2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3" s="71" t="s">
        <v>95</v>
      </c>
      <c r="L23" s="71" t="str">
        <f>IF(Table1[[#This Row],[LAST]]="","Unfilled","Filled")</f>
        <v>Filled</v>
      </c>
      <c r="M23" s="66" t="s">
        <v>403</v>
      </c>
      <c r="N23" s="66" t="s">
        <v>404</v>
      </c>
      <c r="O23" s="66" t="s">
        <v>405</v>
      </c>
      <c r="P23" s="63"/>
      <c r="Q23" s="64">
        <v>32833</v>
      </c>
      <c r="R23" s="64">
        <v>44960</v>
      </c>
      <c r="S23" s="64">
        <v>44960</v>
      </c>
      <c r="T23" s="64">
        <v>44960</v>
      </c>
      <c r="U23" s="64" t="s">
        <v>76</v>
      </c>
      <c r="V23" s="64" t="s">
        <v>77</v>
      </c>
      <c r="W23" s="66">
        <f t="shared" ca="1" si="0"/>
        <v>36</v>
      </c>
      <c r="X2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" s="64" t="s">
        <v>56</v>
      </c>
      <c r="Z23" s="64" t="s">
        <v>406</v>
      </c>
      <c r="AA23" s="65" t="s">
        <v>407</v>
      </c>
      <c r="AB23" s="64" t="s">
        <v>102</v>
      </c>
      <c r="AC23" s="64" t="s">
        <v>103</v>
      </c>
      <c r="AD23" s="65">
        <v>4103</v>
      </c>
      <c r="AE23" s="64" t="s">
        <v>58</v>
      </c>
      <c r="AF23" s="64" t="s">
        <v>59</v>
      </c>
      <c r="AG23" s="64" t="s">
        <v>60</v>
      </c>
      <c r="AH23" s="64" t="s">
        <v>408</v>
      </c>
      <c r="AI23" s="64">
        <v>46712</v>
      </c>
      <c r="AJ23" s="66">
        <v>2004703711</v>
      </c>
      <c r="AK23" s="64" t="s">
        <v>409</v>
      </c>
      <c r="AL23" s="64" t="s">
        <v>410</v>
      </c>
      <c r="AM23" s="64" t="s">
        <v>411</v>
      </c>
      <c r="AN23" s="64" t="s">
        <v>412</v>
      </c>
      <c r="AO23" s="64" t="s">
        <v>66</v>
      </c>
      <c r="AP23" s="64" t="s">
        <v>413</v>
      </c>
    </row>
    <row r="24" spans="1:42" ht="18.75">
      <c r="A24" s="139">
        <v>23</v>
      </c>
      <c r="B24" s="66" t="s">
        <v>414</v>
      </c>
      <c r="C24" s="66" t="s">
        <v>359</v>
      </c>
      <c r="D24" s="140" t="s">
        <v>92</v>
      </c>
      <c r="E24" s="66" t="s">
        <v>359</v>
      </c>
      <c r="F24" s="66" t="s">
        <v>94</v>
      </c>
      <c r="G24" s="66" t="s">
        <v>45</v>
      </c>
      <c r="H24" s="66" t="s">
        <v>46</v>
      </c>
      <c r="I24" s="71">
        <v>23</v>
      </c>
      <c r="J2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4" s="71" t="s">
        <v>95</v>
      </c>
      <c r="L24" s="71" t="str">
        <f>IF(Table1[[#This Row],[LAST]]="","Unfilled","Filled")</f>
        <v>Filled</v>
      </c>
      <c r="M24" s="63" t="s">
        <v>415</v>
      </c>
      <c r="N24" s="63" t="s">
        <v>416</v>
      </c>
      <c r="O24" s="63" t="s">
        <v>417</v>
      </c>
      <c r="P24" s="63"/>
      <c r="Q24" s="64">
        <v>32091</v>
      </c>
      <c r="R24" s="64">
        <v>45019</v>
      </c>
      <c r="S24" s="64">
        <v>45019</v>
      </c>
      <c r="T24" s="64">
        <v>45474</v>
      </c>
      <c r="U24" s="64" t="s">
        <v>51</v>
      </c>
      <c r="V24" s="66" t="s">
        <v>77</v>
      </c>
      <c r="W24" s="66">
        <f t="shared" ca="1" si="0"/>
        <v>38</v>
      </c>
      <c r="X24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4" s="64" t="s">
        <v>154</v>
      </c>
      <c r="Z24" s="65" t="s">
        <v>418</v>
      </c>
      <c r="AA24" s="64" t="s">
        <v>419</v>
      </c>
      <c r="AB24" s="64" t="s">
        <v>394</v>
      </c>
      <c r="AC24" s="65" t="s">
        <v>57</v>
      </c>
      <c r="AD24" s="65">
        <v>1600</v>
      </c>
      <c r="AE24" s="64" t="s">
        <v>58</v>
      </c>
      <c r="AF24" s="64" t="s">
        <v>59</v>
      </c>
      <c r="AG24" s="64" t="s">
        <v>60</v>
      </c>
      <c r="AH24" s="64" t="s">
        <v>420</v>
      </c>
      <c r="AI24" s="64">
        <v>46671</v>
      </c>
      <c r="AJ24" s="65">
        <v>2005559346</v>
      </c>
      <c r="AK24" s="64" t="s">
        <v>421</v>
      </c>
      <c r="AL24" s="64" t="s">
        <v>422</v>
      </c>
      <c r="AM24" s="64" t="s">
        <v>423</v>
      </c>
      <c r="AN24" s="64" t="s">
        <v>424</v>
      </c>
      <c r="AO24" s="64" t="s">
        <v>66</v>
      </c>
      <c r="AP24" s="64" t="s">
        <v>425</v>
      </c>
    </row>
    <row r="25" spans="1:42" ht="18.75">
      <c r="A25" s="139">
        <v>24</v>
      </c>
      <c r="B25" s="66" t="s">
        <v>426</v>
      </c>
      <c r="C25" s="66" t="s">
        <v>359</v>
      </c>
      <c r="D25" s="77" t="s">
        <v>183</v>
      </c>
      <c r="E25" s="66" t="s">
        <v>359</v>
      </c>
      <c r="F25" s="66" t="s">
        <v>184</v>
      </c>
      <c r="G25" s="66" t="s">
        <v>45</v>
      </c>
      <c r="H25" s="66" t="s">
        <v>46</v>
      </c>
      <c r="I25" s="71">
        <v>23</v>
      </c>
      <c r="J2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5" s="71" t="s">
        <v>95</v>
      </c>
      <c r="L25" s="71" t="str">
        <f>IF(Table1[[#This Row],[LAST]]="","Unfilled","Filled")</f>
        <v>Filled</v>
      </c>
      <c r="M25" s="63" t="s">
        <v>427</v>
      </c>
      <c r="N25" s="63" t="s">
        <v>428</v>
      </c>
      <c r="O25" s="66" t="s">
        <v>429</v>
      </c>
      <c r="P25" s="63"/>
      <c r="Q25" s="64">
        <v>35362</v>
      </c>
      <c r="R25" s="64">
        <v>45540</v>
      </c>
      <c r="S25" s="64">
        <v>45540</v>
      </c>
      <c r="T25" s="64">
        <v>45540</v>
      </c>
      <c r="U25" s="64" t="s">
        <v>76</v>
      </c>
      <c r="V25" s="64" t="s">
        <v>52</v>
      </c>
      <c r="W25" s="66">
        <f t="shared" ca="1" si="0"/>
        <v>29</v>
      </c>
      <c r="X2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5" s="64" t="s">
        <v>78</v>
      </c>
      <c r="Z25" s="64" t="s">
        <v>430</v>
      </c>
      <c r="AA25" s="65" t="s">
        <v>270</v>
      </c>
      <c r="AB25" s="64" t="s">
        <v>81</v>
      </c>
      <c r="AC25" s="64" t="s">
        <v>82</v>
      </c>
      <c r="AD25" s="65" t="s">
        <v>431</v>
      </c>
      <c r="AE25" s="64" t="s">
        <v>58</v>
      </c>
      <c r="AF25" s="64" t="s">
        <v>59</v>
      </c>
      <c r="AG25" s="64" t="s">
        <v>60</v>
      </c>
      <c r="AH25" s="156" t="s">
        <v>432</v>
      </c>
      <c r="AI25" s="64">
        <v>46319</v>
      </c>
      <c r="AJ25" s="66">
        <v>2005870559</v>
      </c>
      <c r="AK25" s="64" t="s">
        <v>433</v>
      </c>
      <c r="AL25" s="64" t="s">
        <v>434</v>
      </c>
      <c r="AM25" s="64" t="s">
        <v>435</v>
      </c>
      <c r="AN25" s="64" t="s">
        <v>436</v>
      </c>
      <c r="AO25" s="64" t="s">
        <v>437</v>
      </c>
      <c r="AP25" s="85" t="s">
        <v>438</v>
      </c>
    </row>
    <row r="26" spans="1:42" ht="18.75">
      <c r="A26" s="139">
        <v>25</v>
      </c>
      <c r="B26" s="66" t="s">
        <v>439</v>
      </c>
      <c r="C26" s="66" t="s">
        <v>440</v>
      </c>
      <c r="D26" s="66" t="s">
        <v>92</v>
      </c>
      <c r="E26" s="66" t="s">
        <v>441</v>
      </c>
      <c r="F26" s="66" t="s">
        <v>94</v>
      </c>
      <c r="G26" s="66" t="s">
        <v>45</v>
      </c>
      <c r="H26" s="66" t="s">
        <v>46</v>
      </c>
      <c r="I26" s="71">
        <v>23</v>
      </c>
      <c r="J2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6" s="71" t="s">
        <v>95</v>
      </c>
      <c r="L26" s="71" t="str">
        <f>IF(Table1[[#This Row],[LAST]]="","Unfilled","Filled")</f>
        <v>Filled</v>
      </c>
      <c r="M26" s="66" t="s">
        <v>442</v>
      </c>
      <c r="N26" s="63" t="s">
        <v>443</v>
      </c>
      <c r="O26" s="63" t="s">
        <v>444</v>
      </c>
      <c r="P26" s="63"/>
      <c r="Q26" s="64">
        <v>32099</v>
      </c>
      <c r="R26" s="64">
        <v>44363</v>
      </c>
      <c r="S26" s="64">
        <v>44363</v>
      </c>
      <c r="T26" s="64">
        <v>45306</v>
      </c>
      <c r="U26" s="64" t="s">
        <v>51</v>
      </c>
      <c r="V26" s="64" t="s">
        <v>52</v>
      </c>
      <c r="W26" s="66">
        <f t="shared" ca="1" si="0"/>
        <v>38</v>
      </c>
      <c r="X2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6" s="64" t="s">
        <v>445</v>
      </c>
      <c r="Z26" s="64" t="s">
        <v>446</v>
      </c>
      <c r="AA26" s="65" t="s">
        <v>447</v>
      </c>
      <c r="AB26" s="64" t="s">
        <v>448</v>
      </c>
      <c r="AC26" s="64" t="s">
        <v>331</v>
      </c>
      <c r="AD26" s="65">
        <v>4028</v>
      </c>
      <c r="AE26" s="64" t="s">
        <v>58</v>
      </c>
      <c r="AF26" s="64" t="s">
        <v>59</v>
      </c>
      <c r="AG26" s="64" t="s">
        <v>60</v>
      </c>
      <c r="AH26" s="64" t="s">
        <v>449</v>
      </c>
      <c r="AI26" s="64">
        <v>46344</v>
      </c>
      <c r="AJ26" s="66">
        <v>2004652332</v>
      </c>
      <c r="AK26" s="64" t="s">
        <v>450</v>
      </c>
      <c r="AL26" s="64" t="s">
        <v>451</v>
      </c>
      <c r="AM26" s="64" t="s">
        <v>452</v>
      </c>
      <c r="AN26" s="64" t="s">
        <v>453</v>
      </c>
      <c r="AO26" s="64" t="s">
        <v>66</v>
      </c>
      <c r="AP26" s="64" t="s">
        <v>454</v>
      </c>
    </row>
    <row r="27" spans="1:42" ht="18.75">
      <c r="A27" s="139">
        <v>26</v>
      </c>
      <c r="B27" s="66" t="s">
        <v>455</v>
      </c>
      <c r="C27" s="66" t="s">
        <v>456</v>
      </c>
      <c r="D27" s="86" t="s">
        <v>131</v>
      </c>
      <c r="E27" s="66" t="s">
        <v>441</v>
      </c>
      <c r="F27" s="66" t="s">
        <v>132</v>
      </c>
      <c r="G27" s="66" t="s">
        <v>45</v>
      </c>
      <c r="H27" s="66" t="s">
        <v>46</v>
      </c>
      <c r="I27" s="71">
        <v>23</v>
      </c>
      <c r="J2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7" s="71" t="s">
        <v>95</v>
      </c>
      <c r="L27" s="71" t="str">
        <f>IF(Table1[[#This Row],[LAST]]="","Unfilled","Filled")</f>
        <v>Filled</v>
      </c>
      <c r="M27" s="63" t="s">
        <v>457</v>
      </c>
      <c r="N27" s="66" t="s">
        <v>458</v>
      </c>
      <c r="O27" s="66" t="s">
        <v>459</v>
      </c>
      <c r="P27" s="63"/>
      <c r="Q27" s="64">
        <v>33216</v>
      </c>
      <c r="R27" s="64">
        <v>45604</v>
      </c>
      <c r="S27" s="64">
        <v>45604</v>
      </c>
      <c r="T27" s="64">
        <v>45604</v>
      </c>
      <c r="U27" s="64" t="s">
        <v>76</v>
      </c>
      <c r="V27" s="64" t="s">
        <v>77</v>
      </c>
      <c r="W27" s="66">
        <f t="shared" ca="1" si="0"/>
        <v>35</v>
      </c>
      <c r="X2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7" s="64" t="s">
        <v>56</v>
      </c>
      <c r="Z27" s="64" t="s">
        <v>460</v>
      </c>
      <c r="AA27" s="65" t="s">
        <v>461</v>
      </c>
      <c r="AB27" s="64" t="s">
        <v>219</v>
      </c>
      <c r="AC27" s="64" t="s">
        <v>57</v>
      </c>
      <c r="AD27" s="65" t="s">
        <v>462</v>
      </c>
      <c r="AE27" s="64" t="s">
        <v>58</v>
      </c>
      <c r="AF27" s="64" t="s">
        <v>59</v>
      </c>
      <c r="AG27" s="64" t="s">
        <v>60</v>
      </c>
      <c r="AH27" s="156" t="s">
        <v>463</v>
      </c>
      <c r="AI27" s="64">
        <v>46365</v>
      </c>
      <c r="AJ27" s="65" t="s">
        <v>464</v>
      </c>
      <c r="AK27" s="64" t="s">
        <v>465</v>
      </c>
      <c r="AL27" s="64" t="s">
        <v>466</v>
      </c>
      <c r="AM27" s="64" t="s">
        <v>467</v>
      </c>
      <c r="AN27" s="64" t="s">
        <v>468</v>
      </c>
      <c r="AO27" s="64" t="s">
        <v>66</v>
      </c>
      <c r="AP27" s="85" t="s">
        <v>469</v>
      </c>
    </row>
    <row r="28" spans="1:42" ht="18.75">
      <c r="A28" s="139">
        <v>27</v>
      </c>
      <c r="B28" s="66" t="s">
        <v>470</v>
      </c>
      <c r="C28" s="66" t="s">
        <v>471</v>
      </c>
      <c r="D28" s="66" t="s">
        <v>472</v>
      </c>
      <c r="E28" s="66" t="s">
        <v>441</v>
      </c>
      <c r="F28" s="66" t="s">
        <v>473</v>
      </c>
      <c r="G28" s="66" t="s">
        <v>45</v>
      </c>
      <c r="H28" s="66" t="s">
        <v>46</v>
      </c>
      <c r="I28" s="71">
        <v>23</v>
      </c>
      <c r="J2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8" s="71" t="s">
        <v>95</v>
      </c>
      <c r="L28" s="71" t="str">
        <f>IF(Table1[[#This Row],[LAST]]="","Unfilled","Filled")</f>
        <v>Filled</v>
      </c>
      <c r="M28" s="66" t="s">
        <v>474</v>
      </c>
      <c r="N28" s="66" t="s">
        <v>475</v>
      </c>
      <c r="O28" s="66" t="s">
        <v>75</v>
      </c>
      <c r="P28" s="63"/>
      <c r="Q28" s="64">
        <v>26762</v>
      </c>
      <c r="R28" s="64">
        <v>42618</v>
      </c>
      <c r="S28" s="64">
        <v>44424</v>
      </c>
      <c r="T28" s="64">
        <v>44424</v>
      </c>
      <c r="U28" s="64" t="s">
        <v>51</v>
      </c>
      <c r="V28" s="64" t="s">
        <v>52</v>
      </c>
      <c r="W28" s="66">
        <f t="shared" ca="1" si="0"/>
        <v>53</v>
      </c>
      <c r="X2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8" s="64" t="s">
        <v>476</v>
      </c>
      <c r="Z28" s="64" t="s">
        <v>477</v>
      </c>
      <c r="AA28" s="65" t="s">
        <v>478</v>
      </c>
      <c r="AB28" s="64" t="s">
        <v>138</v>
      </c>
      <c r="AC28" s="64" t="s">
        <v>103</v>
      </c>
      <c r="AD28" s="65">
        <v>4114</v>
      </c>
      <c r="AE28" s="64" t="s">
        <v>58</v>
      </c>
      <c r="AF28" s="64" t="s">
        <v>59</v>
      </c>
      <c r="AG28" s="64" t="s">
        <v>60</v>
      </c>
      <c r="AH28" s="64" t="s">
        <v>479</v>
      </c>
      <c r="AI28" s="64">
        <v>46120</v>
      </c>
      <c r="AJ28" s="66">
        <v>2001121167</v>
      </c>
      <c r="AK28" s="64" t="s">
        <v>480</v>
      </c>
      <c r="AL28" s="64" t="s">
        <v>481</v>
      </c>
      <c r="AM28" s="64" t="s">
        <v>482</v>
      </c>
      <c r="AN28" s="64" t="s">
        <v>483</v>
      </c>
      <c r="AO28" s="64" t="s">
        <v>66</v>
      </c>
      <c r="AP28" s="64" t="s">
        <v>484</v>
      </c>
    </row>
    <row r="29" spans="1:42" ht="18.75">
      <c r="A29" s="139">
        <v>28</v>
      </c>
      <c r="B29" s="66" t="s">
        <v>485</v>
      </c>
      <c r="C29" s="66" t="s">
        <v>486</v>
      </c>
      <c r="D29" s="66" t="s">
        <v>113</v>
      </c>
      <c r="E29" s="66" t="s">
        <v>441</v>
      </c>
      <c r="F29" s="66" t="s">
        <v>114</v>
      </c>
      <c r="G29" s="66" t="s">
        <v>45</v>
      </c>
      <c r="H29" s="66" t="s">
        <v>46</v>
      </c>
      <c r="I29" s="71">
        <v>23</v>
      </c>
      <c r="J2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29" s="71" t="s">
        <v>95</v>
      </c>
      <c r="L29" s="71" t="str">
        <f>IF(Table1[[#This Row],[LAST]]="","Unfilled","Filled")</f>
        <v>Filled</v>
      </c>
      <c r="M29" s="66" t="s">
        <v>487</v>
      </c>
      <c r="N29" s="66" t="s">
        <v>488</v>
      </c>
      <c r="O29" s="66" t="s">
        <v>489</v>
      </c>
      <c r="P29" s="63"/>
      <c r="Q29" s="64">
        <v>32279</v>
      </c>
      <c r="R29" s="64">
        <v>45083</v>
      </c>
      <c r="S29" s="64">
        <v>45083</v>
      </c>
      <c r="T29" s="64">
        <v>45083</v>
      </c>
      <c r="U29" s="64" t="s">
        <v>51</v>
      </c>
      <c r="V29" s="64" t="s">
        <v>52</v>
      </c>
      <c r="W29" s="66">
        <f t="shared" ca="1" si="0"/>
        <v>38</v>
      </c>
      <c r="X2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" s="64" t="s">
        <v>490</v>
      </c>
      <c r="Z29" s="64" t="s">
        <v>491</v>
      </c>
      <c r="AA29" s="65" t="s">
        <v>492</v>
      </c>
      <c r="AB29" s="64" t="s">
        <v>190</v>
      </c>
      <c r="AC29" s="64" t="s">
        <v>103</v>
      </c>
      <c r="AD29" s="65">
        <v>4102</v>
      </c>
      <c r="AE29" s="64" t="s">
        <v>58</v>
      </c>
      <c r="AF29" s="64" t="s">
        <v>59</v>
      </c>
      <c r="AG29" s="64" t="s">
        <v>60</v>
      </c>
      <c r="AH29" s="64" t="s">
        <v>493</v>
      </c>
      <c r="AI29" s="64">
        <v>45793</v>
      </c>
      <c r="AJ29" s="65" t="s">
        <v>494</v>
      </c>
      <c r="AK29" s="64" t="s">
        <v>495</v>
      </c>
      <c r="AL29" s="64" t="s">
        <v>496</v>
      </c>
      <c r="AM29" s="64" t="s">
        <v>497</v>
      </c>
      <c r="AN29" s="64" t="s">
        <v>498</v>
      </c>
      <c r="AO29" s="64" t="s">
        <v>499</v>
      </c>
      <c r="AP29" s="64" t="s">
        <v>500</v>
      </c>
    </row>
    <row r="30" spans="1:42" ht="18.75">
      <c r="A30" s="139">
        <v>29</v>
      </c>
      <c r="B30" s="66" t="s">
        <v>501</v>
      </c>
      <c r="C30" s="66" t="s">
        <v>502</v>
      </c>
      <c r="D30" s="66" t="s">
        <v>147</v>
      </c>
      <c r="E30" s="66" t="s">
        <v>441</v>
      </c>
      <c r="F30" s="66" t="s">
        <v>148</v>
      </c>
      <c r="G30" s="66" t="s">
        <v>45</v>
      </c>
      <c r="H30" s="66" t="s">
        <v>46</v>
      </c>
      <c r="I30" s="71">
        <v>23</v>
      </c>
      <c r="J3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0" s="71" t="s">
        <v>95</v>
      </c>
      <c r="L30" s="71" t="str">
        <f>IF(Table1[[#This Row],[LAST]]="","Unfilled","Filled")</f>
        <v>Filled</v>
      </c>
      <c r="M30" s="66" t="s">
        <v>503</v>
      </c>
      <c r="N30" s="66" t="s">
        <v>504</v>
      </c>
      <c r="O30" s="66" t="s">
        <v>348</v>
      </c>
      <c r="P30" s="63"/>
      <c r="Q30" s="64">
        <v>29831</v>
      </c>
      <c r="R30" s="64">
        <v>42401</v>
      </c>
      <c r="S30" s="64">
        <v>44383</v>
      </c>
      <c r="T30" s="64">
        <v>44383</v>
      </c>
      <c r="U30" s="64" t="s">
        <v>51</v>
      </c>
      <c r="V30" s="64" t="s">
        <v>77</v>
      </c>
      <c r="W30" s="66">
        <f t="shared" ca="1" si="0"/>
        <v>44</v>
      </c>
      <c r="X3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" s="64" t="s">
        <v>121</v>
      </c>
      <c r="Z30" s="64" t="s">
        <v>505</v>
      </c>
      <c r="AA30" s="65" t="s">
        <v>506</v>
      </c>
      <c r="AB30" s="64" t="s">
        <v>121</v>
      </c>
      <c r="AC30" s="64" t="s">
        <v>103</v>
      </c>
      <c r="AD30" s="65">
        <v>4100</v>
      </c>
      <c r="AE30" s="64" t="s">
        <v>58</v>
      </c>
      <c r="AF30" s="64" t="s">
        <v>59</v>
      </c>
      <c r="AG30" s="64" t="s">
        <v>60</v>
      </c>
      <c r="AH30" s="64" t="s">
        <v>507</v>
      </c>
      <c r="AI30" s="64">
        <v>45902</v>
      </c>
      <c r="AJ30" s="65" t="s">
        <v>508</v>
      </c>
      <c r="AK30" s="64" t="s">
        <v>509</v>
      </c>
      <c r="AL30" s="64" t="s">
        <v>510</v>
      </c>
      <c r="AM30" s="64" t="s">
        <v>511</v>
      </c>
      <c r="AN30" s="64" t="s">
        <v>512</v>
      </c>
      <c r="AO30" s="64" t="s">
        <v>513</v>
      </c>
      <c r="AP30" s="64" t="s">
        <v>514</v>
      </c>
    </row>
    <row r="31" spans="1:42" ht="18.75">
      <c r="A31" s="139">
        <v>30</v>
      </c>
      <c r="B31" s="66" t="s">
        <v>515</v>
      </c>
      <c r="C31" s="66" t="s">
        <v>516</v>
      </c>
      <c r="D31" s="140" t="s">
        <v>164</v>
      </c>
      <c r="E31" s="66" t="s">
        <v>441</v>
      </c>
      <c r="F31" s="66" t="s">
        <v>248</v>
      </c>
      <c r="G31" s="66" t="s">
        <v>45</v>
      </c>
      <c r="H31" s="66" t="s">
        <v>46</v>
      </c>
      <c r="I31" s="71">
        <v>23</v>
      </c>
      <c r="J3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1" s="71" t="s">
        <v>95</v>
      </c>
      <c r="L31" s="71" t="str">
        <f>IF(Table1[[#This Row],[LAST]]="","Unfilled","Filled")</f>
        <v>Filled</v>
      </c>
      <c r="M31" s="63" t="s">
        <v>517</v>
      </c>
      <c r="N31" s="63" t="s">
        <v>518</v>
      </c>
      <c r="O31" s="63" t="s">
        <v>519</v>
      </c>
      <c r="P31" s="63"/>
      <c r="Q31" s="64">
        <v>33783</v>
      </c>
      <c r="R31" s="64">
        <v>45523</v>
      </c>
      <c r="S31" s="64">
        <v>45523</v>
      </c>
      <c r="T31" s="64">
        <v>45523</v>
      </c>
      <c r="U31" s="64" t="s">
        <v>51</v>
      </c>
      <c r="V31" s="64" t="s">
        <v>52</v>
      </c>
      <c r="W31" s="66">
        <f t="shared" ca="1" si="0"/>
        <v>34</v>
      </c>
      <c r="X3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1" s="64" t="s">
        <v>520</v>
      </c>
      <c r="Z31" s="64" t="s">
        <v>521</v>
      </c>
      <c r="AA31" s="65" t="s">
        <v>522</v>
      </c>
      <c r="AB31" s="64" t="s">
        <v>523</v>
      </c>
      <c r="AC31" s="64" t="s">
        <v>103</v>
      </c>
      <c r="AD31" s="65" t="s">
        <v>524</v>
      </c>
      <c r="AE31" s="64" t="s">
        <v>58</v>
      </c>
      <c r="AF31" s="64" t="s">
        <v>59</v>
      </c>
      <c r="AG31" s="64" t="s">
        <v>60</v>
      </c>
      <c r="AH31" s="156" t="s">
        <v>525</v>
      </c>
      <c r="AI31" s="64">
        <v>46201</v>
      </c>
      <c r="AJ31" s="66">
        <v>2005732172</v>
      </c>
      <c r="AK31" s="64" t="s">
        <v>526</v>
      </c>
      <c r="AL31" s="64" t="s">
        <v>527</v>
      </c>
      <c r="AM31" s="64" t="s">
        <v>528</v>
      </c>
      <c r="AN31" s="64" t="s">
        <v>529</v>
      </c>
      <c r="AO31" s="64" t="s">
        <v>530</v>
      </c>
      <c r="AP31" s="85" t="s">
        <v>531</v>
      </c>
    </row>
    <row r="32" spans="1:42" ht="18.75">
      <c r="A32" s="139">
        <v>31</v>
      </c>
      <c r="B32" s="66" t="s">
        <v>532</v>
      </c>
      <c r="C32" s="66" t="s">
        <v>533</v>
      </c>
      <c r="D32" s="66" t="s">
        <v>70</v>
      </c>
      <c r="E32" s="66" t="s">
        <v>441</v>
      </c>
      <c r="F32" s="66" t="s">
        <v>248</v>
      </c>
      <c r="G32" s="66" t="s">
        <v>45</v>
      </c>
      <c r="H32" s="66" t="s">
        <v>46</v>
      </c>
      <c r="I32" s="71">
        <v>23</v>
      </c>
      <c r="J3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2" s="71" t="s">
        <v>95</v>
      </c>
      <c r="L32" s="71" t="str">
        <f>IF(Table1[[#This Row],[LAST]]="","Unfilled","Filled")</f>
        <v>Filled</v>
      </c>
      <c r="M32" s="63" t="s">
        <v>534</v>
      </c>
      <c r="N32" s="63" t="s">
        <v>535</v>
      </c>
      <c r="O32" s="63" t="s">
        <v>536</v>
      </c>
      <c r="P32" s="63"/>
      <c r="Q32" s="64">
        <v>31539</v>
      </c>
      <c r="R32" s="64">
        <v>44950</v>
      </c>
      <c r="S32" s="64">
        <v>44950</v>
      </c>
      <c r="T32" s="64">
        <v>45301</v>
      </c>
      <c r="U32" s="64" t="s">
        <v>51</v>
      </c>
      <c r="V32" s="64" t="s">
        <v>77</v>
      </c>
      <c r="W32" s="66">
        <f t="shared" ca="1" si="0"/>
        <v>40</v>
      </c>
      <c r="X3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2" s="64" t="s">
        <v>57</v>
      </c>
      <c r="Z32" s="64" t="s">
        <v>537</v>
      </c>
      <c r="AA32" s="65" t="s">
        <v>538</v>
      </c>
      <c r="AB32" s="64" t="s">
        <v>539</v>
      </c>
      <c r="AC32" s="64" t="s">
        <v>154</v>
      </c>
      <c r="AD32" s="65">
        <v>1720</v>
      </c>
      <c r="AE32" s="64" t="s">
        <v>58</v>
      </c>
      <c r="AF32" s="64" t="s">
        <v>59</v>
      </c>
      <c r="AG32" s="64" t="s">
        <v>60</v>
      </c>
      <c r="AH32" s="64" t="s">
        <v>540</v>
      </c>
      <c r="AI32" s="64">
        <v>45784</v>
      </c>
      <c r="AJ32" s="65">
        <v>2005157235</v>
      </c>
      <c r="AK32" s="64" t="s">
        <v>541</v>
      </c>
      <c r="AL32" s="64" t="s">
        <v>542</v>
      </c>
      <c r="AM32" s="64" t="s">
        <v>543</v>
      </c>
      <c r="AN32" s="64" t="s">
        <v>544</v>
      </c>
      <c r="AO32" s="64" t="s">
        <v>545</v>
      </c>
      <c r="AP32" s="64" t="s">
        <v>546</v>
      </c>
    </row>
    <row r="33" spans="1:42" ht="18.75">
      <c r="A33" s="139">
        <v>32</v>
      </c>
      <c r="B33" s="66" t="s">
        <v>547</v>
      </c>
      <c r="C33" s="66" t="s">
        <v>440</v>
      </c>
      <c r="D33" s="66" t="s">
        <v>92</v>
      </c>
      <c r="E33" s="66" t="s">
        <v>441</v>
      </c>
      <c r="F33" s="66" t="s">
        <v>94</v>
      </c>
      <c r="G33" s="66" t="s">
        <v>45</v>
      </c>
      <c r="H33" s="66" t="s">
        <v>46</v>
      </c>
      <c r="I33" s="71">
        <v>23</v>
      </c>
      <c r="J3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3" s="71" t="s">
        <v>95</v>
      </c>
      <c r="L33" s="71" t="str">
        <f>IF(Table1[[#This Row],[LAST]]="","Unfilled","Filled")</f>
        <v>Filled</v>
      </c>
      <c r="M33" s="66" t="s">
        <v>149</v>
      </c>
      <c r="N33" s="66" t="s">
        <v>548</v>
      </c>
      <c r="O33" s="66" t="s">
        <v>549</v>
      </c>
      <c r="P33" s="63"/>
      <c r="Q33" s="64">
        <v>29651</v>
      </c>
      <c r="R33" s="64">
        <v>44907</v>
      </c>
      <c r="S33" s="64">
        <v>44907</v>
      </c>
      <c r="T33" s="64">
        <v>44907</v>
      </c>
      <c r="U33" s="64" t="s">
        <v>51</v>
      </c>
      <c r="V33" s="64" t="s">
        <v>52</v>
      </c>
      <c r="W33" s="66">
        <f t="shared" ca="1" si="0"/>
        <v>45</v>
      </c>
      <c r="X3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3" s="64" t="s">
        <v>154</v>
      </c>
      <c r="Z33" s="64" t="s">
        <v>550</v>
      </c>
      <c r="AA33" s="65" t="s">
        <v>551</v>
      </c>
      <c r="AB33" s="64" t="s">
        <v>552</v>
      </c>
      <c r="AC33" s="64" t="s">
        <v>103</v>
      </c>
      <c r="AD33" s="65">
        <v>4117</v>
      </c>
      <c r="AE33" s="64" t="s">
        <v>58</v>
      </c>
      <c r="AF33" s="64" t="s">
        <v>59</v>
      </c>
      <c r="AG33" s="64" t="s">
        <v>60</v>
      </c>
      <c r="AH33" s="64" t="s">
        <v>553</v>
      </c>
      <c r="AI33" s="64">
        <v>46544</v>
      </c>
      <c r="AJ33" s="65" t="s">
        <v>554</v>
      </c>
      <c r="AK33" s="64" t="s">
        <v>555</v>
      </c>
      <c r="AL33" s="64" t="s">
        <v>556</v>
      </c>
      <c r="AM33" s="64" t="s">
        <v>557</v>
      </c>
      <c r="AN33" s="64" t="s">
        <v>558</v>
      </c>
      <c r="AO33" s="64" t="s">
        <v>66</v>
      </c>
      <c r="AP33" s="64" t="s">
        <v>559</v>
      </c>
    </row>
    <row r="34" spans="1:42" ht="18.75">
      <c r="A34" s="139">
        <v>33</v>
      </c>
      <c r="B34" s="66" t="s">
        <v>560</v>
      </c>
      <c r="C34" s="66" t="s">
        <v>456</v>
      </c>
      <c r="D34" s="66" t="s">
        <v>131</v>
      </c>
      <c r="E34" s="66" t="s">
        <v>441</v>
      </c>
      <c r="F34" s="66" t="s">
        <v>132</v>
      </c>
      <c r="G34" s="66" t="s">
        <v>45</v>
      </c>
      <c r="H34" s="66" t="s">
        <v>46</v>
      </c>
      <c r="I34" s="71">
        <v>23</v>
      </c>
      <c r="J3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4" s="71" t="s">
        <v>95</v>
      </c>
      <c r="L34" s="71" t="str">
        <f>IF(Table1[[#This Row],[LAST]]="","Unfilled","Filled")</f>
        <v>Filled</v>
      </c>
      <c r="M34" s="66" t="s">
        <v>561</v>
      </c>
      <c r="N34" s="66" t="s">
        <v>562</v>
      </c>
      <c r="O34" s="66" t="s">
        <v>563</v>
      </c>
      <c r="P34" s="63"/>
      <c r="Q34" s="64">
        <v>33076</v>
      </c>
      <c r="R34" s="64">
        <v>46113</v>
      </c>
      <c r="S34" s="64">
        <v>46113</v>
      </c>
      <c r="T34" s="64">
        <v>46113</v>
      </c>
      <c r="U34" s="64" t="s">
        <v>51</v>
      </c>
      <c r="V34" s="64" t="s">
        <v>77</v>
      </c>
      <c r="W34" s="66">
        <f t="shared" ca="1" si="0"/>
        <v>36</v>
      </c>
      <c r="X3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4" s="64" t="s">
        <v>564</v>
      </c>
      <c r="Z34" s="64" t="s">
        <v>565</v>
      </c>
      <c r="AA34" s="65" t="s">
        <v>566</v>
      </c>
      <c r="AB34" s="64" t="s">
        <v>219</v>
      </c>
      <c r="AC34" s="64" t="s">
        <v>57</v>
      </c>
      <c r="AD34" s="65" t="s">
        <v>567</v>
      </c>
      <c r="AE34" s="64" t="s">
        <v>58</v>
      </c>
      <c r="AF34" s="64" t="s">
        <v>59</v>
      </c>
      <c r="AG34" s="64" t="s">
        <v>60</v>
      </c>
      <c r="AH34" s="156" t="s">
        <v>568</v>
      </c>
      <c r="AI34" s="64">
        <v>46590</v>
      </c>
      <c r="AJ34" s="65" t="s">
        <v>66</v>
      </c>
      <c r="AK34" s="64" t="s">
        <v>569</v>
      </c>
      <c r="AL34" s="64" t="s">
        <v>570</v>
      </c>
      <c r="AM34" s="64" t="s">
        <v>571</v>
      </c>
      <c r="AN34" s="64" t="s">
        <v>572</v>
      </c>
      <c r="AO34" s="64" t="s">
        <v>66</v>
      </c>
      <c r="AP34" s="85" t="s">
        <v>573</v>
      </c>
    </row>
    <row r="35" spans="1:42" ht="18.75">
      <c r="A35" s="139">
        <v>34</v>
      </c>
      <c r="B35" s="66" t="s">
        <v>574</v>
      </c>
      <c r="C35" s="66" t="s">
        <v>486</v>
      </c>
      <c r="D35" s="66" t="s">
        <v>113</v>
      </c>
      <c r="E35" s="66" t="s">
        <v>441</v>
      </c>
      <c r="F35" s="66" t="s">
        <v>114</v>
      </c>
      <c r="G35" s="66" t="s">
        <v>45</v>
      </c>
      <c r="H35" s="66" t="s">
        <v>46</v>
      </c>
      <c r="I35" s="71">
        <v>23</v>
      </c>
      <c r="J3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5" s="71" t="s">
        <v>95</v>
      </c>
      <c r="L35" s="71" t="str">
        <f>IF(Table1[[#This Row],[LAST]]="","Unfilled","Filled")</f>
        <v>Filled</v>
      </c>
      <c r="M35" s="63" t="s">
        <v>575</v>
      </c>
      <c r="N35" s="63" t="s">
        <v>576</v>
      </c>
      <c r="O35" s="63" t="s">
        <v>577</v>
      </c>
      <c r="P35" s="63"/>
      <c r="Q35" s="64">
        <v>31595</v>
      </c>
      <c r="R35" s="64">
        <v>44960</v>
      </c>
      <c r="S35" s="64">
        <v>44960</v>
      </c>
      <c r="T35" s="64">
        <v>44960</v>
      </c>
      <c r="U35" s="64" t="s">
        <v>51</v>
      </c>
      <c r="V35" s="64" t="s">
        <v>77</v>
      </c>
      <c r="W35" s="66">
        <f t="shared" ca="1" si="0"/>
        <v>40</v>
      </c>
      <c r="X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5" s="64" t="s">
        <v>121</v>
      </c>
      <c r="Z35" s="64" t="s">
        <v>578</v>
      </c>
      <c r="AA35" s="65" t="s">
        <v>579</v>
      </c>
      <c r="AB35" s="64" t="s">
        <v>580</v>
      </c>
      <c r="AC35" s="64" t="s">
        <v>103</v>
      </c>
      <c r="AD35" s="65">
        <v>4105</v>
      </c>
      <c r="AE35" s="64" t="s">
        <v>58</v>
      </c>
      <c r="AF35" s="64" t="s">
        <v>59</v>
      </c>
      <c r="AG35" s="64" t="s">
        <v>60</v>
      </c>
      <c r="AH35" s="64" t="s">
        <v>581</v>
      </c>
      <c r="AI35" s="64">
        <v>46205</v>
      </c>
      <c r="AJ35" s="65">
        <v>2004921701</v>
      </c>
      <c r="AK35" s="64" t="s">
        <v>582</v>
      </c>
      <c r="AL35" s="64" t="s">
        <v>583</v>
      </c>
      <c r="AM35" s="64" t="s">
        <v>584</v>
      </c>
      <c r="AN35" s="64" t="s">
        <v>585</v>
      </c>
      <c r="AO35" s="64" t="s">
        <v>66</v>
      </c>
      <c r="AP35" s="64" t="s">
        <v>586</v>
      </c>
    </row>
    <row r="36" spans="1:42" ht="18.75">
      <c r="A36" s="139">
        <v>35</v>
      </c>
      <c r="B36" s="66" t="s">
        <v>587</v>
      </c>
      <c r="C36" s="66" t="s">
        <v>533</v>
      </c>
      <c r="D36" s="66" t="s">
        <v>70</v>
      </c>
      <c r="E36" s="66" t="s">
        <v>441</v>
      </c>
      <c r="F36" s="66" t="s">
        <v>248</v>
      </c>
      <c r="G36" s="66" t="s">
        <v>45</v>
      </c>
      <c r="H36" s="66" t="s">
        <v>46</v>
      </c>
      <c r="I36" s="71">
        <v>23</v>
      </c>
      <c r="J3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6" s="71" t="s">
        <v>95</v>
      </c>
      <c r="L36" s="71" t="str">
        <f>IF(Table1[[#This Row],[LAST]]="","Unfilled","Filled")</f>
        <v>Filled</v>
      </c>
      <c r="M36" s="63" t="s">
        <v>588</v>
      </c>
      <c r="N36" s="63" t="s">
        <v>589</v>
      </c>
      <c r="O36" s="63" t="s">
        <v>590</v>
      </c>
      <c r="P36" s="63"/>
      <c r="Q36" s="64">
        <v>32560</v>
      </c>
      <c r="R36" s="64">
        <v>45701</v>
      </c>
      <c r="S36" s="64">
        <v>45701</v>
      </c>
      <c r="T36" s="64">
        <v>45701</v>
      </c>
      <c r="U36" s="64" t="s">
        <v>76</v>
      </c>
      <c r="V36" s="64" t="s">
        <v>77</v>
      </c>
      <c r="W36" s="66">
        <f t="shared" ca="1" si="0"/>
        <v>37</v>
      </c>
      <c r="X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6" s="64" t="s">
        <v>154</v>
      </c>
      <c r="Z36" s="64" t="s">
        <v>591</v>
      </c>
      <c r="AA36" s="65" t="s">
        <v>592</v>
      </c>
      <c r="AB36" s="64" t="s">
        <v>56</v>
      </c>
      <c r="AC36" s="64" t="s">
        <v>57</v>
      </c>
      <c r="AD36" s="65" t="s">
        <v>593</v>
      </c>
      <c r="AE36" s="64" t="s">
        <v>58</v>
      </c>
      <c r="AF36" s="64" t="s">
        <v>59</v>
      </c>
      <c r="AG36" s="64" t="s">
        <v>60</v>
      </c>
      <c r="AH36" s="156" t="s">
        <v>594</v>
      </c>
      <c r="AI36" s="64">
        <v>46074</v>
      </c>
      <c r="AJ36" s="65" t="s">
        <v>595</v>
      </c>
      <c r="AK36" s="64" t="s">
        <v>596</v>
      </c>
      <c r="AL36" s="64" t="s">
        <v>597</v>
      </c>
      <c r="AM36" s="64" t="s">
        <v>598</v>
      </c>
      <c r="AN36" s="64" t="s">
        <v>599</v>
      </c>
      <c r="AO36" s="64" t="s">
        <v>600</v>
      </c>
      <c r="AP36" s="85" t="s">
        <v>601</v>
      </c>
    </row>
    <row r="37" spans="1:42" ht="18.75">
      <c r="A37" s="139">
        <v>36</v>
      </c>
      <c r="B37" s="66" t="s">
        <v>602</v>
      </c>
      <c r="C37" s="66" t="s">
        <v>603</v>
      </c>
      <c r="D37" s="140" t="s">
        <v>604</v>
      </c>
      <c r="E37" s="66" t="s">
        <v>441</v>
      </c>
      <c r="F37" s="66" t="s">
        <v>605</v>
      </c>
      <c r="G37" s="66" t="s">
        <v>45</v>
      </c>
      <c r="H37" s="66" t="s">
        <v>46</v>
      </c>
      <c r="I37" s="71">
        <v>23</v>
      </c>
      <c r="J3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91306</v>
      </c>
      <c r="K37" s="71" t="s">
        <v>95</v>
      </c>
      <c r="L37" s="71" t="str">
        <f>IF(Table1[[#This Row],[LAST]]="","Unfilled","Filled")</f>
        <v>Filled</v>
      </c>
      <c r="M37" s="141" t="s">
        <v>606</v>
      </c>
      <c r="N37" s="141"/>
      <c r="O37" s="141" t="s">
        <v>607</v>
      </c>
      <c r="P37" s="63"/>
      <c r="Q37" s="64"/>
      <c r="R37" s="64"/>
      <c r="S37" s="64"/>
      <c r="T37" s="64"/>
      <c r="U37" s="64"/>
      <c r="V37" s="64"/>
      <c r="W37" s="66"/>
      <c r="X37" s="66"/>
      <c r="Y37" s="64"/>
      <c r="Z37" s="64"/>
      <c r="AA37" s="65"/>
      <c r="AB37" s="64"/>
      <c r="AC37" s="64"/>
      <c r="AD37" s="65"/>
      <c r="AE37" s="64"/>
      <c r="AF37" s="64"/>
      <c r="AG37" s="64"/>
      <c r="AH37" s="64"/>
      <c r="AI37" s="64"/>
      <c r="AJ37" s="65"/>
      <c r="AK37" s="64"/>
      <c r="AL37" s="64"/>
      <c r="AM37" s="64"/>
      <c r="AN37" s="64"/>
      <c r="AO37" s="64"/>
      <c r="AP37" s="85"/>
    </row>
    <row r="38" spans="1:42" ht="18.75">
      <c r="A38" s="139">
        <v>37</v>
      </c>
      <c r="B38" s="66" t="s">
        <v>608</v>
      </c>
      <c r="C38" s="66" t="s">
        <v>609</v>
      </c>
      <c r="D38" s="66"/>
      <c r="E38" s="66" t="s">
        <v>609</v>
      </c>
      <c r="F38" s="66" t="s">
        <v>610</v>
      </c>
      <c r="G38" s="66" t="s">
        <v>611</v>
      </c>
      <c r="H38" s="66" t="s">
        <v>612</v>
      </c>
      <c r="I38" s="71">
        <v>22</v>
      </c>
      <c r="J3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81796</v>
      </c>
      <c r="K38" s="71" t="s">
        <v>95</v>
      </c>
      <c r="L38" s="71" t="str">
        <f>IF(Table1[[#This Row],[LAST]]="","Unfilled","Filled")</f>
        <v>Filled</v>
      </c>
      <c r="M38" s="66" t="s">
        <v>613</v>
      </c>
      <c r="N38" s="66" t="s">
        <v>614</v>
      </c>
      <c r="O38" s="66" t="s">
        <v>615</v>
      </c>
      <c r="P38" s="63"/>
      <c r="Q38" s="64">
        <v>30493</v>
      </c>
      <c r="R38" s="64">
        <v>39449</v>
      </c>
      <c r="S38" s="64">
        <v>44348</v>
      </c>
      <c r="T38" s="64">
        <v>46065</v>
      </c>
      <c r="U38" s="64" t="s">
        <v>51</v>
      </c>
      <c r="V38" s="64" t="s">
        <v>52</v>
      </c>
      <c r="W38" s="66">
        <f t="shared" ref="W38:W71" ca="1" si="1">DATEDIF(Q38,TODAY(),"Y")</f>
        <v>43</v>
      </c>
      <c r="X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8" s="64" t="s">
        <v>616</v>
      </c>
      <c r="Z38" s="64" t="s">
        <v>617</v>
      </c>
      <c r="AA38" s="65" t="s">
        <v>618</v>
      </c>
      <c r="AB38" s="64" t="s">
        <v>138</v>
      </c>
      <c r="AC38" s="64" t="s">
        <v>103</v>
      </c>
      <c r="AD38" s="65">
        <v>4114</v>
      </c>
      <c r="AE38" s="64" t="s">
        <v>619</v>
      </c>
      <c r="AF38" s="64" t="s">
        <v>620</v>
      </c>
      <c r="AG38" s="64" t="s">
        <v>60</v>
      </c>
      <c r="AH38" s="64" t="s">
        <v>621</v>
      </c>
      <c r="AI38" s="64">
        <v>45834</v>
      </c>
      <c r="AJ38" s="65" t="s">
        <v>622</v>
      </c>
      <c r="AK38" s="64" t="s">
        <v>623</v>
      </c>
      <c r="AL38" s="64" t="s">
        <v>624</v>
      </c>
      <c r="AM38" s="64" t="s">
        <v>625</v>
      </c>
      <c r="AN38" s="64" t="s">
        <v>626</v>
      </c>
      <c r="AO38" s="64" t="s">
        <v>66</v>
      </c>
      <c r="AP38" s="64" t="s">
        <v>627</v>
      </c>
    </row>
    <row r="39" spans="1:42" ht="18.75">
      <c r="A39" s="139">
        <v>38</v>
      </c>
      <c r="B39" s="66" t="s">
        <v>628</v>
      </c>
      <c r="C39" s="66" t="s">
        <v>629</v>
      </c>
      <c r="D39" s="66"/>
      <c r="E39" s="66" t="s">
        <v>629</v>
      </c>
      <c r="F39" s="66" t="s">
        <v>630</v>
      </c>
      <c r="G39" s="66" t="s">
        <v>631</v>
      </c>
      <c r="H39" s="66" t="s">
        <v>632</v>
      </c>
      <c r="I39" s="71">
        <v>22</v>
      </c>
      <c r="J3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81796</v>
      </c>
      <c r="K39" s="71" t="s">
        <v>95</v>
      </c>
      <c r="L39" s="71" t="str">
        <f>IF(Table1[[#This Row],[LAST]]="","Unfilled","Filled")</f>
        <v>Filled</v>
      </c>
      <c r="M39" s="66" t="s">
        <v>633</v>
      </c>
      <c r="N39" s="66" t="s">
        <v>634</v>
      </c>
      <c r="O39" s="66" t="s">
        <v>635</v>
      </c>
      <c r="P39" s="63"/>
      <c r="Q39" s="64">
        <v>27998</v>
      </c>
      <c r="R39" s="64">
        <v>37074</v>
      </c>
      <c r="S39" s="64">
        <v>38642</v>
      </c>
      <c r="T39" s="64">
        <v>44320</v>
      </c>
      <c r="U39" s="64" t="s">
        <v>51</v>
      </c>
      <c r="V39" s="64" t="s">
        <v>77</v>
      </c>
      <c r="W39" s="66">
        <f t="shared" ca="1" si="1"/>
        <v>49</v>
      </c>
      <c r="X3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9" s="64" t="s">
        <v>636</v>
      </c>
      <c r="Z39" s="64" t="s">
        <v>637</v>
      </c>
      <c r="AA39" s="65" t="s">
        <v>638</v>
      </c>
      <c r="AB39" s="64" t="s">
        <v>138</v>
      </c>
      <c r="AC39" s="64" t="s">
        <v>103</v>
      </c>
      <c r="AD39" s="65">
        <v>4114</v>
      </c>
      <c r="AE39" s="64" t="s">
        <v>639</v>
      </c>
      <c r="AF39" s="64" t="s">
        <v>640</v>
      </c>
      <c r="AG39" s="64" t="s">
        <v>641</v>
      </c>
      <c r="AH39" s="64" t="s">
        <v>66</v>
      </c>
      <c r="AI39" s="64" t="s">
        <v>66</v>
      </c>
      <c r="AJ39" s="65" t="s">
        <v>642</v>
      </c>
      <c r="AK39" s="64" t="s">
        <v>643</v>
      </c>
      <c r="AL39" s="64" t="s">
        <v>644</v>
      </c>
      <c r="AM39" s="64" t="s">
        <v>645</v>
      </c>
      <c r="AN39" s="64" t="s">
        <v>646</v>
      </c>
      <c r="AO39" s="64" t="s">
        <v>66</v>
      </c>
      <c r="AP39" s="64" t="s">
        <v>647</v>
      </c>
    </row>
    <row r="40" spans="1:42" ht="18.75">
      <c r="A40" s="139">
        <v>39</v>
      </c>
      <c r="B40" s="66" t="s">
        <v>648</v>
      </c>
      <c r="C40" s="66" t="s">
        <v>649</v>
      </c>
      <c r="D40" s="66" t="s">
        <v>147</v>
      </c>
      <c r="E40" s="66" t="s">
        <v>650</v>
      </c>
      <c r="F40" s="66" t="s">
        <v>148</v>
      </c>
      <c r="G40" s="66" t="s">
        <v>45</v>
      </c>
      <c r="H40" s="66" t="s">
        <v>46</v>
      </c>
      <c r="I40" s="71">
        <v>21</v>
      </c>
      <c r="J4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0" s="71" t="s">
        <v>95</v>
      </c>
      <c r="L40" s="71" t="str">
        <f>IF(Table1[[#This Row],[LAST]]="","Unfilled","Filled")</f>
        <v>Filled</v>
      </c>
      <c r="M40" s="63" t="s">
        <v>651</v>
      </c>
      <c r="N40" s="66" t="s">
        <v>652</v>
      </c>
      <c r="O40" s="63" t="s">
        <v>561</v>
      </c>
      <c r="P40" s="63"/>
      <c r="Q40" s="64">
        <v>32455</v>
      </c>
      <c r="R40" s="64">
        <v>45663</v>
      </c>
      <c r="S40" s="64">
        <v>45663</v>
      </c>
      <c r="T40" s="64">
        <v>45663</v>
      </c>
      <c r="U40" s="64" t="s">
        <v>76</v>
      </c>
      <c r="V40" s="64" t="s">
        <v>52</v>
      </c>
      <c r="W40" s="66">
        <f t="shared" ca="1" si="1"/>
        <v>37</v>
      </c>
      <c r="X40" s="142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0" s="64" t="s">
        <v>653</v>
      </c>
      <c r="Z40" s="64" t="s">
        <v>654</v>
      </c>
      <c r="AA40" s="65" t="s">
        <v>655</v>
      </c>
      <c r="AB40" s="64" t="s">
        <v>190</v>
      </c>
      <c r="AC40" s="64" t="s">
        <v>103</v>
      </c>
      <c r="AD40" s="65" t="s">
        <v>656</v>
      </c>
      <c r="AE40" s="64" t="s">
        <v>58</v>
      </c>
      <c r="AF40" s="64" t="s">
        <v>59</v>
      </c>
      <c r="AG40" s="64" t="s">
        <v>60</v>
      </c>
      <c r="AH40" s="156" t="s">
        <v>657</v>
      </c>
      <c r="AI40" s="64">
        <v>46699</v>
      </c>
      <c r="AJ40" s="65" t="s">
        <v>658</v>
      </c>
      <c r="AK40" s="64" t="s">
        <v>659</v>
      </c>
      <c r="AL40" s="64" t="s">
        <v>660</v>
      </c>
      <c r="AM40" s="64" t="s">
        <v>661</v>
      </c>
      <c r="AN40" s="64" t="s">
        <v>662</v>
      </c>
      <c r="AO40" s="64" t="s">
        <v>66</v>
      </c>
      <c r="AP40" s="85" t="s">
        <v>663</v>
      </c>
    </row>
    <row r="41" spans="1:42" ht="18.75">
      <c r="A41" s="139">
        <v>40</v>
      </c>
      <c r="B41" s="66" t="s">
        <v>664</v>
      </c>
      <c r="C41" s="66" t="s">
        <v>665</v>
      </c>
      <c r="D41" s="66" t="s">
        <v>183</v>
      </c>
      <c r="E41" s="66" t="s">
        <v>650</v>
      </c>
      <c r="F41" s="66" t="s">
        <v>184</v>
      </c>
      <c r="G41" s="66" t="s">
        <v>45</v>
      </c>
      <c r="H41" s="66" t="s">
        <v>46</v>
      </c>
      <c r="I41" s="71">
        <v>21</v>
      </c>
      <c r="J4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1" s="71" t="s">
        <v>95</v>
      </c>
      <c r="L41" s="71" t="str">
        <f>IF(Table1[[#This Row],[LAST]]="","Unfilled","Filled")</f>
        <v>Filled</v>
      </c>
      <c r="M41" s="63" t="s">
        <v>666</v>
      </c>
      <c r="N41" s="63" t="s">
        <v>667</v>
      </c>
      <c r="O41" s="63" t="s">
        <v>668</v>
      </c>
      <c r="Q41" s="64">
        <v>32440</v>
      </c>
      <c r="R41" s="64">
        <v>45420</v>
      </c>
      <c r="S41" s="64">
        <v>45420</v>
      </c>
      <c r="T41" s="64">
        <v>45420</v>
      </c>
      <c r="U41" s="64" t="s">
        <v>51</v>
      </c>
      <c r="V41" s="64" t="s">
        <v>52</v>
      </c>
      <c r="W41" s="66">
        <f t="shared" ca="1" si="1"/>
        <v>37</v>
      </c>
      <c r="X41" s="142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1" s="64" t="s">
        <v>154</v>
      </c>
      <c r="Z41" s="64" t="s">
        <v>669</v>
      </c>
      <c r="AA41" s="65" t="s">
        <v>670</v>
      </c>
      <c r="AB41" s="64" t="s">
        <v>539</v>
      </c>
      <c r="AC41" s="65" t="s">
        <v>57</v>
      </c>
      <c r="AD41" s="65" t="s">
        <v>671</v>
      </c>
      <c r="AE41" s="64" t="s">
        <v>58</v>
      </c>
      <c r="AF41" s="64" t="s">
        <v>59</v>
      </c>
      <c r="AG41" s="64" t="s">
        <v>60</v>
      </c>
      <c r="AH41" s="156" t="s">
        <v>672</v>
      </c>
      <c r="AI41" s="64">
        <v>46319</v>
      </c>
      <c r="AJ41" s="65" t="s">
        <v>673</v>
      </c>
      <c r="AK41" s="64" t="s">
        <v>674</v>
      </c>
      <c r="AL41" s="64" t="s">
        <v>675</v>
      </c>
      <c r="AM41" s="64" t="s">
        <v>676</v>
      </c>
      <c r="AN41" s="64" t="s">
        <v>677</v>
      </c>
      <c r="AO41" s="64" t="s">
        <v>66</v>
      </c>
      <c r="AP41" s="85" t="s">
        <v>678</v>
      </c>
    </row>
    <row r="42" spans="1:42" ht="18.75">
      <c r="A42" s="139">
        <v>41</v>
      </c>
      <c r="B42" s="66" t="s">
        <v>679</v>
      </c>
      <c r="C42" s="66" t="s">
        <v>665</v>
      </c>
      <c r="D42" s="66" t="s">
        <v>183</v>
      </c>
      <c r="E42" s="66" t="s">
        <v>650</v>
      </c>
      <c r="F42" s="66" t="s">
        <v>184</v>
      </c>
      <c r="G42" s="66" t="s">
        <v>45</v>
      </c>
      <c r="H42" s="66" t="s">
        <v>46</v>
      </c>
      <c r="I42" s="71">
        <v>21</v>
      </c>
      <c r="J4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2" s="71" t="s">
        <v>95</v>
      </c>
      <c r="L42" s="71" t="str">
        <f>IF(Table1[[#This Row],[LAST]]="","Unfilled","Filled")</f>
        <v>Filled</v>
      </c>
      <c r="M42" s="66" t="s">
        <v>680</v>
      </c>
      <c r="N42" s="66" t="s">
        <v>681</v>
      </c>
      <c r="O42" s="66" t="s">
        <v>682</v>
      </c>
      <c r="P42" s="63"/>
      <c r="Q42" s="64">
        <v>31775</v>
      </c>
      <c r="R42" s="64">
        <v>45083</v>
      </c>
      <c r="S42" s="64">
        <v>45083</v>
      </c>
      <c r="T42" s="64">
        <v>45083</v>
      </c>
      <c r="U42" s="64" t="s">
        <v>76</v>
      </c>
      <c r="V42" s="64" t="s">
        <v>52</v>
      </c>
      <c r="W42" s="66">
        <f t="shared" ca="1" si="1"/>
        <v>39</v>
      </c>
      <c r="X4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2" s="64" t="s">
        <v>154</v>
      </c>
      <c r="Z42" s="64" t="s">
        <v>683</v>
      </c>
      <c r="AA42" s="65" t="s">
        <v>684</v>
      </c>
      <c r="AB42" s="64" t="s">
        <v>81</v>
      </c>
      <c r="AC42" s="64" t="s">
        <v>57</v>
      </c>
      <c r="AD42" s="65">
        <v>1740</v>
      </c>
      <c r="AE42" s="64" t="s">
        <v>58</v>
      </c>
      <c r="AF42" s="64" t="s">
        <v>59</v>
      </c>
      <c r="AG42" s="64" t="s">
        <v>60</v>
      </c>
      <c r="AH42" s="64" t="s">
        <v>685</v>
      </c>
      <c r="AI42" s="64">
        <v>46020</v>
      </c>
      <c r="AJ42" s="65" t="s">
        <v>686</v>
      </c>
      <c r="AK42" s="64" t="s">
        <v>687</v>
      </c>
      <c r="AL42" s="64" t="s">
        <v>688</v>
      </c>
      <c r="AM42" s="64" t="s">
        <v>689</v>
      </c>
      <c r="AN42" s="64" t="s">
        <v>690</v>
      </c>
      <c r="AO42" s="64" t="s">
        <v>66</v>
      </c>
      <c r="AP42" s="64" t="s">
        <v>691</v>
      </c>
    </row>
    <row r="43" spans="1:42" ht="18.75">
      <c r="A43" s="139">
        <v>42</v>
      </c>
      <c r="B43" s="66" t="s">
        <v>692</v>
      </c>
      <c r="C43" s="66" t="s">
        <v>693</v>
      </c>
      <c r="D43" s="66" t="s">
        <v>70</v>
      </c>
      <c r="E43" s="66" t="s">
        <v>650</v>
      </c>
      <c r="F43" s="66" t="s">
        <v>248</v>
      </c>
      <c r="G43" s="66" t="s">
        <v>45</v>
      </c>
      <c r="H43" s="66" t="s">
        <v>46</v>
      </c>
      <c r="I43" s="71">
        <v>21</v>
      </c>
      <c r="J4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3" s="71" t="s">
        <v>95</v>
      </c>
      <c r="L43" s="71" t="str">
        <f>IF(Table1[[#This Row],[LAST]]="","Unfilled","Filled")</f>
        <v>Filled</v>
      </c>
      <c r="M43" s="66" t="s">
        <v>694</v>
      </c>
      <c r="N43" s="66" t="s">
        <v>695</v>
      </c>
      <c r="O43" s="66" t="s">
        <v>696</v>
      </c>
      <c r="P43" s="63"/>
      <c r="Q43" s="64">
        <v>28746</v>
      </c>
      <c r="R43" s="64">
        <v>45568</v>
      </c>
      <c r="S43" s="64">
        <v>45568</v>
      </c>
      <c r="T43" s="64">
        <v>45568</v>
      </c>
      <c r="U43" s="64" t="s">
        <v>51</v>
      </c>
      <c r="V43" s="64" t="s">
        <v>77</v>
      </c>
      <c r="W43" s="66">
        <f t="shared" ca="1" si="1"/>
        <v>47</v>
      </c>
      <c r="X4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3" s="64" t="s">
        <v>697</v>
      </c>
      <c r="Z43" s="64" t="s">
        <v>698</v>
      </c>
      <c r="AA43" s="65" t="s">
        <v>699</v>
      </c>
      <c r="AB43" s="64" t="s">
        <v>237</v>
      </c>
      <c r="AC43" s="64" t="s">
        <v>103</v>
      </c>
      <c r="AD43" s="65" t="s">
        <v>700</v>
      </c>
      <c r="AE43" s="64" t="s">
        <v>58</v>
      </c>
      <c r="AF43" s="64" t="s">
        <v>59</v>
      </c>
      <c r="AG43" s="64" t="s">
        <v>60</v>
      </c>
      <c r="AH43" s="156" t="s">
        <v>701</v>
      </c>
      <c r="AI43" s="64">
        <v>46643</v>
      </c>
      <c r="AJ43" s="65" t="s">
        <v>702</v>
      </c>
      <c r="AK43" s="64" t="s">
        <v>703</v>
      </c>
      <c r="AL43" s="64" t="s">
        <v>704</v>
      </c>
      <c r="AM43" s="64" t="s">
        <v>705</v>
      </c>
      <c r="AN43" s="64" t="s">
        <v>706</v>
      </c>
      <c r="AO43" s="64" t="s">
        <v>66</v>
      </c>
      <c r="AP43" s="85" t="s">
        <v>707</v>
      </c>
    </row>
    <row r="44" spans="1:42" ht="18.75">
      <c r="A44" s="139">
        <v>43</v>
      </c>
      <c r="B44" s="66" t="s">
        <v>708</v>
      </c>
      <c r="C44" s="66" t="s">
        <v>665</v>
      </c>
      <c r="D44" s="66" t="s">
        <v>183</v>
      </c>
      <c r="E44" s="66" t="s">
        <v>650</v>
      </c>
      <c r="F44" s="66" t="s">
        <v>184</v>
      </c>
      <c r="G44" s="66" t="s">
        <v>45</v>
      </c>
      <c r="H44" s="66" t="s">
        <v>46</v>
      </c>
      <c r="I44" s="71">
        <v>21</v>
      </c>
      <c r="J4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4" s="71" t="s">
        <v>95</v>
      </c>
      <c r="L44" s="71" t="str">
        <f>IF(Table1[[#This Row],[LAST]]="","Unfilled","Filled")</f>
        <v>Filled</v>
      </c>
      <c r="M44" s="66" t="s">
        <v>709</v>
      </c>
      <c r="N44" s="66" t="s">
        <v>710</v>
      </c>
      <c r="O44" s="66" t="s">
        <v>711</v>
      </c>
      <c r="P44" s="63"/>
      <c r="Q44" s="64">
        <v>32396</v>
      </c>
      <c r="R44" s="64">
        <v>45149</v>
      </c>
      <c r="S44" s="64">
        <v>45149</v>
      </c>
      <c r="T44" s="64">
        <v>45149</v>
      </c>
      <c r="U44" s="64" t="s">
        <v>76</v>
      </c>
      <c r="V44" s="64" t="s">
        <v>77</v>
      </c>
      <c r="W44" s="66">
        <f t="shared" ca="1" si="1"/>
        <v>37</v>
      </c>
      <c r="X4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4" s="64" t="s">
        <v>154</v>
      </c>
      <c r="Z44" s="64" t="s">
        <v>712</v>
      </c>
      <c r="AA44" s="65" t="s">
        <v>713</v>
      </c>
      <c r="AB44" s="64" t="s">
        <v>190</v>
      </c>
      <c r="AC44" s="64" t="s">
        <v>103</v>
      </c>
      <c r="AD44" s="65">
        <v>4102</v>
      </c>
      <c r="AE44" s="64" t="s">
        <v>58</v>
      </c>
      <c r="AF44" s="64" t="s">
        <v>59</v>
      </c>
      <c r="AG44" s="64" t="s">
        <v>60</v>
      </c>
      <c r="AH44" s="64" t="s">
        <v>714</v>
      </c>
      <c r="AI44" s="64">
        <v>45910</v>
      </c>
      <c r="AJ44" s="65" t="s">
        <v>715</v>
      </c>
      <c r="AK44" s="64" t="s">
        <v>716</v>
      </c>
      <c r="AL44" s="64" t="s">
        <v>717</v>
      </c>
      <c r="AM44" s="64" t="s">
        <v>718</v>
      </c>
      <c r="AN44" s="64" t="s">
        <v>719</v>
      </c>
      <c r="AO44" s="64" t="s">
        <v>720</v>
      </c>
      <c r="AP44" s="64" t="s">
        <v>721</v>
      </c>
    </row>
    <row r="45" spans="1:42" ht="18.75">
      <c r="A45" s="139">
        <v>44</v>
      </c>
      <c r="B45" s="66" t="s">
        <v>722</v>
      </c>
      <c r="C45" s="66" t="s">
        <v>723</v>
      </c>
      <c r="D45" s="66" t="s">
        <v>92</v>
      </c>
      <c r="E45" s="66" t="s">
        <v>650</v>
      </c>
      <c r="F45" s="66" t="s">
        <v>94</v>
      </c>
      <c r="G45" s="66" t="s">
        <v>45</v>
      </c>
      <c r="H45" s="66" t="s">
        <v>46</v>
      </c>
      <c r="I45" s="71">
        <v>21</v>
      </c>
      <c r="J4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5" s="71" t="s">
        <v>95</v>
      </c>
      <c r="L45" s="71" t="str">
        <f>IF(Table1[[#This Row],[LAST]]="","Unfilled","Filled")</f>
        <v>Filled</v>
      </c>
      <c r="M45" s="63" t="s">
        <v>724</v>
      </c>
      <c r="N45" s="63" t="s">
        <v>725</v>
      </c>
      <c r="O45" s="63" t="s">
        <v>726</v>
      </c>
      <c r="P45" s="63"/>
      <c r="Q45" s="64">
        <v>32353</v>
      </c>
      <c r="R45" s="64">
        <v>45659</v>
      </c>
      <c r="S45" s="64">
        <v>45659</v>
      </c>
      <c r="T45" s="64">
        <v>45659</v>
      </c>
      <c r="U45" s="64" t="s">
        <v>76</v>
      </c>
      <c r="V45" s="66" t="s">
        <v>77</v>
      </c>
      <c r="W45" s="66">
        <f t="shared" ca="1" si="1"/>
        <v>38</v>
      </c>
      <c r="X45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5" s="64" t="s">
        <v>391</v>
      </c>
      <c r="Z45" s="65" t="s">
        <v>727</v>
      </c>
      <c r="AA45" s="64" t="s">
        <v>728</v>
      </c>
      <c r="AB45" s="64" t="s">
        <v>190</v>
      </c>
      <c r="AC45" s="65" t="s">
        <v>103</v>
      </c>
      <c r="AD45" s="65" t="s">
        <v>656</v>
      </c>
      <c r="AE45" s="64" t="s">
        <v>58</v>
      </c>
      <c r="AF45" s="64" t="s">
        <v>59</v>
      </c>
      <c r="AG45" s="64" t="s">
        <v>60</v>
      </c>
      <c r="AH45" s="156" t="s">
        <v>729</v>
      </c>
      <c r="AI45" s="64">
        <v>46232</v>
      </c>
      <c r="AJ45" s="65" t="s">
        <v>730</v>
      </c>
      <c r="AK45" s="64" t="s">
        <v>731</v>
      </c>
      <c r="AL45" s="64" t="s">
        <v>732</v>
      </c>
      <c r="AM45" s="64" t="s">
        <v>733</v>
      </c>
      <c r="AN45" s="64" t="s">
        <v>734</v>
      </c>
      <c r="AO45" s="64" t="s">
        <v>66</v>
      </c>
      <c r="AP45" s="85" t="s">
        <v>735</v>
      </c>
    </row>
    <row r="46" spans="1:42" ht="18.75">
      <c r="A46" s="139">
        <v>45</v>
      </c>
      <c r="B46" s="66" t="s">
        <v>736</v>
      </c>
      <c r="C46" s="66" t="s">
        <v>649</v>
      </c>
      <c r="D46" s="86" t="s">
        <v>147</v>
      </c>
      <c r="E46" s="66" t="s">
        <v>650</v>
      </c>
      <c r="F46" s="66" t="s">
        <v>148</v>
      </c>
      <c r="G46" s="66" t="s">
        <v>45</v>
      </c>
      <c r="H46" s="66" t="s">
        <v>46</v>
      </c>
      <c r="I46" s="71">
        <v>21</v>
      </c>
      <c r="J4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6" s="71" t="s">
        <v>95</v>
      </c>
      <c r="L46" s="71" t="str">
        <f>IF(Table1[[#This Row],[LAST]]="","Unfilled","Filled")</f>
        <v>Filled</v>
      </c>
      <c r="M46" s="63" t="s">
        <v>737</v>
      </c>
      <c r="N46" s="63" t="s">
        <v>738</v>
      </c>
      <c r="O46" s="63" t="s">
        <v>739</v>
      </c>
      <c r="Q46" s="64">
        <v>33534</v>
      </c>
      <c r="R46" s="64">
        <v>45370</v>
      </c>
      <c r="S46" s="64">
        <v>45370</v>
      </c>
      <c r="T46" s="64">
        <v>45370</v>
      </c>
      <c r="U46" s="64" t="s">
        <v>76</v>
      </c>
      <c r="V46" s="66" t="s">
        <v>77</v>
      </c>
      <c r="W46" s="66">
        <f t="shared" ca="1" si="1"/>
        <v>34</v>
      </c>
      <c r="X46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6" s="64" t="s">
        <v>154</v>
      </c>
      <c r="Z46" s="65" t="s">
        <v>740</v>
      </c>
      <c r="AA46" s="156" t="s">
        <v>741</v>
      </c>
      <c r="AB46" s="64" t="s">
        <v>219</v>
      </c>
      <c r="AC46" s="65" t="s">
        <v>57</v>
      </c>
      <c r="AD46" s="65" t="s">
        <v>742</v>
      </c>
      <c r="AE46" s="64" t="s">
        <v>58</v>
      </c>
      <c r="AF46" s="64" t="s">
        <v>59</v>
      </c>
      <c r="AG46" s="64" t="s">
        <v>60</v>
      </c>
      <c r="AH46" s="64" t="s">
        <v>743</v>
      </c>
      <c r="AI46" s="64">
        <v>46318</v>
      </c>
      <c r="AJ46" s="65" t="s">
        <v>744</v>
      </c>
      <c r="AK46" s="64" t="s">
        <v>745</v>
      </c>
      <c r="AL46" s="64" t="s">
        <v>746</v>
      </c>
      <c r="AM46" s="64" t="s">
        <v>747</v>
      </c>
      <c r="AN46" s="64" t="s">
        <v>748</v>
      </c>
      <c r="AO46" s="64" t="s">
        <v>749</v>
      </c>
      <c r="AP46" s="85" t="s">
        <v>750</v>
      </c>
    </row>
    <row r="47" spans="1:42" ht="18.75">
      <c r="A47" s="139">
        <v>46</v>
      </c>
      <c r="B47" s="66" t="s">
        <v>751</v>
      </c>
      <c r="C47" s="66" t="s">
        <v>752</v>
      </c>
      <c r="D47" s="66" t="s">
        <v>113</v>
      </c>
      <c r="E47" s="66" t="s">
        <v>650</v>
      </c>
      <c r="F47" s="66" t="s">
        <v>114</v>
      </c>
      <c r="G47" s="66" t="s">
        <v>45</v>
      </c>
      <c r="H47" s="66" t="s">
        <v>46</v>
      </c>
      <c r="I47" s="71">
        <v>21</v>
      </c>
      <c r="J4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7" s="71" t="s">
        <v>95</v>
      </c>
      <c r="L47" s="71" t="str">
        <f>IF(Table1[[#This Row],[LAST]]="","Unfilled","Filled")</f>
        <v>Filled</v>
      </c>
      <c r="M47" s="63" t="s">
        <v>753</v>
      </c>
      <c r="N47" s="63" t="s">
        <v>754</v>
      </c>
      <c r="O47" s="63" t="s">
        <v>755</v>
      </c>
      <c r="P47" s="63"/>
      <c r="Q47" s="64">
        <v>28446</v>
      </c>
      <c r="R47" s="64">
        <v>45090</v>
      </c>
      <c r="S47" s="64">
        <v>45090</v>
      </c>
      <c r="T47" s="64">
        <v>45090</v>
      </c>
      <c r="U47" s="64" t="s">
        <v>51</v>
      </c>
      <c r="V47" s="66" t="s">
        <v>52</v>
      </c>
      <c r="W47" s="66">
        <f t="shared" ca="1" si="1"/>
        <v>48</v>
      </c>
      <c r="X47" s="64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7" s="64" t="s">
        <v>391</v>
      </c>
      <c r="Z47" s="65" t="s">
        <v>756</v>
      </c>
      <c r="AA47" s="64" t="s">
        <v>728</v>
      </c>
      <c r="AB47" s="64" t="s">
        <v>190</v>
      </c>
      <c r="AC47" s="65" t="s">
        <v>103</v>
      </c>
      <c r="AD47" s="65">
        <v>4102</v>
      </c>
      <c r="AE47" s="64" t="s">
        <v>58</v>
      </c>
      <c r="AF47" s="64" t="s">
        <v>59</v>
      </c>
      <c r="AG47" s="64" t="s">
        <v>60</v>
      </c>
      <c r="AH47" s="64" t="s">
        <v>757</v>
      </c>
      <c r="AI47" s="64">
        <v>46708</v>
      </c>
      <c r="AJ47" s="65">
        <v>2003918876</v>
      </c>
      <c r="AK47" s="64" t="s">
        <v>758</v>
      </c>
      <c r="AL47" s="64" t="s">
        <v>759</v>
      </c>
      <c r="AM47" s="64" t="s">
        <v>760</v>
      </c>
      <c r="AN47" s="64" t="s">
        <v>761</v>
      </c>
      <c r="AO47" s="64" t="s">
        <v>762</v>
      </c>
      <c r="AP47" s="64" t="s">
        <v>763</v>
      </c>
    </row>
    <row r="48" spans="1:42" ht="18.75">
      <c r="A48" s="139">
        <v>47</v>
      </c>
      <c r="B48" s="66" t="s">
        <v>764</v>
      </c>
      <c r="C48" s="66" t="s">
        <v>649</v>
      </c>
      <c r="D48" s="66" t="s">
        <v>147</v>
      </c>
      <c r="E48" s="66" t="s">
        <v>650</v>
      </c>
      <c r="F48" s="66" t="s">
        <v>148</v>
      </c>
      <c r="G48" s="66" t="s">
        <v>45</v>
      </c>
      <c r="H48" s="66" t="s">
        <v>46</v>
      </c>
      <c r="I48" s="71">
        <v>21</v>
      </c>
      <c r="J4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8" s="71" t="s">
        <v>95</v>
      </c>
      <c r="L48" s="71" t="str">
        <f>IF(Table1[[#This Row],[LAST]]="","Unfilled","Filled")</f>
        <v>Filled</v>
      </c>
      <c r="M48" s="63" t="s">
        <v>765</v>
      </c>
      <c r="N48" s="63" t="s">
        <v>766</v>
      </c>
      <c r="O48" s="63" t="s">
        <v>767</v>
      </c>
      <c r="P48" s="63"/>
      <c r="Q48" s="64">
        <v>30977</v>
      </c>
      <c r="R48" s="64">
        <v>44960</v>
      </c>
      <c r="S48" s="64">
        <v>44960</v>
      </c>
      <c r="T48" s="64">
        <v>44960</v>
      </c>
      <c r="U48" s="64" t="s">
        <v>76</v>
      </c>
      <c r="V48" s="64" t="s">
        <v>77</v>
      </c>
      <c r="W48" s="66">
        <f t="shared" ca="1" si="1"/>
        <v>41</v>
      </c>
      <c r="X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48" s="64" t="s">
        <v>56</v>
      </c>
      <c r="Z48" s="64" t="s">
        <v>768</v>
      </c>
      <c r="AA48" s="65" t="s">
        <v>189</v>
      </c>
      <c r="AB48" s="64" t="s">
        <v>190</v>
      </c>
      <c r="AC48" s="64" t="s">
        <v>103</v>
      </c>
      <c r="AD48" s="65">
        <v>4102</v>
      </c>
      <c r="AE48" s="64" t="s">
        <v>58</v>
      </c>
      <c r="AF48" s="64" t="s">
        <v>59</v>
      </c>
      <c r="AG48" s="64" t="s">
        <v>60</v>
      </c>
      <c r="AH48" s="64" t="s">
        <v>769</v>
      </c>
      <c r="AI48" s="64">
        <v>45932</v>
      </c>
      <c r="AJ48" s="65" t="s">
        <v>770</v>
      </c>
      <c r="AK48" s="64" t="s">
        <v>771</v>
      </c>
      <c r="AL48" s="64" t="s">
        <v>772</v>
      </c>
      <c r="AM48" s="64" t="s">
        <v>773</v>
      </c>
      <c r="AN48" s="64" t="s">
        <v>774</v>
      </c>
      <c r="AO48" s="64" t="s">
        <v>66</v>
      </c>
      <c r="AP48" s="64" t="s">
        <v>775</v>
      </c>
    </row>
    <row r="49" spans="1:43" ht="18.75">
      <c r="A49" s="139">
        <v>48</v>
      </c>
      <c r="B49" s="66" t="s">
        <v>776</v>
      </c>
      <c r="C49" s="66" t="s">
        <v>665</v>
      </c>
      <c r="D49" s="86" t="s">
        <v>183</v>
      </c>
      <c r="E49" s="66" t="s">
        <v>650</v>
      </c>
      <c r="F49" s="66" t="s">
        <v>184</v>
      </c>
      <c r="G49" s="66" t="s">
        <v>45</v>
      </c>
      <c r="H49" s="66" t="s">
        <v>46</v>
      </c>
      <c r="I49" s="71">
        <v>21</v>
      </c>
      <c r="J4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49" s="71" t="s">
        <v>95</v>
      </c>
      <c r="L49" s="71" t="str">
        <f>IF(Table1[[#This Row],[LAST]]="","Unfilled","Filled")</f>
        <v>Filled</v>
      </c>
      <c r="M49" s="63" t="s">
        <v>777</v>
      </c>
      <c r="N49" s="63" t="s">
        <v>778</v>
      </c>
      <c r="O49" s="63" t="s">
        <v>779</v>
      </c>
      <c r="P49" s="63"/>
      <c r="Q49" s="64">
        <v>32003</v>
      </c>
      <c r="R49" s="64">
        <v>45446</v>
      </c>
      <c r="S49" s="64">
        <v>45446</v>
      </c>
      <c r="T49" s="64">
        <v>45446</v>
      </c>
      <c r="U49" s="64" t="s">
        <v>51</v>
      </c>
      <c r="V49" s="64" t="s">
        <v>77</v>
      </c>
      <c r="W49" s="66">
        <f t="shared" ca="1" si="1"/>
        <v>39</v>
      </c>
      <c r="X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49" s="64" t="s">
        <v>154</v>
      </c>
      <c r="Z49" s="64" t="s">
        <v>780</v>
      </c>
      <c r="AA49" s="65" t="s">
        <v>781</v>
      </c>
      <c r="AB49" s="64" t="s">
        <v>81</v>
      </c>
      <c r="AC49" s="64" t="s">
        <v>57</v>
      </c>
      <c r="AD49" s="65" t="s">
        <v>782</v>
      </c>
      <c r="AE49" s="64" t="s">
        <v>58</v>
      </c>
      <c r="AF49" s="64" t="s">
        <v>59</v>
      </c>
      <c r="AG49" s="64" t="s">
        <v>60</v>
      </c>
      <c r="AH49" s="156" t="s">
        <v>783</v>
      </c>
      <c r="AI49" s="64">
        <v>45883</v>
      </c>
      <c r="AJ49" s="65" t="s">
        <v>784</v>
      </c>
      <c r="AK49" s="64" t="s">
        <v>785</v>
      </c>
      <c r="AL49" s="64" t="s">
        <v>786</v>
      </c>
      <c r="AM49" s="64" t="s">
        <v>787</v>
      </c>
      <c r="AN49" s="64" t="s">
        <v>788</v>
      </c>
      <c r="AO49" s="64" t="s">
        <v>66</v>
      </c>
      <c r="AP49" s="85" t="s">
        <v>789</v>
      </c>
    </row>
    <row r="50" spans="1:43" ht="18.75">
      <c r="A50" s="139">
        <v>49</v>
      </c>
      <c r="B50" s="66" t="s">
        <v>790</v>
      </c>
      <c r="C50" s="66" t="s">
        <v>665</v>
      </c>
      <c r="D50" s="66" t="s">
        <v>183</v>
      </c>
      <c r="E50" s="66" t="s">
        <v>650</v>
      </c>
      <c r="F50" s="66" t="s">
        <v>184</v>
      </c>
      <c r="G50" s="66" t="s">
        <v>45</v>
      </c>
      <c r="H50" s="66" t="s">
        <v>46</v>
      </c>
      <c r="I50" s="71">
        <v>21</v>
      </c>
      <c r="J5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0" s="71" t="s">
        <v>95</v>
      </c>
      <c r="L50" s="71" t="str">
        <f>IF(Table1[[#This Row],[LAST]]="","Unfilled","Filled")</f>
        <v>Filled</v>
      </c>
      <c r="M50" s="63" t="s">
        <v>791</v>
      </c>
      <c r="N50" s="63" t="s">
        <v>792</v>
      </c>
      <c r="O50" s="63" t="s">
        <v>793</v>
      </c>
      <c r="P50" s="63"/>
      <c r="Q50" s="64">
        <v>29969</v>
      </c>
      <c r="R50" s="64">
        <v>45153</v>
      </c>
      <c r="S50" s="64">
        <v>45153</v>
      </c>
      <c r="T50" s="64">
        <v>45153</v>
      </c>
      <c r="U50" s="64" t="s">
        <v>76</v>
      </c>
      <c r="V50" s="64" t="s">
        <v>77</v>
      </c>
      <c r="W50" s="66">
        <f t="shared" ca="1" si="1"/>
        <v>44</v>
      </c>
      <c r="X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50" s="64" t="s">
        <v>284</v>
      </c>
      <c r="Z50" s="64" t="s">
        <v>794</v>
      </c>
      <c r="AA50" s="65" t="s">
        <v>795</v>
      </c>
      <c r="AB50" s="64" t="s">
        <v>580</v>
      </c>
      <c r="AC50" s="64" t="s">
        <v>103</v>
      </c>
      <c r="AD50" s="65">
        <v>4105</v>
      </c>
      <c r="AE50" s="64" t="s">
        <v>58</v>
      </c>
      <c r="AF50" s="64" t="s">
        <v>59</v>
      </c>
      <c r="AG50" s="64" t="s">
        <v>60</v>
      </c>
      <c r="AH50" s="64" t="s">
        <v>796</v>
      </c>
      <c r="AI50" s="64">
        <v>45675</v>
      </c>
      <c r="AJ50" s="65">
        <v>2004319990</v>
      </c>
      <c r="AK50" s="64" t="s">
        <v>797</v>
      </c>
      <c r="AL50" s="64" t="s">
        <v>798</v>
      </c>
      <c r="AM50" s="64" t="s">
        <v>799</v>
      </c>
      <c r="AN50" s="64" t="s">
        <v>800</v>
      </c>
      <c r="AO50" s="64" t="s">
        <v>66</v>
      </c>
      <c r="AP50" s="64" t="s">
        <v>801</v>
      </c>
      <c r="AQ50" t="s">
        <v>802</v>
      </c>
    </row>
    <row r="51" spans="1:43" ht="18.75">
      <c r="A51" s="139">
        <v>50</v>
      </c>
      <c r="B51" s="66" t="s">
        <v>803</v>
      </c>
      <c r="C51" s="66" t="s">
        <v>804</v>
      </c>
      <c r="D51" s="86" t="s">
        <v>70</v>
      </c>
      <c r="E51" s="66" t="s">
        <v>650</v>
      </c>
      <c r="F51" s="66" t="s">
        <v>248</v>
      </c>
      <c r="G51" s="66" t="s">
        <v>45</v>
      </c>
      <c r="H51" s="66" t="s">
        <v>46</v>
      </c>
      <c r="I51" s="71">
        <v>21</v>
      </c>
      <c r="J5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1" s="71" t="s">
        <v>95</v>
      </c>
      <c r="L51" s="71" t="str">
        <f>IF(Table1[[#This Row],[LAST]]="","Unfilled","Filled")</f>
        <v>Filled</v>
      </c>
      <c r="M51" s="63" t="s">
        <v>805</v>
      </c>
      <c r="N51" s="63" t="s">
        <v>806</v>
      </c>
      <c r="O51" s="63" t="s">
        <v>807</v>
      </c>
      <c r="P51" s="63"/>
      <c r="Q51" s="64">
        <v>33270</v>
      </c>
      <c r="R51" s="64">
        <v>45446</v>
      </c>
      <c r="S51" s="64">
        <v>45446</v>
      </c>
      <c r="T51" s="64">
        <v>45446</v>
      </c>
      <c r="U51" s="64" t="s">
        <v>51</v>
      </c>
      <c r="V51" s="64" t="s">
        <v>77</v>
      </c>
      <c r="W51" s="66">
        <f t="shared" ca="1" si="1"/>
        <v>35</v>
      </c>
      <c r="X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1" s="64" t="s">
        <v>56</v>
      </c>
      <c r="Z51" s="64" t="s">
        <v>808</v>
      </c>
      <c r="AA51" s="65" t="s">
        <v>809</v>
      </c>
      <c r="AB51" s="64" t="s">
        <v>56</v>
      </c>
      <c r="AC51" s="64" t="s">
        <v>57</v>
      </c>
      <c r="AD51" s="65" t="s">
        <v>810</v>
      </c>
      <c r="AE51" s="64" t="s">
        <v>58</v>
      </c>
      <c r="AF51" s="64" t="s">
        <v>59</v>
      </c>
      <c r="AG51" s="64" t="s">
        <v>60</v>
      </c>
      <c r="AH51" s="156" t="s">
        <v>811</v>
      </c>
      <c r="AI51" s="64">
        <v>46054</v>
      </c>
      <c r="AJ51" s="65" t="s">
        <v>812</v>
      </c>
      <c r="AK51" s="64" t="s">
        <v>813</v>
      </c>
      <c r="AL51" s="64" t="s">
        <v>814</v>
      </c>
      <c r="AM51" s="64" t="s">
        <v>815</v>
      </c>
      <c r="AN51" s="64" t="s">
        <v>816</v>
      </c>
      <c r="AO51" s="64" t="s">
        <v>66</v>
      </c>
      <c r="AP51" s="85" t="s">
        <v>817</v>
      </c>
    </row>
    <row r="52" spans="1:43" ht="18.75">
      <c r="A52" s="139">
        <v>51</v>
      </c>
      <c r="B52" s="143" t="s">
        <v>818</v>
      </c>
      <c r="C52" s="66" t="s">
        <v>693</v>
      </c>
      <c r="D52" s="144" t="s">
        <v>131</v>
      </c>
      <c r="E52" s="143" t="s">
        <v>650</v>
      </c>
      <c r="F52" s="143" t="s">
        <v>132</v>
      </c>
      <c r="G52" s="143" t="s">
        <v>45</v>
      </c>
      <c r="H52" s="143" t="s">
        <v>46</v>
      </c>
      <c r="I52" s="145">
        <v>21</v>
      </c>
      <c r="J5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2" s="71" t="s">
        <v>95</v>
      </c>
      <c r="L52" s="145" t="str">
        <f>IF(Table1[[#This Row],[LAST]]="","Unfilled","Filled")</f>
        <v>Filled</v>
      </c>
      <c r="M52" s="146" t="s">
        <v>819</v>
      </c>
      <c r="N52" s="146" t="s">
        <v>820</v>
      </c>
      <c r="O52" s="146" t="s">
        <v>821</v>
      </c>
      <c r="P52" s="146"/>
      <c r="Q52" s="147">
        <v>32964</v>
      </c>
      <c r="R52" s="147">
        <v>44960</v>
      </c>
      <c r="S52" s="147">
        <v>44960</v>
      </c>
      <c r="T52" s="147">
        <v>44960</v>
      </c>
      <c r="U52" s="147" t="s">
        <v>76</v>
      </c>
      <c r="V52" s="147" t="s">
        <v>77</v>
      </c>
      <c r="W52" s="143">
        <f t="shared" ca="1" si="1"/>
        <v>36</v>
      </c>
      <c r="X52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2" s="147" t="s">
        <v>822</v>
      </c>
      <c r="Z52" s="147" t="s">
        <v>823</v>
      </c>
      <c r="AA52" s="148" t="s">
        <v>254</v>
      </c>
      <c r="AB52" s="147" t="s">
        <v>81</v>
      </c>
      <c r="AC52" s="147" t="s">
        <v>103</v>
      </c>
      <c r="AD52" s="148">
        <v>1740</v>
      </c>
      <c r="AE52" s="147" t="s">
        <v>58</v>
      </c>
      <c r="AF52" s="147" t="s">
        <v>59</v>
      </c>
      <c r="AG52" s="64" t="s">
        <v>60</v>
      </c>
      <c r="AH52" s="147" t="s">
        <v>824</v>
      </c>
      <c r="AI52" s="147">
        <v>46026</v>
      </c>
      <c r="AJ52" s="148">
        <v>2005438480</v>
      </c>
      <c r="AK52" s="147" t="s">
        <v>825</v>
      </c>
      <c r="AL52" s="147" t="s">
        <v>826</v>
      </c>
      <c r="AM52" s="147" t="s">
        <v>827</v>
      </c>
      <c r="AN52" s="147" t="s">
        <v>828</v>
      </c>
      <c r="AO52" s="147" t="s">
        <v>829</v>
      </c>
      <c r="AP52" s="147" t="s">
        <v>830</v>
      </c>
    </row>
    <row r="53" spans="1:43" ht="18.75">
      <c r="A53" s="139">
        <v>52</v>
      </c>
      <c r="B53" s="66" t="s">
        <v>831</v>
      </c>
      <c r="C53" s="66" t="s">
        <v>752</v>
      </c>
      <c r="D53" s="66" t="s">
        <v>113</v>
      </c>
      <c r="E53" s="66" t="s">
        <v>650</v>
      </c>
      <c r="F53" s="66" t="s">
        <v>114</v>
      </c>
      <c r="G53" s="66" t="s">
        <v>45</v>
      </c>
      <c r="H53" s="66" t="s">
        <v>46</v>
      </c>
      <c r="I53" s="71">
        <v>21</v>
      </c>
      <c r="J5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3" s="71" t="s">
        <v>95</v>
      </c>
      <c r="L53" s="71" t="str">
        <f>IF(Table1[[#This Row],[LAST]]="","Unfilled","Filled")</f>
        <v>Filled</v>
      </c>
      <c r="M53" s="63" t="s">
        <v>739</v>
      </c>
      <c r="N53" s="63" t="s">
        <v>832</v>
      </c>
      <c r="O53" s="63" t="s">
        <v>833</v>
      </c>
      <c r="P53" s="63"/>
      <c r="Q53" s="64">
        <v>32916</v>
      </c>
      <c r="R53" s="64">
        <v>45313</v>
      </c>
      <c r="S53" s="64">
        <v>45313</v>
      </c>
      <c r="T53" s="64">
        <v>45313</v>
      </c>
      <c r="U53" s="64" t="s">
        <v>51</v>
      </c>
      <c r="V53" s="64" t="s">
        <v>52</v>
      </c>
      <c r="W53" s="66">
        <f t="shared" ca="1" si="1"/>
        <v>36</v>
      </c>
      <c r="X5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3" s="64" t="s">
        <v>154</v>
      </c>
      <c r="Z53" s="64" t="s">
        <v>834</v>
      </c>
      <c r="AA53" s="65" t="s">
        <v>655</v>
      </c>
      <c r="AB53" s="64" t="s">
        <v>190</v>
      </c>
      <c r="AC53" s="64" t="s">
        <v>103</v>
      </c>
      <c r="AD53" s="65" t="s">
        <v>656</v>
      </c>
      <c r="AE53" s="64" t="s">
        <v>58</v>
      </c>
      <c r="AF53" s="64" t="s">
        <v>59</v>
      </c>
      <c r="AG53" s="64" t="s">
        <v>60</v>
      </c>
      <c r="AH53" s="156" t="s">
        <v>835</v>
      </c>
      <c r="AI53" s="64">
        <v>46065</v>
      </c>
      <c r="AJ53" s="65" t="s">
        <v>836</v>
      </c>
      <c r="AK53" s="64" t="s">
        <v>837</v>
      </c>
      <c r="AL53" s="64" t="s">
        <v>838</v>
      </c>
      <c r="AM53" s="64" t="s">
        <v>839</v>
      </c>
      <c r="AN53" s="64" t="s">
        <v>840</v>
      </c>
      <c r="AO53" s="64" t="s">
        <v>841</v>
      </c>
      <c r="AP53" s="85" t="s">
        <v>842</v>
      </c>
    </row>
    <row r="54" spans="1:43" ht="18.75">
      <c r="A54" s="139">
        <v>53</v>
      </c>
      <c r="B54" s="66" t="s">
        <v>843</v>
      </c>
      <c r="C54" s="66" t="s">
        <v>723</v>
      </c>
      <c r="D54" s="66" t="s">
        <v>92</v>
      </c>
      <c r="E54" s="66" t="s">
        <v>650</v>
      </c>
      <c r="F54" s="66" t="s">
        <v>94</v>
      </c>
      <c r="G54" s="66" t="s">
        <v>45</v>
      </c>
      <c r="H54" s="66" t="s">
        <v>46</v>
      </c>
      <c r="I54" s="71">
        <v>21</v>
      </c>
      <c r="J5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4" s="71" t="s">
        <v>95</v>
      </c>
      <c r="L54" s="71" t="str">
        <f>IF(Table1[[#This Row],[LAST]]="","Unfilled","Filled")</f>
        <v>Filled</v>
      </c>
      <c r="M54" s="63" t="s">
        <v>844</v>
      </c>
      <c r="N54" s="63" t="s">
        <v>845</v>
      </c>
      <c r="O54" s="63" t="s">
        <v>846</v>
      </c>
      <c r="P54" s="63"/>
      <c r="Q54" s="64">
        <v>33425</v>
      </c>
      <c r="R54" s="64">
        <v>45839</v>
      </c>
      <c r="S54" s="64">
        <v>45839</v>
      </c>
      <c r="T54" s="64">
        <v>45839</v>
      </c>
      <c r="U54" s="64" t="s">
        <v>76</v>
      </c>
      <c r="V54" s="64" t="s">
        <v>52</v>
      </c>
      <c r="W54" s="66">
        <f t="shared" ca="1" si="1"/>
        <v>35</v>
      </c>
      <c r="X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4" s="64" t="s">
        <v>121</v>
      </c>
      <c r="Z54" s="156" t="s">
        <v>847</v>
      </c>
      <c r="AA54" s="65" t="s">
        <v>848</v>
      </c>
      <c r="AB54" s="64" t="s">
        <v>523</v>
      </c>
      <c r="AC54" s="64" t="s">
        <v>103</v>
      </c>
      <c r="AD54" s="65" t="s">
        <v>524</v>
      </c>
      <c r="AE54" s="64" t="s">
        <v>58</v>
      </c>
      <c r="AF54" s="64" t="s">
        <v>59</v>
      </c>
      <c r="AG54" s="64" t="s">
        <v>60</v>
      </c>
      <c r="AH54" s="156" t="s">
        <v>849</v>
      </c>
      <c r="AI54" s="64">
        <v>46911</v>
      </c>
      <c r="AJ54" s="65" t="s">
        <v>850</v>
      </c>
      <c r="AK54" s="64" t="s">
        <v>851</v>
      </c>
      <c r="AL54" s="64" t="s">
        <v>852</v>
      </c>
      <c r="AM54" s="64" t="s">
        <v>853</v>
      </c>
      <c r="AN54" s="64" t="s">
        <v>854</v>
      </c>
      <c r="AO54" s="64" t="s">
        <v>855</v>
      </c>
      <c r="AP54" s="85" t="s">
        <v>856</v>
      </c>
    </row>
    <row r="55" spans="1:43" ht="18.75">
      <c r="A55" s="139">
        <v>54</v>
      </c>
      <c r="B55" s="66" t="s">
        <v>857</v>
      </c>
      <c r="C55" s="66" t="s">
        <v>649</v>
      </c>
      <c r="D55" s="66" t="s">
        <v>147</v>
      </c>
      <c r="E55" s="66" t="s">
        <v>650</v>
      </c>
      <c r="F55" s="66" t="s">
        <v>148</v>
      </c>
      <c r="G55" s="66" t="s">
        <v>45</v>
      </c>
      <c r="H55" s="66" t="s">
        <v>46</v>
      </c>
      <c r="I55" s="71">
        <v>21</v>
      </c>
      <c r="J5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73303</v>
      </c>
      <c r="K55" s="71" t="s">
        <v>95</v>
      </c>
      <c r="L55" s="71" t="str">
        <f>IF(Table1[[#This Row],[LAST]]="","Unfilled","Filled")</f>
        <v>Filled</v>
      </c>
      <c r="M55" s="63" t="s">
        <v>858</v>
      </c>
      <c r="N55" s="63" t="s">
        <v>859</v>
      </c>
      <c r="O55" s="63" t="s">
        <v>860</v>
      </c>
      <c r="P55" s="63"/>
      <c r="Q55" s="64">
        <v>33461</v>
      </c>
      <c r="R55" s="64">
        <v>45097</v>
      </c>
      <c r="S55" s="64">
        <v>45097</v>
      </c>
      <c r="T55" s="64">
        <v>45097</v>
      </c>
      <c r="U55" s="64" t="s">
        <v>76</v>
      </c>
      <c r="V55" s="64" t="s">
        <v>77</v>
      </c>
      <c r="W55" s="66">
        <f t="shared" ca="1" si="1"/>
        <v>35</v>
      </c>
      <c r="X5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5" s="64" t="s">
        <v>154</v>
      </c>
      <c r="Z55" s="64" t="s">
        <v>861</v>
      </c>
      <c r="AA55" s="65" t="s">
        <v>862</v>
      </c>
      <c r="AB55" s="64" t="s">
        <v>81</v>
      </c>
      <c r="AC55" s="64" t="s">
        <v>57</v>
      </c>
      <c r="AD55" s="65">
        <v>1750</v>
      </c>
      <c r="AE55" s="64" t="s">
        <v>58</v>
      </c>
      <c r="AF55" s="64" t="s">
        <v>59</v>
      </c>
      <c r="AG55" s="64" t="s">
        <v>60</v>
      </c>
      <c r="AH55" s="64" t="s">
        <v>863</v>
      </c>
      <c r="AI55" s="64">
        <v>46699</v>
      </c>
      <c r="AJ55" s="65" t="s">
        <v>864</v>
      </c>
      <c r="AK55" s="64" t="s">
        <v>865</v>
      </c>
      <c r="AL55" s="64" t="s">
        <v>866</v>
      </c>
      <c r="AM55" s="64" t="s">
        <v>867</v>
      </c>
      <c r="AN55" s="64" t="s">
        <v>868</v>
      </c>
      <c r="AO55" s="64" t="s">
        <v>66</v>
      </c>
      <c r="AP55" s="64" t="s">
        <v>869</v>
      </c>
    </row>
    <row r="56" spans="1:43" ht="18.75">
      <c r="A56" s="139">
        <v>55</v>
      </c>
      <c r="B56" s="66" t="s">
        <v>870</v>
      </c>
      <c r="C56" s="66" t="s">
        <v>871</v>
      </c>
      <c r="D56" s="66"/>
      <c r="E56" s="66" t="s">
        <v>871</v>
      </c>
      <c r="F56" s="66" t="s">
        <v>610</v>
      </c>
      <c r="G56" s="66" t="s">
        <v>611</v>
      </c>
      <c r="H56" s="66" t="s">
        <v>612</v>
      </c>
      <c r="I56" s="71">
        <v>20</v>
      </c>
      <c r="J5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66052</v>
      </c>
      <c r="K56" s="71" t="s">
        <v>95</v>
      </c>
      <c r="L56" s="71" t="str">
        <f>IF(Table1[[#This Row],[LAST]]="","Unfilled","Filled")</f>
        <v>Filled</v>
      </c>
      <c r="M56" s="66" t="s">
        <v>872</v>
      </c>
      <c r="N56" s="66" t="s">
        <v>873</v>
      </c>
      <c r="O56" s="66" t="s">
        <v>874</v>
      </c>
      <c r="P56" s="63"/>
      <c r="Q56" s="64">
        <v>25504</v>
      </c>
      <c r="R56" s="64">
        <v>34715</v>
      </c>
      <c r="S56" s="64">
        <v>44363</v>
      </c>
      <c r="T56" s="64">
        <v>45124</v>
      </c>
      <c r="U56" s="64" t="s">
        <v>51</v>
      </c>
      <c r="V56" s="64" t="s">
        <v>77</v>
      </c>
      <c r="W56" s="66">
        <f t="shared" ca="1" si="1"/>
        <v>56</v>
      </c>
      <c r="X5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56" s="64" t="s">
        <v>121</v>
      </c>
      <c r="Z56" s="64" t="s">
        <v>875</v>
      </c>
      <c r="AA56" s="65" t="s">
        <v>876</v>
      </c>
      <c r="AB56" s="64" t="s">
        <v>121</v>
      </c>
      <c r="AC56" s="64" t="s">
        <v>103</v>
      </c>
      <c r="AD56" s="65">
        <v>4100</v>
      </c>
      <c r="AE56" s="64" t="s">
        <v>619</v>
      </c>
      <c r="AF56" s="64" t="s">
        <v>620</v>
      </c>
      <c r="AG56" s="64" t="s">
        <v>60</v>
      </c>
      <c r="AH56" s="64" t="s">
        <v>877</v>
      </c>
      <c r="AI56" s="64">
        <v>46323</v>
      </c>
      <c r="AJ56" s="65" t="s">
        <v>878</v>
      </c>
      <c r="AK56" s="64" t="s">
        <v>879</v>
      </c>
      <c r="AL56" s="64" t="s">
        <v>880</v>
      </c>
      <c r="AM56" s="64" t="s">
        <v>881</v>
      </c>
      <c r="AN56" s="64" t="s">
        <v>882</v>
      </c>
      <c r="AO56" s="64" t="s">
        <v>883</v>
      </c>
      <c r="AP56" s="64" t="s">
        <v>884</v>
      </c>
    </row>
    <row r="57" spans="1:43" ht="18.75">
      <c r="A57" s="139">
        <v>56</v>
      </c>
      <c r="B57" s="66" t="s">
        <v>885</v>
      </c>
      <c r="C57" s="66" t="s">
        <v>886</v>
      </c>
      <c r="D57" s="66"/>
      <c r="E57" s="66" t="s">
        <v>886</v>
      </c>
      <c r="F57" s="66" t="s">
        <v>887</v>
      </c>
      <c r="G57" s="66" t="s">
        <v>888</v>
      </c>
      <c r="H57" s="66" t="s">
        <v>632</v>
      </c>
      <c r="I57" s="71">
        <v>19</v>
      </c>
      <c r="J5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59153</v>
      </c>
      <c r="K57" s="71" t="s">
        <v>95</v>
      </c>
      <c r="L57" s="71" t="str">
        <f>IF(Table1[[#This Row],[LAST]]="","Unfilled","Filled")</f>
        <v>Filled</v>
      </c>
      <c r="M57" s="66" t="s">
        <v>889</v>
      </c>
      <c r="N57" s="66" t="s">
        <v>890</v>
      </c>
      <c r="O57" s="66" t="s">
        <v>891</v>
      </c>
      <c r="P57" s="63"/>
      <c r="Q57" s="64">
        <v>31333</v>
      </c>
      <c r="R57" s="64">
        <v>43462</v>
      </c>
      <c r="S57" s="64">
        <v>44564</v>
      </c>
      <c r="T57" s="64">
        <v>44564</v>
      </c>
      <c r="U57" s="64" t="s">
        <v>51</v>
      </c>
      <c r="V57" s="64" t="s">
        <v>77</v>
      </c>
      <c r="W57" s="66">
        <f t="shared" ca="1" si="1"/>
        <v>40</v>
      </c>
      <c r="X5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57" s="64" t="s">
        <v>892</v>
      </c>
      <c r="Z57" s="64" t="s">
        <v>893</v>
      </c>
      <c r="AA57" s="65" t="s">
        <v>894</v>
      </c>
      <c r="AB57" s="64" t="s">
        <v>237</v>
      </c>
      <c r="AC57" s="64" t="s">
        <v>103</v>
      </c>
      <c r="AD57" s="65">
        <v>4107</v>
      </c>
      <c r="AE57" s="64" t="s">
        <v>619</v>
      </c>
      <c r="AF57" s="64" t="s">
        <v>895</v>
      </c>
      <c r="AG57" s="64" t="s">
        <v>60</v>
      </c>
      <c r="AH57" s="64" t="s">
        <v>896</v>
      </c>
      <c r="AI57" s="64">
        <v>46308</v>
      </c>
      <c r="AJ57" s="65" t="s">
        <v>897</v>
      </c>
      <c r="AK57" s="64" t="s">
        <v>898</v>
      </c>
      <c r="AL57" s="64" t="s">
        <v>899</v>
      </c>
      <c r="AM57" s="64" t="s">
        <v>900</v>
      </c>
      <c r="AN57" s="64" t="s">
        <v>901</v>
      </c>
      <c r="AO57" s="64" t="s">
        <v>66</v>
      </c>
      <c r="AP57" s="64" t="s">
        <v>902</v>
      </c>
    </row>
    <row r="58" spans="1:43" ht="18.75">
      <c r="A58" s="139">
        <v>57</v>
      </c>
      <c r="B58" s="66" t="s">
        <v>903</v>
      </c>
      <c r="C58" s="66" t="s">
        <v>904</v>
      </c>
      <c r="D58" s="66"/>
      <c r="E58" s="66" t="s">
        <v>904</v>
      </c>
      <c r="F58" s="66" t="s">
        <v>905</v>
      </c>
      <c r="G58" s="66" t="s">
        <v>906</v>
      </c>
      <c r="H58" s="66" t="s">
        <v>632</v>
      </c>
      <c r="I58" s="71">
        <v>19</v>
      </c>
      <c r="J5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59153</v>
      </c>
      <c r="K58" s="71" t="s">
        <v>95</v>
      </c>
      <c r="L58" s="71" t="str">
        <f>IF(Table1[[#This Row],[LAST]]="","Unfilled","Filled")</f>
        <v>Filled</v>
      </c>
      <c r="M58" s="66" t="s">
        <v>907</v>
      </c>
      <c r="N58" s="66" t="s">
        <v>908</v>
      </c>
      <c r="O58" s="66" t="s">
        <v>909</v>
      </c>
      <c r="P58" s="63"/>
      <c r="Q58" s="64">
        <v>34478</v>
      </c>
      <c r="R58" s="64">
        <v>44319</v>
      </c>
      <c r="S58" s="64">
        <v>44319</v>
      </c>
      <c r="T58" s="64">
        <v>44319</v>
      </c>
      <c r="U58" s="64" t="s">
        <v>76</v>
      </c>
      <c r="V58" s="64" t="s">
        <v>52</v>
      </c>
      <c r="W58" s="66">
        <f t="shared" ca="1" si="1"/>
        <v>32</v>
      </c>
      <c r="X5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8" s="64" t="s">
        <v>910</v>
      </c>
      <c r="Z58" s="64" t="s">
        <v>911</v>
      </c>
      <c r="AA58" s="65" t="s">
        <v>755</v>
      </c>
      <c r="AB58" s="64" t="s">
        <v>237</v>
      </c>
      <c r="AC58" s="64" t="s">
        <v>103</v>
      </c>
      <c r="AD58" s="65">
        <v>4107</v>
      </c>
      <c r="AE58" s="64" t="s">
        <v>619</v>
      </c>
      <c r="AF58" s="64" t="s">
        <v>912</v>
      </c>
      <c r="AG58" s="64" t="s">
        <v>60</v>
      </c>
      <c r="AH58" s="64" t="s">
        <v>913</v>
      </c>
      <c r="AI58" s="64">
        <v>45801</v>
      </c>
      <c r="AJ58" s="65" t="s">
        <v>914</v>
      </c>
      <c r="AK58" s="64" t="s">
        <v>915</v>
      </c>
      <c r="AL58" s="64" t="s">
        <v>916</v>
      </c>
      <c r="AM58" s="64" t="s">
        <v>917</v>
      </c>
      <c r="AN58" s="64" t="s">
        <v>918</v>
      </c>
      <c r="AO58" s="64" t="s">
        <v>66</v>
      </c>
      <c r="AP58" s="64" t="s">
        <v>919</v>
      </c>
    </row>
    <row r="59" spans="1:43" ht="22.5" customHeight="1">
      <c r="A59" s="139">
        <v>58</v>
      </c>
      <c r="B59" s="66" t="s">
        <v>920</v>
      </c>
      <c r="C59" s="66" t="s">
        <v>921</v>
      </c>
      <c r="D59" s="66"/>
      <c r="E59" s="66" t="s">
        <v>921</v>
      </c>
      <c r="F59" s="66" t="s">
        <v>610</v>
      </c>
      <c r="G59" s="66" t="s">
        <v>611</v>
      </c>
      <c r="H59" s="66" t="s">
        <v>612</v>
      </c>
      <c r="I59" s="71">
        <v>19</v>
      </c>
      <c r="J5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59153</v>
      </c>
      <c r="K59" s="71" t="s">
        <v>95</v>
      </c>
      <c r="L59" s="71" t="str">
        <f>IF(Table1[[#This Row],[LAST]]="","Unfilled","Filled")</f>
        <v>Filled</v>
      </c>
      <c r="M59" s="63" t="s">
        <v>922</v>
      </c>
      <c r="N59" s="66" t="s">
        <v>923</v>
      </c>
      <c r="O59" s="63" t="s">
        <v>924</v>
      </c>
      <c r="P59" s="63"/>
      <c r="Q59" s="64">
        <v>32784</v>
      </c>
      <c r="R59" s="64">
        <v>43466</v>
      </c>
      <c r="S59" s="64">
        <v>44363</v>
      </c>
      <c r="T59" s="64">
        <v>45099</v>
      </c>
      <c r="U59" s="64" t="s">
        <v>51</v>
      </c>
      <c r="V59" s="64" t="s">
        <v>77</v>
      </c>
      <c r="W59" s="66">
        <f t="shared" ca="1" si="1"/>
        <v>36</v>
      </c>
      <c r="X5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59" s="64" t="s">
        <v>377</v>
      </c>
      <c r="Z59" s="64" t="s">
        <v>925</v>
      </c>
      <c r="AA59" s="65" t="s">
        <v>926</v>
      </c>
      <c r="AB59" s="64" t="s">
        <v>190</v>
      </c>
      <c r="AC59" s="64" t="s">
        <v>103</v>
      </c>
      <c r="AD59" s="65">
        <v>4102</v>
      </c>
      <c r="AE59" s="64" t="s">
        <v>639</v>
      </c>
      <c r="AF59" s="64" t="s">
        <v>620</v>
      </c>
      <c r="AG59" s="64" t="s">
        <v>60</v>
      </c>
      <c r="AH59" s="64" t="s">
        <v>927</v>
      </c>
      <c r="AI59" s="64">
        <v>46298</v>
      </c>
      <c r="AJ59" s="65" t="s">
        <v>928</v>
      </c>
      <c r="AK59" s="64" t="s">
        <v>929</v>
      </c>
      <c r="AL59" s="64" t="s">
        <v>930</v>
      </c>
      <c r="AM59" s="64" t="s">
        <v>931</v>
      </c>
      <c r="AN59" s="64" t="s">
        <v>932</v>
      </c>
      <c r="AO59" s="64" t="s">
        <v>933</v>
      </c>
      <c r="AP59" s="64" t="s">
        <v>934</v>
      </c>
    </row>
    <row r="60" spans="1:43" ht="18.75">
      <c r="A60" s="139">
        <v>59</v>
      </c>
      <c r="B60" s="66" t="s">
        <v>935</v>
      </c>
      <c r="C60" s="66" t="s">
        <v>936</v>
      </c>
      <c r="D60" s="66"/>
      <c r="E60" s="66" t="s">
        <v>937</v>
      </c>
      <c r="F60" s="66" t="s">
        <v>938</v>
      </c>
      <c r="G60" s="66" t="s">
        <v>631</v>
      </c>
      <c r="H60" s="66" t="s">
        <v>46</v>
      </c>
      <c r="I60" s="71">
        <v>18</v>
      </c>
      <c r="J6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0" s="71" t="s">
        <v>95</v>
      </c>
      <c r="L60" s="71" t="str">
        <f>IF(Table1[[#This Row],[LAST]]="","Unfilled","Filled")</f>
        <v>Filled</v>
      </c>
      <c r="M60" s="66" t="s">
        <v>939</v>
      </c>
      <c r="N60" s="66" t="s">
        <v>940</v>
      </c>
      <c r="O60" s="66" t="s">
        <v>941</v>
      </c>
      <c r="P60" s="63"/>
      <c r="Q60" s="64">
        <v>25157</v>
      </c>
      <c r="R60" s="64">
        <v>44319</v>
      </c>
      <c r="S60" s="64">
        <v>44350</v>
      </c>
      <c r="T60" s="64">
        <v>45086</v>
      </c>
      <c r="U60" s="64" t="s">
        <v>76</v>
      </c>
      <c r="V60" s="64" t="s">
        <v>77</v>
      </c>
      <c r="W60" s="66">
        <f t="shared" ca="1" si="1"/>
        <v>57</v>
      </c>
      <c r="X6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0" s="64" t="s">
        <v>56</v>
      </c>
      <c r="Z60" s="64" t="s">
        <v>942</v>
      </c>
      <c r="AA60" s="65" t="s">
        <v>943</v>
      </c>
      <c r="AB60" s="64" t="s">
        <v>190</v>
      </c>
      <c r="AC60" s="64" t="s">
        <v>103</v>
      </c>
      <c r="AD60" s="65">
        <v>4102</v>
      </c>
      <c r="AE60" s="64" t="s">
        <v>619</v>
      </c>
      <c r="AF60" s="64" t="s">
        <v>944</v>
      </c>
      <c r="AG60" s="64" t="s">
        <v>641</v>
      </c>
      <c r="AH60" s="64" t="s">
        <v>66</v>
      </c>
      <c r="AI60" s="64" t="s">
        <v>66</v>
      </c>
      <c r="AJ60" s="65" t="s">
        <v>945</v>
      </c>
      <c r="AK60" s="64" t="s">
        <v>946</v>
      </c>
      <c r="AL60" s="64" t="s">
        <v>947</v>
      </c>
      <c r="AM60" s="64" t="s">
        <v>948</v>
      </c>
      <c r="AN60" s="64" t="s">
        <v>949</v>
      </c>
      <c r="AO60" s="64" t="s">
        <v>950</v>
      </c>
      <c r="AP60" s="85" t="s">
        <v>951</v>
      </c>
    </row>
    <row r="61" spans="1:43" ht="18.75">
      <c r="A61" s="139">
        <v>60</v>
      </c>
      <c r="B61" s="66" t="s">
        <v>952</v>
      </c>
      <c r="C61" s="66" t="s">
        <v>953</v>
      </c>
      <c r="D61" s="66"/>
      <c r="E61" s="66" t="s">
        <v>937</v>
      </c>
      <c r="F61" s="66" t="s">
        <v>954</v>
      </c>
      <c r="G61" s="66" t="s">
        <v>631</v>
      </c>
      <c r="H61" s="66" t="s">
        <v>632</v>
      </c>
      <c r="I61" s="71">
        <v>18</v>
      </c>
      <c r="J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1" s="71" t="s">
        <v>95</v>
      </c>
      <c r="L61" s="71" t="str">
        <f>IF(Table1[[#This Row],[LAST]]="","Unfilled","Filled")</f>
        <v>Filled</v>
      </c>
      <c r="M61" s="66" t="s">
        <v>955</v>
      </c>
      <c r="N61" s="66" t="s">
        <v>956</v>
      </c>
      <c r="O61" s="66" t="s">
        <v>957</v>
      </c>
      <c r="P61" s="63"/>
      <c r="Q61" s="64">
        <v>32548</v>
      </c>
      <c r="R61" s="64">
        <v>44460</v>
      </c>
      <c r="S61" s="64">
        <v>44460</v>
      </c>
      <c r="T61" s="64">
        <v>45071</v>
      </c>
      <c r="U61" s="64" t="s">
        <v>51</v>
      </c>
      <c r="V61" s="64" t="s">
        <v>77</v>
      </c>
      <c r="W61" s="66">
        <f t="shared" ca="1" si="1"/>
        <v>37</v>
      </c>
      <c r="X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61" s="64" t="s">
        <v>169</v>
      </c>
      <c r="Z61" s="64" t="s">
        <v>958</v>
      </c>
      <c r="AA61" s="65" t="s">
        <v>254</v>
      </c>
      <c r="AB61" s="64" t="s">
        <v>81</v>
      </c>
      <c r="AC61" s="64" t="s">
        <v>82</v>
      </c>
      <c r="AD61" s="65">
        <v>1740</v>
      </c>
      <c r="AE61" s="64" t="s">
        <v>619</v>
      </c>
      <c r="AF61" s="64" t="s">
        <v>959</v>
      </c>
      <c r="AG61" s="64" t="s">
        <v>641</v>
      </c>
      <c r="AH61" s="64" t="s">
        <v>66</v>
      </c>
      <c r="AI61" s="64" t="s">
        <v>66</v>
      </c>
      <c r="AJ61" s="65" t="s">
        <v>960</v>
      </c>
      <c r="AK61" s="64" t="s">
        <v>961</v>
      </c>
      <c r="AL61" s="64" t="s">
        <v>962</v>
      </c>
      <c r="AM61" s="64" t="s">
        <v>963</v>
      </c>
      <c r="AN61" s="64" t="s">
        <v>964</v>
      </c>
      <c r="AO61" s="64" t="s">
        <v>66</v>
      </c>
      <c r="AP61" s="64" t="s">
        <v>965</v>
      </c>
    </row>
    <row r="62" spans="1:43" ht="18.75">
      <c r="A62" s="139">
        <v>61</v>
      </c>
      <c r="B62" s="66" t="s">
        <v>966</v>
      </c>
      <c r="C62" s="66" t="s">
        <v>967</v>
      </c>
      <c r="D62" s="66"/>
      <c r="E62" s="66" t="s">
        <v>937</v>
      </c>
      <c r="F62" s="66" t="s">
        <v>968</v>
      </c>
      <c r="G62" s="66" t="s">
        <v>631</v>
      </c>
      <c r="H62" s="66" t="s">
        <v>632</v>
      </c>
      <c r="I62" s="71">
        <v>18</v>
      </c>
      <c r="J6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2" s="71" t="s">
        <v>95</v>
      </c>
      <c r="L62" s="71" t="str">
        <f>IF(Table1[[#This Row],[LAST]]="","Unfilled","Filled")</f>
        <v>Filled</v>
      </c>
      <c r="M62" s="66" t="s">
        <v>969</v>
      </c>
      <c r="N62" s="66" t="s">
        <v>970</v>
      </c>
      <c r="O62" s="66" t="s">
        <v>971</v>
      </c>
      <c r="P62" s="63"/>
      <c r="Q62" s="64">
        <v>25442</v>
      </c>
      <c r="R62" s="64">
        <v>35992</v>
      </c>
      <c r="S62" s="64">
        <v>44348</v>
      </c>
      <c r="T62" s="64">
        <v>45072</v>
      </c>
      <c r="U62" s="64" t="s">
        <v>51</v>
      </c>
      <c r="V62" s="64" t="s">
        <v>77</v>
      </c>
      <c r="W62" s="66">
        <f t="shared" ca="1" si="1"/>
        <v>56</v>
      </c>
      <c r="X6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2" s="64" t="s">
        <v>972</v>
      </c>
      <c r="Z62" s="64" t="s">
        <v>973</v>
      </c>
      <c r="AA62" s="65" t="s">
        <v>974</v>
      </c>
      <c r="AB62" s="64" t="s">
        <v>523</v>
      </c>
      <c r="AC62" s="64" t="s">
        <v>103</v>
      </c>
      <c r="AD62" s="65">
        <v>4108</v>
      </c>
      <c r="AE62" s="64" t="s">
        <v>619</v>
      </c>
      <c r="AF62" s="64" t="s">
        <v>975</v>
      </c>
      <c r="AG62" s="64" t="s">
        <v>641</v>
      </c>
      <c r="AH62" s="64" t="s">
        <v>66</v>
      </c>
      <c r="AI62" s="64" t="s">
        <v>66</v>
      </c>
      <c r="AJ62" s="65" t="s">
        <v>976</v>
      </c>
      <c r="AK62" s="64" t="s">
        <v>977</v>
      </c>
      <c r="AL62" s="64" t="s">
        <v>978</v>
      </c>
      <c r="AM62" s="64" t="s">
        <v>979</v>
      </c>
      <c r="AN62" s="64" t="s">
        <v>980</v>
      </c>
      <c r="AO62" s="64" t="s">
        <v>66</v>
      </c>
      <c r="AP62" s="64" t="s">
        <v>981</v>
      </c>
    </row>
    <row r="63" spans="1:43" ht="18.75">
      <c r="A63" s="139">
        <v>62</v>
      </c>
      <c r="B63" s="66" t="s">
        <v>982</v>
      </c>
      <c r="C63" s="66" t="s">
        <v>983</v>
      </c>
      <c r="D63" s="66"/>
      <c r="E63" s="66" t="s">
        <v>937</v>
      </c>
      <c r="F63" s="66" t="s">
        <v>984</v>
      </c>
      <c r="G63" s="66" t="s">
        <v>631</v>
      </c>
      <c r="H63" s="66" t="s">
        <v>632</v>
      </c>
      <c r="I63" s="71">
        <v>18</v>
      </c>
      <c r="J6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3" s="71" t="s">
        <v>95</v>
      </c>
      <c r="L63" s="71" t="str">
        <f>IF(Table1[[#This Row],[LAST]]="","Unfilled","Filled")</f>
        <v>Filled</v>
      </c>
      <c r="M63" s="66" t="s">
        <v>985</v>
      </c>
      <c r="N63" s="66" t="s">
        <v>986</v>
      </c>
      <c r="O63" s="66" t="s">
        <v>987</v>
      </c>
      <c r="P63" s="63"/>
      <c r="Q63" s="64">
        <v>35867</v>
      </c>
      <c r="R63" s="64">
        <v>44333</v>
      </c>
      <c r="S63" s="64">
        <v>44333</v>
      </c>
      <c r="T63" s="64">
        <v>45082</v>
      </c>
      <c r="U63" s="64" t="s">
        <v>76</v>
      </c>
      <c r="V63" s="64" t="s">
        <v>52</v>
      </c>
      <c r="W63" s="66">
        <f t="shared" ca="1" si="1"/>
        <v>28</v>
      </c>
      <c r="X6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63" s="64" t="s">
        <v>988</v>
      </c>
      <c r="Z63" s="64" t="s">
        <v>989</v>
      </c>
      <c r="AA63" s="65" t="s">
        <v>990</v>
      </c>
      <c r="AB63" s="64" t="s">
        <v>991</v>
      </c>
      <c r="AC63" s="64" t="s">
        <v>103</v>
      </c>
      <c r="AD63" s="65">
        <v>4109</v>
      </c>
      <c r="AE63" s="64" t="s">
        <v>619</v>
      </c>
      <c r="AF63" s="64" t="s">
        <v>992</v>
      </c>
      <c r="AG63" s="64" t="s">
        <v>60</v>
      </c>
      <c r="AH63" s="64" t="s">
        <v>993</v>
      </c>
      <c r="AI63" s="64">
        <v>45729</v>
      </c>
      <c r="AJ63" s="65" t="s">
        <v>994</v>
      </c>
      <c r="AK63" s="64" t="s">
        <v>995</v>
      </c>
      <c r="AL63" s="64" t="s">
        <v>996</v>
      </c>
      <c r="AM63" s="64" t="s">
        <v>997</v>
      </c>
      <c r="AN63" s="64" t="s">
        <v>998</v>
      </c>
      <c r="AO63" s="64" t="s">
        <v>66</v>
      </c>
      <c r="AP63" s="64" t="s">
        <v>999</v>
      </c>
    </row>
    <row r="64" spans="1:43" ht="18.75">
      <c r="A64" s="139">
        <v>63</v>
      </c>
      <c r="B64" s="66" t="s">
        <v>1000</v>
      </c>
      <c r="C64" s="66" t="s">
        <v>936</v>
      </c>
      <c r="D64" s="66"/>
      <c r="E64" s="66" t="s">
        <v>937</v>
      </c>
      <c r="F64" s="66" t="s">
        <v>1001</v>
      </c>
      <c r="G64" s="66" t="s">
        <v>631</v>
      </c>
      <c r="H64" s="66" t="s">
        <v>632</v>
      </c>
      <c r="I64" s="71">
        <v>18</v>
      </c>
      <c r="J6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4" s="71" t="s">
        <v>95</v>
      </c>
      <c r="L64" s="71" t="str">
        <f>IF(Table1[[#This Row],[LAST]]="","Unfilled","Filled")</f>
        <v>Filled</v>
      </c>
      <c r="M64" s="66" t="s">
        <v>1002</v>
      </c>
      <c r="N64" s="66" t="s">
        <v>1003</v>
      </c>
      <c r="O64" s="66" t="s">
        <v>1004</v>
      </c>
      <c r="P64" s="63"/>
      <c r="Q64" s="64">
        <v>29744</v>
      </c>
      <c r="R64" s="64">
        <v>45156</v>
      </c>
      <c r="S64" s="64">
        <v>45156</v>
      </c>
      <c r="T64" s="64">
        <v>45156</v>
      </c>
      <c r="U64" s="64" t="s">
        <v>51</v>
      </c>
      <c r="V64" s="64" t="s">
        <v>52</v>
      </c>
      <c r="W64" s="66">
        <f t="shared" ca="1" si="1"/>
        <v>45</v>
      </c>
      <c r="X6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64" s="64" t="s">
        <v>1005</v>
      </c>
      <c r="Z64" s="64" t="s">
        <v>1006</v>
      </c>
      <c r="AA64" s="65" t="s">
        <v>1007</v>
      </c>
      <c r="AB64" s="64" t="s">
        <v>237</v>
      </c>
      <c r="AC64" s="64" t="s">
        <v>103</v>
      </c>
      <c r="AD64" s="65">
        <v>4107</v>
      </c>
      <c r="AE64" s="64" t="s">
        <v>619</v>
      </c>
      <c r="AF64" s="64" t="s">
        <v>1008</v>
      </c>
      <c r="AG64" s="64" t="s">
        <v>641</v>
      </c>
      <c r="AH64" s="64" t="s">
        <v>66</v>
      </c>
      <c r="AI64" s="64" t="s">
        <v>66</v>
      </c>
      <c r="AJ64" s="65" t="s">
        <v>1009</v>
      </c>
      <c r="AK64" s="64" t="s">
        <v>1010</v>
      </c>
      <c r="AL64" s="64" t="s">
        <v>1011</v>
      </c>
      <c r="AM64" s="64" t="s">
        <v>1012</v>
      </c>
      <c r="AN64" s="64" t="s">
        <v>1013</v>
      </c>
      <c r="AO64" s="64" t="s">
        <v>66</v>
      </c>
      <c r="AP64" s="85" t="s">
        <v>1014</v>
      </c>
    </row>
    <row r="65" spans="1:42" ht="18.75">
      <c r="A65" s="139">
        <v>64</v>
      </c>
      <c r="B65" s="66" t="s">
        <v>1015</v>
      </c>
      <c r="C65" s="66" t="s">
        <v>1016</v>
      </c>
      <c r="D65" s="66"/>
      <c r="E65" s="66" t="s">
        <v>937</v>
      </c>
      <c r="F65" s="66" t="s">
        <v>1017</v>
      </c>
      <c r="G65" s="66" t="s">
        <v>631</v>
      </c>
      <c r="H65" s="66" t="s">
        <v>632</v>
      </c>
      <c r="I65" s="71">
        <v>18</v>
      </c>
      <c r="J6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5" s="71" t="s">
        <v>95</v>
      </c>
      <c r="L65" s="71" t="str">
        <f>IF(Table1[[#This Row],[LAST]]="","Unfilled","Filled")</f>
        <v>Filled</v>
      </c>
      <c r="M65" s="66" t="s">
        <v>1018</v>
      </c>
      <c r="N65" s="66" t="s">
        <v>1019</v>
      </c>
      <c r="O65" s="66" t="s">
        <v>1020</v>
      </c>
      <c r="P65" s="63"/>
      <c r="Q65" s="64">
        <v>22865</v>
      </c>
      <c r="R65" s="64">
        <v>40596</v>
      </c>
      <c r="S65" s="64">
        <v>44348</v>
      </c>
      <c r="T65" s="64">
        <v>44412</v>
      </c>
      <c r="U65" s="64" t="s">
        <v>51</v>
      </c>
      <c r="V65" s="64" t="s">
        <v>77</v>
      </c>
      <c r="W65" s="66">
        <f t="shared" ca="1" si="1"/>
        <v>64</v>
      </c>
      <c r="X6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65" s="64" t="s">
        <v>1021</v>
      </c>
      <c r="Z65" s="64" t="s">
        <v>1022</v>
      </c>
      <c r="AA65" s="65" t="s">
        <v>1023</v>
      </c>
      <c r="AB65" s="64" t="s">
        <v>1024</v>
      </c>
      <c r="AC65" s="64" t="s">
        <v>103</v>
      </c>
      <c r="AD65" s="65">
        <v>4120</v>
      </c>
      <c r="AE65" s="64" t="s">
        <v>639</v>
      </c>
      <c r="AF65" s="64" t="s">
        <v>1025</v>
      </c>
      <c r="AG65" s="64" t="s">
        <v>641</v>
      </c>
      <c r="AH65" s="64" t="s">
        <v>66</v>
      </c>
      <c r="AI65" s="64" t="s">
        <v>66</v>
      </c>
      <c r="AJ65" s="65" t="s">
        <v>1026</v>
      </c>
      <c r="AK65" s="64" t="s">
        <v>1027</v>
      </c>
      <c r="AL65" s="64" t="s">
        <v>1028</v>
      </c>
      <c r="AM65" s="64" t="s">
        <v>1029</v>
      </c>
      <c r="AN65" s="64" t="s">
        <v>1030</v>
      </c>
      <c r="AO65" s="64" t="s">
        <v>1031</v>
      </c>
      <c r="AP65" s="85" t="s">
        <v>1032</v>
      </c>
    </row>
    <row r="66" spans="1:42" ht="18.75">
      <c r="A66" s="139">
        <v>65</v>
      </c>
      <c r="B66" s="66" t="s">
        <v>1033</v>
      </c>
      <c r="C66" s="66" t="s">
        <v>1034</v>
      </c>
      <c r="D66" s="66"/>
      <c r="E66" s="66" t="s">
        <v>1034</v>
      </c>
      <c r="F66" s="66" t="s">
        <v>165</v>
      </c>
      <c r="G66" s="66" t="s">
        <v>1035</v>
      </c>
      <c r="H66" s="66" t="s">
        <v>46</v>
      </c>
      <c r="I66" s="71">
        <v>18</v>
      </c>
      <c r="J6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6" s="71" t="s">
        <v>95</v>
      </c>
      <c r="L66" s="71" t="str">
        <f>IF(Table1[[#This Row],[LAST]]="","Unfilled","Filled")</f>
        <v>Filled</v>
      </c>
      <c r="M66" s="66" t="s">
        <v>1036</v>
      </c>
      <c r="N66" s="66" t="s">
        <v>1037</v>
      </c>
      <c r="O66" s="66" t="s">
        <v>1038</v>
      </c>
      <c r="P66" s="63"/>
      <c r="Q66" s="64">
        <v>29310</v>
      </c>
      <c r="R66" s="64">
        <v>44503</v>
      </c>
      <c r="S66" s="64">
        <v>44503</v>
      </c>
      <c r="T66" s="64">
        <v>45098</v>
      </c>
      <c r="U66" s="64" t="s">
        <v>51</v>
      </c>
      <c r="V66" s="64" t="s">
        <v>77</v>
      </c>
      <c r="W66" s="66">
        <f t="shared" ca="1" si="1"/>
        <v>46</v>
      </c>
      <c r="X6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66" s="64" t="s">
        <v>154</v>
      </c>
      <c r="Z66" s="64"/>
      <c r="AA66" s="65" t="s">
        <v>1039</v>
      </c>
      <c r="AB66" s="64" t="s">
        <v>190</v>
      </c>
      <c r="AC66" s="64" t="s">
        <v>103</v>
      </c>
      <c r="AD66" s="65">
        <v>4102</v>
      </c>
      <c r="AE66" s="64" t="s">
        <v>619</v>
      </c>
      <c r="AF66" s="64" t="s">
        <v>1040</v>
      </c>
      <c r="AG66" s="64" t="s">
        <v>60</v>
      </c>
      <c r="AH66" s="64" t="s">
        <v>1041</v>
      </c>
      <c r="AI66" s="64">
        <v>45746</v>
      </c>
      <c r="AJ66" s="65" t="s">
        <v>1042</v>
      </c>
      <c r="AK66" s="64" t="s">
        <v>1043</v>
      </c>
      <c r="AL66" s="64" t="s">
        <v>1044</v>
      </c>
      <c r="AM66" s="64" t="s">
        <v>1045</v>
      </c>
      <c r="AN66" s="64" t="s">
        <v>1046</v>
      </c>
      <c r="AO66" s="64" t="s">
        <v>66</v>
      </c>
      <c r="AP66" s="64" t="s">
        <v>1047</v>
      </c>
    </row>
    <row r="67" spans="1:42" ht="18.75">
      <c r="A67" s="139">
        <v>66</v>
      </c>
      <c r="B67" s="66" t="s">
        <v>1048</v>
      </c>
      <c r="C67" s="66" t="s">
        <v>1034</v>
      </c>
      <c r="D67" s="66"/>
      <c r="E67" s="66" t="s">
        <v>1034</v>
      </c>
      <c r="F67" s="66" t="s">
        <v>165</v>
      </c>
      <c r="G67" s="66" t="s">
        <v>1035</v>
      </c>
      <c r="H67" s="66" t="s">
        <v>46</v>
      </c>
      <c r="I67" s="71">
        <v>18</v>
      </c>
      <c r="J6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7" s="71" t="s">
        <v>95</v>
      </c>
      <c r="L67" s="71" t="str">
        <f>IF(Table1[[#This Row],[LAST]]="","Unfilled","Filled")</f>
        <v>Filled</v>
      </c>
      <c r="M67" s="66" t="s">
        <v>1049</v>
      </c>
      <c r="N67" s="66" t="s">
        <v>1050</v>
      </c>
      <c r="O67" s="66" t="s">
        <v>1051</v>
      </c>
      <c r="P67" s="63"/>
      <c r="Q67" s="64">
        <v>25890</v>
      </c>
      <c r="R67" s="64">
        <v>37264</v>
      </c>
      <c r="S67" s="64">
        <v>44363</v>
      </c>
      <c r="T67" s="64">
        <v>45098</v>
      </c>
      <c r="U67" s="64" t="s">
        <v>51</v>
      </c>
      <c r="V67" s="64" t="s">
        <v>77</v>
      </c>
      <c r="W67" s="66">
        <f t="shared" ca="1" si="1"/>
        <v>55</v>
      </c>
      <c r="X6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7" s="64" t="s">
        <v>1052</v>
      </c>
      <c r="Z67" s="64" t="s">
        <v>1053</v>
      </c>
      <c r="AA67" s="65" t="s">
        <v>1054</v>
      </c>
      <c r="AB67" s="64" t="s">
        <v>190</v>
      </c>
      <c r="AC67" s="64" t="s">
        <v>103</v>
      </c>
      <c r="AD67" s="65">
        <v>4102</v>
      </c>
      <c r="AE67" s="64" t="s">
        <v>619</v>
      </c>
      <c r="AF67" s="64" t="s">
        <v>1040</v>
      </c>
      <c r="AG67" s="64" t="s">
        <v>60</v>
      </c>
      <c r="AH67" s="64" t="s">
        <v>1055</v>
      </c>
      <c r="AI67" s="64">
        <v>46709</v>
      </c>
      <c r="AJ67" s="65" t="s">
        <v>1056</v>
      </c>
      <c r="AK67" s="64" t="s">
        <v>1057</v>
      </c>
      <c r="AL67" s="64" t="s">
        <v>1058</v>
      </c>
      <c r="AM67" s="64" t="s">
        <v>1059</v>
      </c>
      <c r="AN67" s="64" t="s">
        <v>1060</v>
      </c>
      <c r="AO67" s="64" t="s">
        <v>1061</v>
      </c>
      <c r="AP67" s="64" t="s">
        <v>1062</v>
      </c>
    </row>
    <row r="68" spans="1:42" ht="18.75">
      <c r="A68" s="139">
        <v>67</v>
      </c>
      <c r="B68" s="66" t="s">
        <v>1063</v>
      </c>
      <c r="C68" s="66" t="s">
        <v>1064</v>
      </c>
      <c r="D68" s="66"/>
      <c r="E68" s="66" t="s">
        <v>1064</v>
      </c>
      <c r="F68" s="66" t="s">
        <v>1065</v>
      </c>
      <c r="G68" s="66" t="s">
        <v>1066</v>
      </c>
      <c r="H68" s="66" t="s">
        <v>46</v>
      </c>
      <c r="I68" s="71">
        <v>18</v>
      </c>
      <c r="J6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8" s="71" t="s">
        <v>95</v>
      </c>
      <c r="L68" s="71" t="str">
        <f>IF(Table1[[#This Row],[LAST]]="","Unfilled","Filled")</f>
        <v>Filled</v>
      </c>
      <c r="M68" s="66" t="s">
        <v>1067</v>
      </c>
      <c r="N68" s="66" t="s">
        <v>1068</v>
      </c>
      <c r="O68" s="66" t="s">
        <v>1069</v>
      </c>
      <c r="P68" s="63"/>
      <c r="Q68" s="64">
        <v>29189</v>
      </c>
      <c r="R68" s="64">
        <v>40634</v>
      </c>
      <c r="S68" s="64">
        <v>44504</v>
      </c>
      <c r="T68" s="64">
        <v>44504</v>
      </c>
      <c r="U68" s="64" t="s">
        <v>51</v>
      </c>
      <c r="V68" s="64" t="s">
        <v>77</v>
      </c>
      <c r="W68" s="66">
        <f t="shared" ca="1" si="1"/>
        <v>46</v>
      </c>
      <c r="X6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68" s="64" t="s">
        <v>1070</v>
      </c>
      <c r="Z68" s="64" t="s">
        <v>1071</v>
      </c>
      <c r="AA68" s="65" t="s">
        <v>1072</v>
      </c>
      <c r="AB68" s="64" t="s">
        <v>237</v>
      </c>
      <c r="AC68" s="64" t="s">
        <v>103</v>
      </c>
      <c r="AD68" s="65">
        <v>4107</v>
      </c>
      <c r="AE68" s="64" t="s">
        <v>619</v>
      </c>
      <c r="AF68" s="64" t="s">
        <v>1073</v>
      </c>
      <c r="AG68" s="64" t="s">
        <v>60</v>
      </c>
      <c r="AH68" s="64" t="s">
        <v>1074</v>
      </c>
      <c r="AI68" s="64">
        <v>45991</v>
      </c>
      <c r="AJ68" s="65" t="s">
        <v>1075</v>
      </c>
      <c r="AK68" s="64" t="s">
        <v>1076</v>
      </c>
      <c r="AL68" s="64" t="s">
        <v>1077</v>
      </c>
      <c r="AM68" s="64" t="s">
        <v>1078</v>
      </c>
      <c r="AN68" s="64" t="s">
        <v>1079</v>
      </c>
      <c r="AO68" s="64" t="s">
        <v>66</v>
      </c>
      <c r="AP68" s="64" t="s">
        <v>1080</v>
      </c>
    </row>
    <row r="69" spans="1:42" ht="18.75">
      <c r="A69" s="139">
        <v>68</v>
      </c>
      <c r="B69" s="66" t="s">
        <v>1081</v>
      </c>
      <c r="C69" s="66" t="s">
        <v>1082</v>
      </c>
      <c r="D69" s="66"/>
      <c r="E69" s="66" t="s">
        <v>1082</v>
      </c>
      <c r="F69" s="66" t="s">
        <v>1083</v>
      </c>
      <c r="G69" s="66" t="s">
        <v>1084</v>
      </c>
      <c r="H69" s="66" t="s">
        <v>46</v>
      </c>
      <c r="I69" s="71">
        <v>18</v>
      </c>
      <c r="J6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69" s="71" t="s">
        <v>95</v>
      </c>
      <c r="L69" s="71" t="str">
        <f>IF(Table1[[#This Row],[LAST]]="","Unfilled","Filled")</f>
        <v>Filled</v>
      </c>
      <c r="M69" s="66" t="s">
        <v>1085</v>
      </c>
      <c r="N69" s="66" t="s">
        <v>1086</v>
      </c>
      <c r="O69" s="66" t="s">
        <v>457</v>
      </c>
      <c r="P69" s="63"/>
      <c r="Q69" s="64">
        <v>27687</v>
      </c>
      <c r="R69" s="64">
        <v>36648</v>
      </c>
      <c r="S69" s="64">
        <v>44504</v>
      </c>
      <c r="T69" s="64">
        <v>44504</v>
      </c>
      <c r="U69" s="64" t="s">
        <v>51</v>
      </c>
      <c r="V69" s="64" t="s">
        <v>52</v>
      </c>
      <c r="W69" s="66">
        <f t="shared" ca="1" si="1"/>
        <v>50</v>
      </c>
      <c r="X6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69" s="64" t="s">
        <v>697</v>
      </c>
      <c r="Z69" s="64" t="s">
        <v>1087</v>
      </c>
      <c r="AA69" s="65" t="s">
        <v>1088</v>
      </c>
      <c r="AB69" s="64" t="s">
        <v>102</v>
      </c>
      <c r="AC69" s="64" t="s">
        <v>103</v>
      </c>
      <c r="AD69" s="65">
        <v>4103</v>
      </c>
      <c r="AE69" s="64" t="s">
        <v>639</v>
      </c>
      <c r="AF69" s="64" t="s">
        <v>1089</v>
      </c>
      <c r="AG69" s="64" t="s">
        <v>60</v>
      </c>
      <c r="AH69" s="64" t="s">
        <v>1090</v>
      </c>
      <c r="AI69" s="64">
        <v>46315</v>
      </c>
      <c r="AJ69" s="65" t="s">
        <v>1091</v>
      </c>
      <c r="AK69" s="64" t="s">
        <v>1092</v>
      </c>
      <c r="AL69" s="64" t="s">
        <v>1093</v>
      </c>
      <c r="AM69" s="64" t="s">
        <v>1094</v>
      </c>
      <c r="AN69" s="64" t="s">
        <v>1095</v>
      </c>
      <c r="AO69" s="64" t="s">
        <v>1096</v>
      </c>
      <c r="AP69" s="64" t="s">
        <v>1097</v>
      </c>
    </row>
    <row r="70" spans="1:42" ht="18.75">
      <c r="A70" s="139">
        <v>69</v>
      </c>
      <c r="B70" s="66" t="s">
        <v>1098</v>
      </c>
      <c r="C70" s="66" t="s">
        <v>1099</v>
      </c>
      <c r="D70" s="77"/>
      <c r="E70" s="66" t="s">
        <v>1099</v>
      </c>
      <c r="F70" s="66" t="s">
        <v>473</v>
      </c>
      <c r="G70" s="66" t="s">
        <v>1100</v>
      </c>
      <c r="H70" s="66" t="s">
        <v>46</v>
      </c>
      <c r="I70" s="71">
        <v>18</v>
      </c>
      <c r="J7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70" s="71" t="s">
        <v>95</v>
      </c>
      <c r="L70" s="71" t="str">
        <f>IF(Table1[[#This Row],[LAST]]="","Unfilled","Filled")</f>
        <v>Filled</v>
      </c>
      <c r="M70" s="141" t="s">
        <v>1101</v>
      </c>
      <c r="N70" s="141" t="s">
        <v>1102</v>
      </c>
      <c r="O70" s="141" t="s">
        <v>1103</v>
      </c>
      <c r="P70" s="63"/>
      <c r="Q70" s="64">
        <v>32546</v>
      </c>
      <c r="R70" s="64">
        <v>45537</v>
      </c>
      <c r="S70" s="64">
        <v>45840</v>
      </c>
      <c r="T70" s="64">
        <v>45840</v>
      </c>
      <c r="U70" s="64" t="s">
        <v>76</v>
      </c>
      <c r="V70" s="64" t="s">
        <v>52</v>
      </c>
      <c r="W70" s="66">
        <f t="shared" ca="1" si="1"/>
        <v>37</v>
      </c>
      <c r="X7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0" s="64" t="s">
        <v>822</v>
      </c>
      <c r="Z70" s="64" t="s">
        <v>1104</v>
      </c>
      <c r="AA70" s="65" t="s">
        <v>1105</v>
      </c>
      <c r="AB70" s="64" t="s">
        <v>102</v>
      </c>
      <c r="AC70" s="64" t="s">
        <v>103</v>
      </c>
      <c r="AD70" s="65" t="s">
        <v>1106</v>
      </c>
      <c r="AE70" s="64" t="s">
        <v>619</v>
      </c>
      <c r="AF70" s="64" t="s">
        <v>1107</v>
      </c>
      <c r="AG70" s="64" t="s">
        <v>60</v>
      </c>
      <c r="AH70" s="156" t="s">
        <v>1108</v>
      </c>
      <c r="AI70" s="64">
        <v>46425</v>
      </c>
      <c r="AJ70" s="65" t="s">
        <v>1109</v>
      </c>
      <c r="AK70" s="64" t="s">
        <v>1110</v>
      </c>
      <c r="AL70" s="64" t="s">
        <v>1111</v>
      </c>
      <c r="AM70" s="64" t="s">
        <v>1112</v>
      </c>
      <c r="AN70" s="64" t="s">
        <v>1113</v>
      </c>
      <c r="AO70" s="64" t="s">
        <v>66</v>
      </c>
      <c r="AP70" s="85" t="s">
        <v>1114</v>
      </c>
    </row>
    <row r="71" spans="1:42" ht="18.75">
      <c r="A71" s="139">
        <v>70</v>
      </c>
      <c r="B71" s="66" t="s">
        <v>1115</v>
      </c>
      <c r="C71" s="66" t="s">
        <v>1116</v>
      </c>
      <c r="D71" s="66"/>
      <c r="E71" s="66" t="s">
        <v>1116</v>
      </c>
      <c r="F71" s="66" t="s">
        <v>1117</v>
      </c>
      <c r="G71" s="66" t="s">
        <v>1118</v>
      </c>
      <c r="H71" s="66" t="s">
        <v>46</v>
      </c>
      <c r="I71" s="71">
        <v>18</v>
      </c>
      <c r="J7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71" s="71" t="s">
        <v>95</v>
      </c>
      <c r="L71" s="71" t="str">
        <f>IF(Table1[[#This Row],[LAST]]="","Unfilled","Filled")</f>
        <v>Filled</v>
      </c>
      <c r="M71" s="66" t="s">
        <v>1119</v>
      </c>
      <c r="N71" s="66" t="s">
        <v>1120</v>
      </c>
      <c r="O71" s="66" t="s">
        <v>1121</v>
      </c>
      <c r="P71" s="63"/>
      <c r="Q71" s="64">
        <v>35588</v>
      </c>
      <c r="R71" s="64">
        <v>44333</v>
      </c>
      <c r="S71" s="64">
        <v>44333</v>
      </c>
      <c r="T71" s="64">
        <v>45110</v>
      </c>
      <c r="U71" s="64" t="s">
        <v>76</v>
      </c>
      <c r="V71" s="64" t="s">
        <v>77</v>
      </c>
      <c r="W71" s="66">
        <f t="shared" ca="1" si="1"/>
        <v>29</v>
      </c>
      <c r="X7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71" s="64" t="s">
        <v>1122</v>
      </c>
      <c r="Z71" s="64" t="s">
        <v>1123</v>
      </c>
      <c r="AA71" s="65" t="s">
        <v>1124</v>
      </c>
      <c r="AB71" s="64" t="s">
        <v>991</v>
      </c>
      <c r="AC71" s="64" t="s">
        <v>103</v>
      </c>
      <c r="AD71" s="65">
        <v>4109</v>
      </c>
      <c r="AE71" s="64" t="s">
        <v>619</v>
      </c>
      <c r="AF71" s="64" t="s">
        <v>1125</v>
      </c>
      <c r="AG71" s="64" t="s">
        <v>60</v>
      </c>
      <c r="AH71" s="64" t="s">
        <v>1126</v>
      </c>
      <c r="AI71" s="64">
        <v>46180</v>
      </c>
      <c r="AJ71" s="65" t="s">
        <v>1127</v>
      </c>
      <c r="AK71" s="64" t="s">
        <v>1128</v>
      </c>
      <c r="AL71" s="64" t="s">
        <v>1129</v>
      </c>
      <c r="AM71" s="64" t="s">
        <v>1130</v>
      </c>
      <c r="AN71" s="64" t="s">
        <v>1131</v>
      </c>
      <c r="AO71" s="64" t="s">
        <v>66</v>
      </c>
      <c r="AP71" s="64" t="s">
        <v>1132</v>
      </c>
    </row>
    <row r="72" spans="1:42" ht="18.75">
      <c r="A72" s="139">
        <v>71</v>
      </c>
      <c r="B72" s="66" t="s">
        <v>1133</v>
      </c>
      <c r="C72" s="66" t="s">
        <v>1134</v>
      </c>
      <c r="D72" s="66"/>
      <c r="E72" s="66" t="s">
        <v>1134</v>
      </c>
      <c r="F72" s="66" t="s">
        <v>340</v>
      </c>
      <c r="G72" s="66" t="s">
        <v>341</v>
      </c>
      <c r="H72" s="66" t="s">
        <v>46</v>
      </c>
      <c r="I72" s="71">
        <v>17</v>
      </c>
      <c r="J7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2" s="71" t="s">
        <v>95</v>
      </c>
      <c r="L72" s="71" t="str">
        <f>IF(Table1[[#This Row],[LAST]]="","Unfilled","Filled")</f>
        <v>Unfilled</v>
      </c>
      <c r="M72" s="140"/>
      <c r="N72" s="140"/>
      <c r="O72" s="140" t="s">
        <v>1135</v>
      </c>
      <c r="P72" s="63"/>
      <c r="Q72" s="64"/>
      <c r="R72" s="64"/>
      <c r="S72" s="64"/>
      <c r="T72" s="64"/>
      <c r="U72" s="64"/>
      <c r="V72" s="64"/>
      <c r="W72" s="66"/>
      <c r="X72" s="66"/>
      <c r="Y72" s="64"/>
      <c r="Z72" s="64"/>
      <c r="AA72" s="65"/>
      <c r="AB72" s="64"/>
      <c r="AC72" s="64"/>
      <c r="AD72" s="65"/>
      <c r="AE72" s="64"/>
      <c r="AF72" s="64"/>
      <c r="AG72" s="64"/>
      <c r="AH72" s="64"/>
      <c r="AI72" s="64"/>
      <c r="AJ72" s="65"/>
      <c r="AK72" s="64"/>
      <c r="AL72" s="64"/>
      <c r="AM72" s="64"/>
      <c r="AN72" s="64"/>
      <c r="AO72" s="64"/>
      <c r="AP72" s="85"/>
    </row>
    <row r="73" spans="1:42" ht="18.75">
      <c r="A73" s="139">
        <v>72</v>
      </c>
      <c r="B73" s="66" t="s">
        <v>1136</v>
      </c>
      <c r="C73" s="66" t="s">
        <v>1137</v>
      </c>
      <c r="D73" s="66"/>
      <c r="E73" s="66" t="s">
        <v>1137</v>
      </c>
      <c r="F73" s="66" t="s">
        <v>1138</v>
      </c>
      <c r="G73" s="66" t="s">
        <v>611</v>
      </c>
      <c r="H73" s="66" t="s">
        <v>612</v>
      </c>
      <c r="I73" s="71">
        <v>17</v>
      </c>
      <c r="J7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3" s="71" t="s">
        <v>95</v>
      </c>
      <c r="L73" s="71" t="str">
        <f>IF(Table1[[#This Row],[LAST]]="","Unfilled","Filled")</f>
        <v>Filled</v>
      </c>
      <c r="M73" s="66" t="s">
        <v>1139</v>
      </c>
      <c r="N73" s="66" t="s">
        <v>1140</v>
      </c>
      <c r="O73" s="66" t="s">
        <v>1141</v>
      </c>
      <c r="P73" s="63"/>
      <c r="Q73" s="64">
        <v>33039</v>
      </c>
      <c r="R73" s="64">
        <v>44334</v>
      </c>
      <c r="S73" s="64">
        <v>44334</v>
      </c>
      <c r="T73" s="64">
        <v>44844</v>
      </c>
      <c r="U73" s="64" t="s">
        <v>51</v>
      </c>
      <c r="V73" s="64" t="s">
        <v>52</v>
      </c>
      <c r="W73" s="66">
        <f ca="1">DATEDIF(Q73,TODAY(),"Y")</f>
        <v>36</v>
      </c>
      <c r="X7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3" s="64" t="s">
        <v>56</v>
      </c>
      <c r="Z73" s="64" t="s">
        <v>1142</v>
      </c>
      <c r="AA73" s="65" t="s">
        <v>492</v>
      </c>
      <c r="AB73" s="64" t="s">
        <v>190</v>
      </c>
      <c r="AC73" s="64" t="s">
        <v>103</v>
      </c>
      <c r="AD73" s="65">
        <v>4102</v>
      </c>
      <c r="AE73" s="64" t="s">
        <v>639</v>
      </c>
      <c r="AF73" s="64" t="s">
        <v>620</v>
      </c>
      <c r="AG73" s="64" t="s">
        <v>60</v>
      </c>
      <c r="AH73" s="64" t="s">
        <v>1143</v>
      </c>
      <c r="AI73" s="64">
        <v>46188</v>
      </c>
      <c r="AJ73" s="65" t="s">
        <v>1144</v>
      </c>
      <c r="AK73" s="64" t="s">
        <v>1145</v>
      </c>
      <c r="AL73" s="64" t="s">
        <v>1146</v>
      </c>
      <c r="AM73" s="64" t="s">
        <v>1147</v>
      </c>
      <c r="AN73" s="64" t="s">
        <v>1148</v>
      </c>
      <c r="AO73" s="64" t="s">
        <v>1149</v>
      </c>
      <c r="AP73" s="64" t="s">
        <v>1150</v>
      </c>
    </row>
    <row r="74" spans="1:42" ht="18.75">
      <c r="A74" s="139">
        <v>73</v>
      </c>
      <c r="B74" s="66" t="s">
        <v>1151</v>
      </c>
      <c r="C74" s="66" t="s">
        <v>1137</v>
      </c>
      <c r="D74" s="66"/>
      <c r="E74" s="66" t="s">
        <v>1137</v>
      </c>
      <c r="F74" s="66" t="s">
        <v>1138</v>
      </c>
      <c r="G74" s="66" t="s">
        <v>611</v>
      </c>
      <c r="H74" s="66" t="s">
        <v>612</v>
      </c>
      <c r="I74" s="71">
        <v>17</v>
      </c>
      <c r="J7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4" s="71" t="s">
        <v>95</v>
      </c>
      <c r="L74" s="71" t="str">
        <f>IF(Table1[[#This Row],[LAST]]="","Unfilled","Filled")</f>
        <v>Filled</v>
      </c>
      <c r="M74" s="66" t="s">
        <v>1152</v>
      </c>
      <c r="N74" s="66" t="s">
        <v>1153</v>
      </c>
      <c r="O74" s="66" t="s">
        <v>1154</v>
      </c>
      <c r="P74" s="63"/>
      <c r="Q74" s="64">
        <v>30965</v>
      </c>
      <c r="R74" s="64">
        <v>44336</v>
      </c>
      <c r="S74" s="64">
        <v>44336</v>
      </c>
      <c r="T74" s="64">
        <v>44844</v>
      </c>
      <c r="U74" s="64" t="s">
        <v>76</v>
      </c>
      <c r="V74" s="64" t="s">
        <v>52</v>
      </c>
      <c r="W74" s="66">
        <f ca="1">DATEDIF(Q74,TODAY(),"Y")</f>
        <v>41</v>
      </c>
      <c r="X7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74" s="64" t="s">
        <v>121</v>
      </c>
      <c r="Z74" s="64" t="s">
        <v>1155</v>
      </c>
      <c r="AA74" s="65" t="s">
        <v>1156</v>
      </c>
      <c r="AB74" s="64" t="s">
        <v>121</v>
      </c>
      <c r="AC74" s="64" t="s">
        <v>103</v>
      </c>
      <c r="AD74" s="65">
        <v>4100</v>
      </c>
      <c r="AE74" s="64" t="s">
        <v>619</v>
      </c>
      <c r="AF74" s="64" t="s">
        <v>620</v>
      </c>
      <c r="AG74" s="64" t="s">
        <v>60</v>
      </c>
      <c r="AH74" s="64" t="s">
        <v>1157</v>
      </c>
      <c r="AI74" s="64">
        <v>46670</v>
      </c>
      <c r="AJ74" s="65" t="s">
        <v>1158</v>
      </c>
      <c r="AK74" s="64" t="s">
        <v>1159</v>
      </c>
      <c r="AL74" s="64" t="s">
        <v>1160</v>
      </c>
      <c r="AM74" s="64" t="s">
        <v>1161</v>
      </c>
      <c r="AN74" s="64" t="s">
        <v>1162</v>
      </c>
      <c r="AO74" s="64" t="s">
        <v>1163</v>
      </c>
      <c r="AP74" s="64" t="s">
        <v>1164</v>
      </c>
    </row>
    <row r="75" spans="1:42" ht="18.75">
      <c r="A75" s="139">
        <v>74</v>
      </c>
      <c r="B75" s="66" t="s">
        <v>1165</v>
      </c>
      <c r="C75" s="66" t="s">
        <v>1137</v>
      </c>
      <c r="D75" s="66"/>
      <c r="E75" s="66" t="s">
        <v>1137</v>
      </c>
      <c r="F75" s="66" t="s">
        <v>1138</v>
      </c>
      <c r="G75" s="66" t="s">
        <v>611</v>
      </c>
      <c r="H75" s="66" t="s">
        <v>612</v>
      </c>
      <c r="I75" s="71">
        <v>17</v>
      </c>
      <c r="J7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5" s="71" t="s">
        <v>95</v>
      </c>
      <c r="L75" s="71" t="str">
        <f>IF(Table1[[#This Row],[LAST]]="","Unfilled","Filled")</f>
        <v>Filled</v>
      </c>
      <c r="M75" s="66" t="s">
        <v>1166</v>
      </c>
      <c r="N75" s="66" t="s">
        <v>1167</v>
      </c>
      <c r="O75" s="66" t="s">
        <v>1168</v>
      </c>
      <c r="P75" s="63"/>
      <c r="Q75" s="64">
        <v>33827</v>
      </c>
      <c r="R75" s="64">
        <v>44333</v>
      </c>
      <c r="S75" s="64">
        <v>44333</v>
      </c>
      <c r="T75" s="64">
        <v>44844</v>
      </c>
      <c r="U75" s="64" t="s">
        <v>76</v>
      </c>
      <c r="V75" s="64" t="s">
        <v>77</v>
      </c>
      <c r="W75" s="66">
        <f ca="1">DATEDIF(Q75,TODAY(),"Y")</f>
        <v>34</v>
      </c>
      <c r="X7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5" s="64" t="s">
        <v>1169</v>
      </c>
      <c r="Z75" s="64" t="s">
        <v>1170</v>
      </c>
      <c r="AA75" s="65" t="s">
        <v>1054</v>
      </c>
      <c r="AB75" s="64" t="s">
        <v>190</v>
      </c>
      <c r="AC75" s="64" t="s">
        <v>103</v>
      </c>
      <c r="AD75" s="65">
        <v>4102</v>
      </c>
      <c r="AE75" s="64" t="s">
        <v>619</v>
      </c>
      <c r="AF75" s="64" t="s">
        <v>620</v>
      </c>
      <c r="AG75" s="64" t="s">
        <v>60</v>
      </c>
      <c r="AH75" s="64" t="s">
        <v>1171</v>
      </c>
      <c r="AI75" s="64">
        <v>46245</v>
      </c>
      <c r="AJ75" s="65" t="s">
        <v>1172</v>
      </c>
      <c r="AK75" s="64" t="s">
        <v>1173</v>
      </c>
      <c r="AL75" s="64" t="s">
        <v>1174</v>
      </c>
      <c r="AM75" s="64" t="s">
        <v>1175</v>
      </c>
      <c r="AN75" s="64" t="s">
        <v>1176</v>
      </c>
      <c r="AO75" s="64" t="s">
        <v>66</v>
      </c>
      <c r="AP75" s="64" t="s">
        <v>1177</v>
      </c>
    </row>
    <row r="76" spans="1:42" ht="18.75">
      <c r="A76" s="139">
        <v>75</v>
      </c>
      <c r="B76" s="66" t="s">
        <v>1178</v>
      </c>
      <c r="C76" s="66" t="s">
        <v>1137</v>
      </c>
      <c r="D76" s="66"/>
      <c r="E76" s="66" t="s">
        <v>1137</v>
      </c>
      <c r="F76" s="66" t="s">
        <v>1138</v>
      </c>
      <c r="G76" s="66" t="s">
        <v>611</v>
      </c>
      <c r="H76" s="66" t="s">
        <v>612</v>
      </c>
      <c r="I76" s="71">
        <v>17</v>
      </c>
      <c r="J7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6" s="71" t="s">
        <v>95</v>
      </c>
      <c r="L76" s="71" t="str">
        <f>IF(Table1[[#This Row],[LAST]]="","Unfilled","Filled")</f>
        <v>Filled</v>
      </c>
      <c r="M76" s="66" t="s">
        <v>1179</v>
      </c>
      <c r="N76" s="66" t="s">
        <v>1180</v>
      </c>
      <c r="O76" s="66" t="s">
        <v>1181</v>
      </c>
      <c r="P76" s="63"/>
      <c r="Q76" s="64">
        <v>32442</v>
      </c>
      <c r="R76" s="64">
        <v>44333</v>
      </c>
      <c r="S76" s="64">
        <v>44333</v>
      </c>
      <c r="T76" s="64">
        <v>45274</v>
      </c>
      <c r="U76" s="64" t="s">
        <v>51</v>
      </c>
      <c r="V76" s="64" t="s">
        <v>77</v>
      </c>
      <c r="W76" s="66">
        <f ca="1">DATEDIF(Q76,TODAY(),"Y")</f>
        <v>37</v>
      </c>
      <c r="X7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6" s="64" t="s">
        <v>1052</v>
      </c>
      <c r="Z76" s="64" t="s">
        <v>1182</v>
      </c>
      <c r="AA76" s="65" t="s">
        <v>1183</v>
      </c>
      <c r="AB76" s="64" t="s">
        <v>1184</v>
      </c>
      <c r="AC76" s="64" t="s">
        <v>103</v>
      </c>
      <c r="AD76" s="65">
        <v>4104</v>
      </c>
      <c r="AE76" s="64" t="s">
        <v>639</v>
      </c>
      <c r="AF76" s="64" t="s">
        <v>620</v>
      </c>
      <c r="AG76" s="64" t="s">
        <v>60</v>
      </c>
      <c r="AH76" s="64" t="s">
        <v>1185</v>
      </c>
      <c r="AI76" s="64">
        <v>46686</v>
      </c>
      <c r="AJ76" s="65" t="s">
        <v>1186</v>
      </c>
      <c r="AK76" s="64" t="s">
        <v>1187</v>
      </c>
      <c r="AL76" s="64" t="s">
        <v>1188</v>
      </c>
      <c r="AM76" s="64" t="s">
        <v>1189</v>
      </c>
      <c r="AN76" s="64" t="s">
        <v>1190</v>
      </c>
      <c r="AO76" s="64" t="s">
        <v>1191</v>
      </c>
      <c r="AP76" s="64" t="s">
        <v>1192</v>
      </c>
    </row>
    <row r="77" spans="1:42" ht="18.75">
      <c r="A77" s="139">
        <v>76</v>
      </c>
      <c r="B77" s="66" t="s">
        <v>1193</v>
      </c>
      <c r="C77" s="66" t="s">
        <v>1137</v>
      </c>
      <c r="D77" s="66"/>
      <c r="E77" s="66" t="s">
        <v>1137</v>
      </c>
      <c r="F77" s="66" t="s">
        <v>1138</v>
      </c>
      <c r="G77" s="66" t="s">
        <v>611</v>
      </c>
      <c r="H77" s="66" t="s">
        <v>612</v>
      </c>
      <c r="I77" s="71">
        <v>17</v>
      </c>
      <c r="J7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7" s="71" t="s">
        <v>95</v>
      </c>
      <c r="L77" s="71" t="str">
        <f>IF(Table1[[#This Row],[LAST]]="","Unfilled","Filled")</f>
        <v>Unfilled</v>
      </c>
      <c r="M77" s="140"/>
      <c r="N77" s="140"/>
      <c r="O77" s="140" t="s">
        <v>1194</v>
      </c>
      <c r="P77" s="63"/>
      <c r="Q77" s="64"/>
      <c r="R77" s="64"/>
      <c r="S77" s="64"/>
      <c r="T77" s="64"/>
      <c r="U77" s="64"/>
      <c r="V77" s="64"/>
      <c r="W77" s="66"/>
      <c r="X77" s="66"/>
      <c r="Y77" s="64"/>
      <c r="Z77" s="64"/>
      <c r="AA77" s="65"/>
      <c r="AB77" s="64"/>
      <c r="AC77" s="64"/>
      <c r="AD77" s="65"/>
      <c r="AE77" s="64"/>
      <c r="AF77" s="64"/>
      <c r="AG77" s="64"/>
      <c r="AH77" s="64"/>
      <c r="AI77" s="64"/>
      <c r="AJ77" s="65"/>
      <c r="AK77" s="64"/>
      <c r="AL77" s="64"/>
      <c r="AM77" s="64"/>
      <c r="AN77" s="64"/>
      <c r="AO77" s="64"/>
      <c r="AP77" s="64"/>
    </row>
    <row r="78" spans="1:42" ht="18.75">
      <c r="A78" s="139">
        <v>77</v>
      </c>
      <c r="B78" s="66" t="s">
        <v>1195</v>
      </c>
      <c r="C78" s="66" t="s">
        <v>1137</v>
      </c>
      <c r="D78" s="66"/>
      <c r="E78" s="66" t="s">
        <v>1137</v>
      </c>
      <c r="F78" s="66" t="s">
        <v>1138</v>
      </c>
      <c r="G78" s="66" t="s">
        <v>611</v>
      </c>
      <c r="H78" s="66" t="s">
        <v>612</v>
      </c>
      <c r="I78" s="71">
        <v>17</v>
      </c>
      <c r="J7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8" s="71" t="s">
        <v>95</v>
      </c>
      <c r="L78" s="71" t="str">
        <f>IF(Table1[[#This Row],[LAST]]="","Unfilled","Filled")</f>
        <v>Filled</v>
      </c>
      <c r="M78" s="66" t="s">
        <v>1196</v>
      </c>
      <c r="N78" s="66" t="s">
        <v>1197</v>
      </c>
      <c r="O78" s="66" t="s">
        <v>1198</v>
      </c>
      <c r="P78" s="63"/>
      <c r="Q78" s="64">
        <v>26258</v>
      </c>
      <c r="R78" s="64">
        <v>35814</v>
      </c>
      <c r="S78" s="64">
        <v>44363</v>
      </c>
      <c r="T78" s="64">
        <v>44363</v>
      </c>
      <c r="U78" s="64" t="s">
        <v>76</v>
      </c>
      <c r="V78" s="64" t="s">
        <v>77</v>
      </c>
      <c r="W78" s="66">
        <f t="shared" ref="W78:W109" ca="1" si="2">DATEDIF(Q78,TODAY(),"Y")</f>
        <v>54</v>
      </c>
      <c r="X7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78" s="64" t="s">
        <v>56</v>
      </c>
      <c r="Z78" s="64" t="s">
        <v>1199</v>
      </c>
      <c r="AA78" s="65" t="s">
        <v>492</v>
      </c>
      <c r="AB78" s="64" t="s">
        <v>190</v>
      </c>
      <c r="AC78" s="64" t="s">
        <v>103</v>
      </c>
      <c r="AD78" s="65">
        <v>4102</v>
      </c>
      <c r="AE78" s="64" t="s">
        <v>619</v>
      </c>
      <c r="AF78" s="64" t="s">
        <v>620</v>
      </c>
      <c r="AG78" s="64" t="s">
        <v>60</v>
      </c>
      <c r="AH78" s="64" t="s">
        <v>1200</v>
      </c>
      <c r="AI78" s="64">
        <v>46347</v>
      </c>
      <c r="AJ78" s="65" t="s">
        <v>1201</v>
      </c>
      <c r="AK78" s="64" t="s">
        <v>1202</v>
      </c>
      <c r="AL78" s="64" t="s">
        <v>1203</v>
      </c>
      <c r="AM78" s="64" t="s">
        <v>1204</v>
      </c>
      <c r="AN78" s="64" t="s">
        <v>1205</v>
      </c>
      <c r="AO78" s="64" t="s">
        <v>1206</v>
      </c>
      <c r="AP78" s="64" t="s">
        <v>1207</v>
      </c>
    </row>
    <row r="79" spans="1:42" ht="18.75">
      <c r="A79" s="139">
        <v>78</v>
      </c>
      <c r="B79" s="66" t="s">
        <v>1208</v>
      </c>
      <c r="C79" s="66" t="s">
        <v>1137</v>
      </c>
      <c r="D79" s="66"/>
      <c r="E79" s="66" t="s">
        <v>1137</v>
      </c>
      <c r="F79" s="66" t="s">
        <v>1138</v>
      </c>
      <c r="G79" s="66" t="s">
        <v>611</v>
      </c>
      <c r="H79" s="66" t="s">
        <v>612</v>
      </c>
      <c r="I79" s="71">
        <v>17</v>
      </c>
      <c r="J7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79" s="71" t="s">
        <v>95</v>
      </c>
      <c r="L79" s="71" t="str">
        <f>IF(Table1[[#This Row],[LAST]]="","Unfilled","Filled")</f>
        <v>Filled</v>
      </c>
      <c r="M79" s="66" t="s">
        <v>1209</v>
      </c>
      <c r="N79" s="66" t="s">
        <v>1210</v>
      </c>
      <c r="O79" s="66" t="s">
        <v>117</v>
      </c>
      <c r="P79" s="63"/>
      <c r="Q79" s="64">
        <v>32542</v>
      </c>
      <c r="R79" s="64">
        <v>44333</v>
      </c>
      <c r="S79" s="64">
        <v>44333</v>
      </c>
      <c r="T79" s="64">
        <v>44333</v>
      </c>
      <c r="U79" s="64" t="s">
        <v>51</v>
      </c>
      <c r="V79" s="64" t="s">
        <v>77</v>
      </c>
      <c r="W79" s="66">
        <f t="shared" ca="1" si="2"/>
        <v>37</v>
      </c>
      <c r="X7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79" s="64" t="s">
        <v>1211</v>
      </c>
      <c r="Z79" s="64" t="s">
        <v>1212</v>
      </c>
      <c r="AA79" s="65" t="s">
        <v>1054</v>
      </c>
      <c r="AB79" s="64" t="s">
        <v>190</v>
      </c>
      <c r="AC79" s="64" t="s">
        <v>103</v>
      </c>
      <c r="AD79" s="65">
        <v>4102</v>
      </c>
      <c r="AE79" s="64" t="s">
        <v>619</v>
      </c>
      <c r="AF79" s="64" t="s">
        <v>620</v>
      </c>
      <c r="AG79" s="64" t="s">
        <v>60</v>
      </c>
      <c r="AH79" s="64" t="s">
        <v>1213</v>
      </c>
      <c r="AI79" s="64">
        <v>46056</v>
      </c>
      <c r="AJ79" s="65" t="s">
        <v>1214</v>
      </c>
      <c r="AK79" s="64" t="s">
        <v>1215</v>
      </c>
      <c r="AL79" s="64" t="s">
        <v>1216</v>
      </c>
      <c r="AM79" s="64" t="s">
        <v>1217</v>
      </c>
      <c r="AN79" s="64" t="s">
        <v>1218</v>
      </c>
      <c r="AO79" s="64" t="s">
        <v>66</v>
      </c>
      <c r="AP79" s="64" t="s">
        <v>1219</v>
      </c>
    </row>
    <row r="80" spans="1:42" ht="18.75">
      <c r="A80" s="139">
        <v>79</v>
      </c>
      <c r="B80" s="66" t="s">
        <v>1220</v>
      </c>
      <c r="C80" s="66" t="s">
        <v>1137</v>
      </c>
      <c r="D80" s="66"/>
      <c r="E80" s="66" t="s">
        <v>1137</v>
      </c>
      <c r="F80" s="66" t="s">
        <v>1138</v>
      </c>
      <c r="G80" s="66" t="s">
        <v>611</v>
      </c>
      <c r="H80" s="66" t="s">
        <v>612</v>
      </c>
      <c r="I80" s="71">
        <v>17</v>
      </c>
      <c r="J8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49562</v>
      </c>
      <c r="K80" s="71" t="s">
        <v>95</v>
      </c>
      <c r="L80" s="71" t="str">
        <f>IF(Table1[[#This Row],[LAST]]="","Unfilled","Filled")</f>
        <v>Filled</v>
      </c>
      <c r="M80" s="66" t="s">
        <v>1221</v>
      </c>
      <c r="N80" s="66" t="s">
        <v>1222</v>
      </c>
      <c r="O80" s="66" t="s">
        <v>1223</v>
      </c>
      <c r="P80" s="63"/>
      <c r="Q80" s="64">
        <v>26437</v>
      </c>
      <c r="R80" s="64">
        <v>44351</v>
      </c>
      <c r="S80" s="64">
        <v>44351</v>
      </c>
      <c r="T80" s="64">
        <v>45272</v>
      </c>
      <c r="U80" s="64" t="s">
        <v>51</v>
      </c>
      <c r="V80" s="64" t="s">
        <v>77</v>
      </c>
      <c r="W80" s="66">
        <f t="shared" ca="1" si="2"/>
        <v>54</v>
      </c>
      <c r="X8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80" s="64" t="s">
        <v>154</v>
      </c>
      <c r="Z80" s="64" t="s">
        <v>1224</v>
      </c>
      <c r="AA80" s="65" t="s">
        <v>699</v>
      </c>
      <c r="AB80" s="64" t="s">
        <v>237</v>
      </c>
      <c r="AC80" s="64" t="s">
        <v>103</v>
      </c>
      <c r="AD80" s="65">
        <v>4107</v>
      </c>
      <c r="AE80" s="64" t="s">
        <v>619</v>
      </c>
      <c r="AF80" s="64" t="s">
        <v>620</v>
      </c>
      <c r="AG80" s="64" t="s">
        <v>60</v>
      </c>
      <c r="AH80" s="64" t="s">
        <v>1225</v>
      </c>
      <c r="AI80" s="64">
        <v>46525</v>
      </c>
      <c r="AJ80" s="65" t="s">
        <v>1226</v>
      </c>
      <c r="AK80" s="64" t="s">
        <v>1227</v>
      </c>
      <c r="AL80" s="64" t="s">
        <v>1228</v>
      </c>
      <c r="AM80" s="64" t="s">
        <v>1229</v>
      </c>
      <c r="AN80" s="64" t="s">
        <v>1230</v>
      </c>
      <c r="AO80" s="64" t="s">
        <v>66</v>
      </c>
      <c r="AP80" s="64" t="s">
        <v>66</v>
      </c>
    </row>
    <row r="81" spans="1:43" ht="18.75">
      <c r="A81" s="139">
        <v>80</v>
      </c>
      <c r="B81" s="66" t="s">
        <v>1231</v>
      </c>
      <c r="C81" s="66" t="s">
        <v>1232</v>
      </c>
      <c r="D81" s="66"/>
      <c r="E81" s="66" t="s">
        <v>1232</v>
      </c>
      <c r="F81" s="66" t="s">
        <v>887</v>
      </c>
      <c r="G81" s="66" t="s">
        <v>888</v>
      </c>
      <c r="H81" s="66" t="s">
        <v>632</v>
      </c>
      <c r="I81" s="71">
        <v>16</v>
      </c>
      <c r="J8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1" s="71" t="s">
        <v>95</v>
      </c>
      <c r="L81" s="71" t="str">
        <f>IF(Table1[[#This Row],[LAST]]="","Unfilled","Filled")</f>
        <v>Filled</v>
      </c>
      <c r="M81" s="66" t="s">
        <v>1233</v>
      </c>
      <c r="N81" s="66" t="s">
        <v>1234</v>
      </c>
      <c r="O81" s="66" t="s">
        <v>1235</v>
      </c>
      <c r="P81" s="63"/>
      <c r="Q81" s="64">
        <v>35378</v>
      </c>
      <c r="R81" s="64">
        <v>46113</v>
      </c>
      <c r="S81" s="64">
        <v>46113</v>
      </c>
      <c r="T81" s="64">
        <v>46113</v>
      </c>
      <c r="U81" s="64" t="s">
        <v>76</v>
      </c>
      <c r="V81" s="64" t="s">
        <v>77</v>
      </c>
      <c r="W81" s="66">
        <f t="shared" ca="1" si="2"/>
        <v>29</v>
      </c>
      <c r="X8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81" s="64" t="s">
        <v>616</v>
      </c>
      <c r="Z81" s="64" t="s">
        <v>1236</v>
      </c>
      <c r="AA81" s="65" t="s">
        <v>1237</v>
      </c>
      <c r="AB81" s="64" t="s">
        <v>102</v>
      </c>
      <c r="AC81" s="64" t="s">
        <v>103</v>
      </c>
      <c r="AD81" s="65" t="s">
        <v>1106</v>
      </c>
      <c r="AE81" s="64" t="s">
        <v>619</v>
      </c>
      <c r="AF81" s="64" t="s">
        <v>895</v>
      </c>
      <c r="AG81" s="64" t="s">
        <v>60</v>
      </c>
      <c r="AH81" s="156" t="s">
        <v>1238</v>
      </c>
      <c r="AI81" s="64">
        <v>47066</v>
      </c>
      <c r="AJ81" s="65" t="s">
        <v>1239</v>
      </c>
      <c r="AK81" s="64" t="s">
        <v>1240</v>
      </c>
      <c r="AL81" s="64" t="s">
        <v>1241</v>
      </c>
      <c r="AM81" s="64" t="s">
        <v>1242</v>
      </c>
      <c r="AN81" s="64" t="s">
        <v>1243</v>
      </c>
      <c r="AO81" s="64" t="s">
        <v>66</v>
      </c>
      <c r="AP81" s="85" t="s">
        <v>1244</v>
      </c>
      <c r="AQ81" t="s">
        <v>802</v>
      </c>
    </row>
    <row r="82" spans="1:43" ht="18.75">
      <c r="A82" s="139">
        <v>81</v>
      </c>
      <c r="B82" s="66" t="s">
        <v>1245</v>
      </c>
      <c r="C82" s="66" t="s">
        <v>1246</v>
      </c>
      <c r="D82" s="66"/>
      <c r="E82" s="66" t="s">
        <v>1246</v>
      </c>
      <c r="F82" s="66" t="s">
        <v>1247</v>
      </c>
      <c r="G82" s="66" t="s">
        <v>906</v>
      </c>
      <c r="H82" s="66" t="s">
        <v>632</v>
      </c>
      <c r="I82" s="71">
        <v>16</v>
      </c>
      <c r="J8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2" s="71" t="s">
        <v>95</v>
      </c>
      <c r="L82" s="71" t="str">
        <f>IF(Table1[[#This Row],[LAST]]="","Unfilled","Filled")</f>
        <v>Filled</v>
      </c>
      <c r="M82" s="66" t="s">
        <v>1248</v>
      </c>
      <c r="N82" s="66" t="s">
        <v>1249</v>
      </c>
      <c r="O82" s="66" t="s">
        <v>1250</v>
      </c>
      <c r="P82" s="63"/>
      <c r="Q82" s="64">
        <v>28814</v>
      </c>
      <c r="R82" s="64">
        <v>45149</v>
      </c>
      <c r="S82" s="64">
        <v>45149</v>
      </c>
      <c r="T82" s="64">
        <v>45149</v>
      </c>
      <c r="U82" s="64" t="s">
        <v>51</v>
      </c>
      <c r="V82" s="64" t="s">
        <v>52</v>
      </c>
      <c r="W82" s="66">
        <f t="shared" ca="1" si="2"/>
        <v>47</v>
      </c>
      <c r="X8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82" s="64" t="s">
        <v>1251</v>
      </c>
      <c r="Z82" s="65" t="s">
        <v>1252</v>
      </c>
      <c r="AA82" s="65" t="s">
        <v>1253</v>
      </c>
      <c r="AB82" s="64" t="s">
        <v>190</v>
      </c>
      <c r="AC82" s="64" t="s">
        <v>103</v>
      </c>
      <c r="AD82" s="65">
        <v>4102</v>
      </c>
      <c r="AE82" s="64" t="s">
        <v>619</v>
      </c>
      <c r="AF82" s="64" t="s">
        <v>912</v>
      </c>
      <c r="AG82" s="64" t="s">
        <v>60</v>
      </c>
      <c r="AH82" s="64" t="s">
        <v>1254</v>
      </c>
      <c r="AI82" s="64">
        <v>46346</v>
      </c>
      <c r="AJ82" s="65" t="s">
        <v>1255</v>
      </c>
      <c r="AK82" s="64" t="s">
        <v>1256</v>
      </c>
      <c r="AL82" s="64" t="s">
        <v>1257</v>
      </c>
      <c r="AM82" s="64" t="s">
        <v>1258</v>
      </c>
      <c r="AN82" s="64" t="s">
        <v>1259</v>
      </c>
      <c r="AO82" s="64" t="s">
        <v>1260</v>
      </c>
      <c r="AP82" s="64" t="s">
        <v>1261</v>
      </c>
    </row>
    <row r="83" spans="1:43" ht="18.75">
      <c r="A83" s="139">
        <v>82</v>
      </c>
      <c r="B83" s="66" t="s">
        <v>1262</v>
      </c>
      <c r="C83" s="66" t="s">
        <v>1263</v>
      </c>
      <c r="D83" s="66"/>
      <c r="E83" s="66" t="s">
        <v>1263</v>
      </c>
      <c r="F83" s="66" t="s">
        <v>1264</v>
      </c>
      <c r="G83" s="66" t="s">
        <v>611</v>
      </c>
      <c r="H83" s="66" t="s">
        <v>612</v>
      </c>
      <c r="I83" s="71">
        <v>16</v>
      </c>
      <c r="J8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3" s="71" t="s">
        <v>95</v>
      </c>
      <c r="L83" s="71" t="str">
        <f>IF(Table1[[#This Row],[LAST]]="","Unfilled","Filled")</f>
        <v>Filled</v>
      </c>
      <c r="M83" s="66" t="s">
        <v>1265</v>
      </c>
      <c r="N83" s="66" t="s">
        <v>1266</v>
      </c>
      <c r="O83" s="63" t="s">
        <v>1267</v>
      </c>
      <c r="P83" s="63"/>
      <c r="Q83" s="64">
        <v>33307</v>
      </c>
      <c r="R83" s="64">
        <v>43452</v>
      </c>
      <c r="S83" s="64">
        <v>45537</v>
      </c>
      <c r="T83" s="64">
        <v>45889</v>
      </c>
      <c r="U83" s="64" t="s">
        <v>76</v>
      </c>
      <c r="V83" s="64" t="s">
        <v>52</v>
      </c>
      <c r="W83" s="66">
        <f t="shared" ca="1" si="2"/>
        <v>35</v>
      </c>
      <c r="X8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3" s="64" t="s">
        <v>154</v>
      </c>
      <c r="Z83" s="64" t="s">
        <v>1268</v>
      </c>
      <c r="AA83" s="65" t="s">
        <v>101</v>
      </c>
      <c r="AB83" s="64" t="s">
        <v>102</v>
      </c>
      <c r="AC83" s="64" t="s">
        <v>103</v>
      </c>
      <c r="AD83" s="65" t="s">
        <v>1106</v>
      </c>
      <c r="AE83" s="64" t="s">
        <v>619</v>
      </c>
      <c r="AF83" s="64" t="s">
        <v>620</v>
      </c>
      <c r="AG83" s="64" t="s">
        <v>60</v>
      </c>
      <c r="AH83" s="156" t="s">
        <v>1269</v>
      </c>
      <c r="AI83" s="64">
        <v>46091</v>
      </c>
      <c r="AJ83" s="65" t="s">
        <v>1270</v>
      </c>
      <c r="AK83" s="64" t="s">
        <v>1271</v>
      </c>
      <c r="AL83" s="64" t="s">
        <v>1272</v>
      </c>
      <c r="AM83" s="64" t="s">
        <v>1273</v>
      </c>
      <c r="AN83" s="64" t="s">
        <v>1274</v>
      </c>
      <c r="AO83" s="64" t="s">
        <v>66</v>
      </c>
      <c r="AP83" s="85" t="s">
        <v>1275</v>
      </c>
      <c r="AQ83" t="s">
        <v>1276</v>
      </c>
    </row>
    <row r="84" spans="1:43" ht="18.75">
      <c r="A84" s="139">
        <v>83</v>
      </c>
      <c r="B84" s="66" t="s">
        <v>1277</v>
      </c>
      <c r="C84" s="66" t="s">
        <v>1263</v>
      </c>
      <c r="D84" s="66"/>
      <c r="E84" s="66" t="s">
        <v>1263</v>
      </c>
      <c r="F84" s="66" t="s">
        <v>1138</v>
      </c>
      <c r="G84" s="66" t="s">
        <v>611</v>
      </c>
      <c r="H84" s="66" t="s">
        <v>612</v>
      </c>
      <c r="I84" s="71">
        <v>16</v>
      </c>
      <c r="J8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4" s="71" t="s">
        <v>95</v>
      </c>
      <c r="L84" s="71" t="str">
        <f>IF(Table1[[#This Row],[LAST]]="","Unfilled","Filled")</f>
        <v>Filled</v>
      </c>
      <c r="M84" s="66" t="s">
        <v>1278</v>
      </c>
      <c r="N84" s="66" t="s">
        <v>1279</v>
      </c>
      <c r="O84" s="63" t="s">
        <v>1280</v>
      </c>
      <c r="P84" s="63"/>
      <c r="Q84" s="64">
        <v>33012</v>
      </c>
      <c r="R84" s="64">
        <v>41609</v>
      </c>
      <c r="S84" s="64">
        <v>45261</v>
      </c>
      <c r="T84" s="64">
        <v>45888</v>
      </c>
      <c r="U84" s="64" t="s">
        <v>76</v>
      </c>
      <c r="V84" s="64" t="s">
        <v>77</v>
      </c>
      <c r="W84" s="66">
        <f t="shared" ca="1" si="2"/>
        <v>36</v>
      </c>
      <c r="X8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4" s="64" t="s">
        <v>520</v>
      </c>
      <c r="Z84" s="64" t="s">
        <v>1281</v>
      </c>
      <c r="AA84" s="65" t="s">
        <v>1282</v>
      </c>
      <c r="AB84" s="64" t="s">
        <v>523</v>
      </c>
      <c r="AC84" s="64" t="s">
        <v>103</v>
      </c>
      <c r="AD84" s="65">
        <v>4108</v>
      </c>
      <c r="AE84" s="64" t="s">
        <v>619</v>
      </c>
      <c r="AF84" s="64" t="s">
        <v>620</v>
      </c>
      <c r="AG84" s="64" t="s">
        <v>60</v>
      </c>
      <c r="AH84" s="64" t="s">
        <v>1283</v>
      </c>
      <c r="AI84" s="64">
        <v>45796</v>
      </c>
      <c r="AJ84" s="65">
        <v>2004353261</v>
      </c>
      <c r="AK84" s="64" t="s">
        <v>1284</v>
      </c>
      <c r="AL84" s="64" t="s">
        <v>1285</v>
      </c>
      <c r="AM84" s="64" t="s">
        <v>1286</v>
      </c>
      <c r="AN84" s="64" t="s">
        <v>1287</v>
      </c>
      <c r="AO84" s="64" t="s">
        <v>66</v>
      </c>
      <c r="AP84" s="64" t="s">
        <v>1288</v>
      </c>
    </row>
    <row r="85" spans="1:43" ht="18.75">
      <c r="A85" s="139">
        <v>84</v>
      </c>
      <c r="B85" s="66" t="s">
        <v>1289</v>
      </c>
      <c r="C85" s="66" t="s">
        <v>1263</v>
      </c>
      <c r="D85" s="66"/>
      <c r="E85" s="66" t="s">
        <v>1263</v>
      </c>
      <c r="F85" s="66" t="s">
        <v>1138</v>
      </c>
      <c r="G85" s="66" t="s">
        <v>611</v>
      </c>
      <c r="H85" s="66" t="s">
        <v>612</v>
      </c>
      <c r="I85" s="71">
        <v>16</v>
      </c>
      <c r="J8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5" s="71" t="s">
        <v>95</v>
      </c>
      <c r="L85" s="71" t="str">
        <f>IF(Table1[[#This Row],[LAST]]="","Unfilled","Filled")</f>
        <v>Filled</v>
      </c>
      <c r="M85" s="66" t="s">
        <v>1290</v>
      </c>
      <c r="N85" s="66" t="s">
        <v>1291</v>
      </c>
      <c r="O85" s="63" t="s">
        <v>1292</v>
      </c>
      <c r="P85" s="63"/>
      <c r="Q85" s="64">
        <v>35977</v>
      </c>
      <c r="R85" s="64">
        <v>44949</v>
      </c>
      <c r="S85" s="64">
        <v>44949</v>
      </c>
      <c r="T85" s="64">
        <v>45888</v>
      </c>
      <c r="U85" s="64" t="s">
        <v>76</v>
      </c>
      <c r="V85" s="64" t="s">
        <v>52</v>
      </c>
      <c r="W85" s="66">
        <f t="shared" ca="1" si="2"/>
        <v>28</v>
      </c>
      <c r="X8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85" s="64" t="s">
        <v>1293</v>
      </c>
      <c r="Z85" s="64" t="s">
        <v>1294</v>
      </c>
      <c r="AA85" s="65" t="s">
        <v>1295</v>
      </c>
      <c r="AB85" s="64" t="s">
        <v>102</v>
      </c>
      <c r="AC85" s="64" t="s">
        <v>103</v>
      </c>
      <c r="AD85" s="65">
        <v>4104</v>
      </c>
      <c r="AE85" s="64" t="s">
        <v>619</v>
      </c>
      <c r="AF85" s="64" t="s">
        <v>620</v>
      </c>
      <c r="AG85" s="64" t="s">
        <v>60</v>
      </c>
      <c r="AH85" s="64" t="s">
        <v>1296</v>
      </c>
      <c r="AI85" s="64">
        <v>46204</v>
      </c>
      <c r="AJ85" s="65" t="s">
        <v>1297</v>
      </c>
      <c r="AK85" s="64" t="s">
        <v>1298</v>
      </c>
      <c r="AL85" s="64" t="s">
        <v>1299</v>
      </c>
      <c r="AM85" s="64" t="s">
        <v>1300</v>
      </c>
      <c r="AN85" s="64" t="s">
        <v>1301</v>
      </c>
      <c r="AO85" s="64" t="s">
        <v>66</v>
      </c>
      <c r="AP85" s="64" t="s">
        <v>1302</v>
      </c>
    </row>
    <row r="86" spans="1:43" ht="18.75">
      <c r="A86" s="139">
        <v>85</v>
      </c>
      <c r="B86" s="66" t="s">
        <v>1303</v>
      </c>
      <c r="C86" s="66" t="s">
        <v>1263</v>
      </c>
      <c r="D86" s="66"/>
      <c r="E86" s="66" t="s">
        <v>1263</v>
      </c>
      <c r="F86" s="66" t="s">
        <v>1138</v>
      </c>
      <c r="G86" s="66" t="s">
        <v>611</v>
      </c>
      <c r="H86" s="66" t="s">
        <v>612</v>
      </c>
      <c r="I86" s="71">
        <v>16</v>
      </c>
      <c r="J8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6" s="71" t="s">
        <v>95</v>
      </c>
      <c r="L86" s="71" t="str">
        <f>IF(Table1[[#This Row],[LAST]]="","Unfilled","Filled")</f>
        <v>Filled</v>
      </c>
      <c r="M86" s="66" t="s">
        <v>682</v>
      </c>
      <c r="N86" s="66" t="s">
        <v>1304</v>
      </c>
      <c r="O86" s="63" t="s">
        <v>50</v>
      </c>
      <c r="P86" s="63"/>
      <c r="Q86" s="64">
        <v>31972</v>
      </c>
      <c r="R86" s="64">
        <v>45383</v>
      </c>
      <c r="S86" s="64">
        <v>45383</v>
      </c>
      <c r="T86" s="64">
        <v>45888</v>
      </c>
      <c r="U86" s="64" t="s">
        <v>76</v>
      </c>
      <c r="V86" s="64" t="s">
        <v>77</v>
      </c>
      <c r="W86" s="66">
        <f t="shared" ca="1" si="2"/>
        <v>39</v>
      </c>
      <c r="X8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6" s="64" t="s">
        <v>56</v>
      </c>
      <c r="Z86" s="64" t="s">
        <v>1305</v>
      </c>
      <c r="AA86" s="65" t="s">
        <v>302</v>
      </c>
      <c r="AB86" s="64" t="s">
        <v>237</v>
      </c>
      <c r="AC86" s="64" t="s">
        <v>103</v>
      </c>
      <c r="AD86" s="65" t="s">
        <v>700</v>
      </c>
      <c r="AE86" s="64" t="s">
        <v>619</v>
      </c>
      <c r="AF86" s="64" t="s">
        <v>620</v>
      </c>
      <c r="AG86" s="64" t="s">
        <v>60</v>
      </c>
      <c r="AH86" s="156" t="s">
        <v>1306</v>
      </c>
      <c r="AI86" s="64">
        <v>45852</v>
      </c>
      <c r="AJ86" s="65" t="s">
        <v>1307</v>
      </c>
      <c r="AK86" s="64" t="s">
        <v>1308</v>
      </c>
      <c r="AL86" s="64" t="s">
        <v>1309</v>
      </c>
      <c r="AM86" s="64" t="s">
        <v>1310</v>
      </c>
      <c r="AN86" s="64" t="s">
        <v>1311</v>
      </c>
      <c r="AO86" s="64" t="s">
        <v>66</v>
      </c>
      <c r="AP86" s="85" t="s">
        <v>1312</v>
      </c>
    </row>
    <row r="87" spans="1:43" ht="18.75">
      <c r="A87" s="139">
        <v>86</v>
      </c>
      <c r="B87" s="66" t="s">
        <v>1313</v>
      </c>
      <c r="C87" s="66" t="s">
        <v>1263</v>
      </c>
      <c r="D87" s="66"/>
      <c r="E87" s="66" t="s">
        <v>1263</v>
      </c>
      <c r="F87" s="66" t="s">
        <v>1138</v>
      </c>
      <c r="G87" s="66" t="s">
        <v>611</v>
      </c>
      <c r="H87" s="66" t="s">
        <v>612</v>
      </c>
      <c r="I87" s="71">
        <v>16</v>
      </c>
      <c r="J8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7" s="71" t="s">
        <v>95</v>
      </c>
      <c r="L87" s="71" t="str">
        <f>IF(Table1[[#This Row],[LAST]]="","Unfilled","Filled")</f>
        <v>Filled</v>
      </c>
      <c r="M87" s="66" t="s">
        <v>1314</v>
      </c>
      <c r="N87" s="66" t="s">
        <v>1315</v>
      </c>
      <c r="O87" s="149" t="s">
        <v>1316</v>
      </c>
      <c r="P87" s="63"/>
      <c r="Q87" s="64">
        <v>32860</v>
      </c>
      <c r="R87" s="64">
        <v>45084</v>
      </c>
      <c r="S87" s="64">
        <v>45084</v>
      </c>
      <c r="T87" s="64">
        <v>45888</v>
      </c>
      <c r="U87" s="64" t="s">
        <v>51</v>
      </c>
      <c r="V87" s="64" t="s">
        <v>77</v>
      </c>
      <c r="W87" s="66">
        <f t="shared" ca="1" si="2"/>
        <v>36</v>
      </c>
      <c r="X8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7" s="64" t="s">
        <v>1317</v>
      </c>
      <c r="Z87" s="64" t="s">
        <v>1318</v>
      </c>
      <c r="AA87" s="65" t="s">
        <v>492</v>
      </c>
      <c r="AB87" s="64" t="s">
        <v>190</v>
      </c>
      <c r="AC87" s="64" t="s">
        <v>103</v>
      </c>
      <c r="AD87" s="65">
        <v>4102</v>
      </c>
      <c r="AE87" s="64" t="s">
        <v>619</v>
      </c>
      <c r="AF87" s="64" t="s">
        <v>620</v>
      </c>
      <c r="AG87" s="64" t="s">
        <v>60</v>
      </c>
      <c r="AH87" s="64" t="s">
        <v>1319</v>
      </c>
      <c r="AI87" s="64">
        <v>46374</v>
      </c>
      <c r="AJ87" s="65" t="s">
        <v>1320</v>
      </c>
      <c r="AK87" s="64" t="s">
        <v>1321</v>
      </c>
      <c r="AL87" s="64" t="s">
        <v>1322</v>
      </c>
      <c r="AM87" s="64" t="s">
        <v>1323</v>
      </c>
      <c r="AN87" s="64" t="s">
        <v>1324</v>
      </c>
      <c r="AO87" s="64" t="s">
        <v>66</v>
      </c>
      <c r="AP87" s="64" t="s">
        <v>1325</v>
      </c>
    </row>
    <row r="88" spans="1:43" ht="18.75">
      <c r="A88" s="139">
        <v>87</v>
      </c>
      <c r="B88" s="66" t="s">
        <v>1326</v>
      </c>
      <c r="C88" s="66" t="s">
        <v>1263</v>
      </c>
      <c r="D88" s="66"/>
      <c r="E88" s="66" t="s">
        <v>1263</v>
      </c>
      <c r="F88" s="66" t="s">
        <v>1138</v>
      </c>
      <c r="G88" s="66" t="s">
        <v>611</v>
      </c>
      <c r="H88" s="66" t="s">
        <v>612</v>
      </c>
      <c r="I88" s="71">
        <v>16</v>
      </c>
      <c r="J8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8" s="71" t="s">
        <v>95</v>
      </c>
      <c r="L88" s="71" t="str">
        <f>IF(Table1[[#This Row],[LAST]]="","Unfilled","Filled")</f>
        <v>Filled</v>
      </c>
      <c r="M88" s="66" t="s">
        <v>1327</v>
      </c>
      <c r="N88" s="66" t="s">
        <v>1328</v>
      </c>
      <c r="O88" s="63" t="s">
        <v>457</v>
      </c>
      <c r="P88" s="63"/>
      <c r="Q88" s="64">
        <v>33757</v>
      </c>
      <c r="R88" s="64">
        <v>45019</v>
      </c>
      <c r="S88" s="64">
        <v>45019</v>
      </c>
      <c r="T88" s="64">
        <v>45888</v>
      </c>
      <c r="U88" s="64" t="s">
        <v>51</v>
      </c>
      <c r="V88" s="64" t="s">
        <v>77</v>
      </c>
      <c r="W88" s="66">
        <f t="shared" ca="1" si="2"/>
        <v>34</v>
      </c>
      <c r="X8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8" s="64" t="s">
        <v>1329</v>
      </c>
      <c r="Z88" s="64" t="s">
        <v>1330</v>
      </c>
      <c r="AA88" s="65" t="s">
        <v>1331</v>
      </c>
      <c r="AB88" s="64" t="s">
        <v>121</v>
      </c>
      <c r="AC88" s="64" t="s">
        <v>103</v>
      </c>
      <c r="AD88" s="65">
        <v>4100</v>
      </c>
      <c r="AE88" s="64" t="s">
        <v>619</v>
      </c>
      <c r="AF88" s="64" t="s">
        <v>620</v>
      </c>
      <c r="AG88" s="64" t="s">
        <v>60</v>
      </c>
      <c r="AH88" s="64" t="s">
        <v>1332</v>
      </c>
      <c r="AI88" s="64">
        <v>46424</v>
      </c>
      <c r="AJ88" s="65" t="s">
        <v>1333</v>
      </c>
      <c r="AK88" s="64" t="s">
        <v>1334</v>
      </c>
      <c r="AL88" s="64" t="s">
        <v>1335</v>
      </c>
      <c r="AM88" s="64" t="s">
        <v>1336</v>
      </c>
      <c r="AN88" s="64" t="s">
        <v>1337</v>
      </c>
      <c r="AO88" s="64" t="s">
        <v>1338</v>
      </c>
      <c r="AP88" s="64" t="s">
        <v>1339</v>
      </c>
    </row>
    <row r="89" spans="1:43" ht="18.75">
      <c r="A89" s="139">
        <v>88</v>
      </c>
      <c r="B89" s="66" t="s">
        <v>1340</v>
      </c>
      <c r="C89" s="66" t="s">
        <v>1263</v>
      </c>
      <c r="D89" s="66"/>
      <c r="E89" s="66" t="s">
        <v>1263</v>
      </c>
      <c r="F89" s="66" t="s">
        <v>1138</v>
      </c>
      <c r="G89" s="66" t="s">
        <v>611</v>
      </c>
      <c r="H89" s="66" t="s">
        <v>612</v>
      </c>
      <c r="I89" s="71">
        <v>16</v>
      </c>
      <c r="J8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89" s="71" t="s">
        <v>95</v>
      </c>
      <c r="L89" s="71" t="str">
        <f>IF(Table1[[#This Row],[LAST]]="","Unfilled","Filled")</f>
        <v>Filled</v>
      </c>
      <c r="M89" s="66" t="s">
        <v>1341</v>
      </c>
      <c r="N89" s="66" t="s">
        <v>1342</v>
      </c>
      <c r="O89" s="63" t="s">
        <v>1343</v>
      </c>
      <c r="P89" s="63"/>
      <c r="Q89" s="64">
        <v>32199</v>
      </c>
      <c r="R89" s="64">
        <v>44971</v>
      </c>
      <c r="S89" s="64">
        <v>44971</v>
      </c>
      <c r="T89" s="64">
        <v>45888</v>
      </c>
      <c r="U89" s="64" t="s">
        <v>51</v>
      </c>
      <c r="V89" s="64" t="s">
        <v>52</v>
      </c>
      <c r="W89" s="66">
        <f t="shared" ca="1" si="2"/>
        <v>38</v>
      </c>
      <c r="X8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89" s="64" t="s">
        <v>154</v>
      </c>
      <c r="Z89" s="64" t="s">
        <v>1344</v>
      </c>
      <c r="AA89" s="65" t="s">
        <v>1345</v>
      </c>
      <c r="AB89" s="64" t="s">
        <v>190</v>
      </c>
      <c r="AC89" s="64" t="s">
        <v>103</v>
      </c>
      <c r="AD89" s="65">
        <v>4102</v>
      </c>
      <c r="AE89" s="64" t="s">
        <v>619</v>
      </c>
      <c r="AF89" s="64" t="s">
        <v>620</v>
      </c>
      <c r="AG89" s="64" t="s">
        <v>60</v>
      </c>
      <c r="AH89" s="64" t="s">
        <v>1346</v>
      </c>
      <c r="AI89" s="64">
        <v>45714</v>
      </c>
      <c r="AJ89" s="65" t="s">
        <v>1347</v>
      </c>
      <c r="AK89" s="64" t="s">
        <v>1348</v>
      </c>
      <c r="AL89" s="64" t="s">
        <v>1349</v>
      </c>
      <c r="AM89" s="64" t="s">
        <v>1350</v>
      </c>
      <c r="AN89" s="64" t="s">
        <v>1351</v>
      </c>
      <c r="AO89" s="64" t="s">
        <v>1352</v>
      </c>
      <c r="AP89" s="64" t="s">
        <v>1353</v>
      </c>
    </row>
    <row r="90" spans="1:43" ht="18.75">
      <c r="A90" s="139">
        <v>89</v>
      </c>
      <c r="B90" s="66" t="s">
        <v>1354</v>
      </c>
      <c r="C90" s="66" t="s">
        <v>1263</v>
      </c>
      <c r="D90" s="66"/>
      <c r="E90" s="66" t="s">
        <v>1263</v>
      </c>
      <c r="F90" s="66" t="s">
        <v>1138</v>
      </c>
      <c r="G90" s="66" t="s">
        <v>611</v>
      </c>
      <c r="H90" s="66" t="s">
        <v>612</v>
      </c>
      <c r="I90" s="71">
        <v>16</v>
      </c>
      <c r="J9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0" s="71" t="s">
        <v>95</v>
      </c>
      <c r="L90" s="71" t="str">
        <f>IF(Table1[[#This Row],[LAST]]="","Unfilled","Filled")</f>
        <v>Filled</v>
      </c>
      <c r="M90" s="66" t="s">
        <v>1355</v>
      </c>
      <c r="N90" s="66" t="s">
        <v>1356</v>
      </c>
      <c r="O90" s="66" t="s">
        <v>1357</v>
      </c>
      <c r="P90" s="63"/>
      <c r="Q90" s="64">
        <v>33976</v>
      </c>
      <c r="R90" s="64">
        <v>44334</v>
      </c>
      <c r="S90" s="64">
        <v>44334</v>
      </c>
      <c r="T90" s="64">
        <v>44844</v>
      </c>
      <c r="U90" s="64" t="s">
        <v>51</v>
      </c>
      <c r="V90" s="64" t="s">
        <v>52</v>
      </c>
      <c r="W90" s="66">
        <f t="shared" ca="1" si="2"/>
        <v>33</v>
      </c>
      <c r="X9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0" s="64" t="s">
        <v>121</v>
      </c>
      <c r="Z90" s="65">
        <v>25</v>
      </c>
      <c r="AA90" s="65" t="s">
        <v>1358</v>
      </c>
      <c r="AB90" s="64" t="s">
        <v>102</v>
      </c>
      <c r="AC90" s="64" t="s">
        <v>103</v>
      </c>
      <c r="AD90" s="65">
        <v>4103</v>
      </c>
      <c r="AE90" s="64" t="s">
        <v>619</v>
      </c>
      <c r="AF90" s="64" t="s">
        <v>620</v>
      </c>
      <c r="AG90" s="64" t="s">
        <v>60</v>
      </c>
      <c r="AH90" s="64" t="s">
        <v>1359</v>
      </c>
      <c r="AI90" s="64">
        <v>45664</v>
      </c>
      <c r="AJ90" s="65" t="s">
        <v>1360</v>
      </c>
      <c r="AK90" s="64" t="s">
        <v>1361</v>
      </c>
      <c r="AL90" s="64" t="s">
        <v>1362</v>
      </c>
      <c r="AM90" s="64" t="s">
        <v>1363</v>
      </c>
      <c r="AN90" s="64" t="s">
        <v>1364</v>
      </c>
      <c r="AO90" s="64" t="s">
        <v>1365</v>
      </c>
      <c r="AP90" s="64" t="s">
        <v>1366</v>
      </c>
    </row>
    <row r="91" spans="1:43" ht="18.75">
      <c r="A91" s="139">
        <v>90</v>
      </c>
      <c r="B91" s="66" t="s">
        <v>1367</v>
      </c>
      <c r="C91" s="66" t="s">
        <v>1263</v>
      </c>
      <c r="D91" s="77"/>
      <c r="E91" s="66" t="s">
        <v>1263</v>
      </c>
      <c r="F91" s="66" t="s">
        <v>1138</v>
      </c>
      <c r="G91" s="66" t="s">
        <v>611</v>
      </c>
      <c r="H91" s="66" t="s">
        <v>612</v>
      </c>
      <c r="I91" s="71">
        <v>16</v>
      </c>
      <c r="J9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1" s="71" t="s">
        <v>95</v>
      </c>
      <c r="L91" s="71" t="str">
        <f>IF(Table1[[#This Row],[LAST]]="","Unfilled","Filled")</f>
        <v>Filled</v>
      </c>
      <c r="M91" s="66" t="s">
        <v>1368</v>
      </c>
      <c r="N91" s="66" t="s">
        <v>1369</v>
      </c>
      <c r="O91" s="66" t="s">
        <v>1370</v>
      </c>
      <c r="P91" s="63"/>
      <c r="Q91" s="64">
        <v>29378</v>
      </c>
      <c r="R91" s="64">
        <v>45019</v>
      </c>
      <c r="S91" s="64">
        <v>45019</v>
      </c>
      <c r="T91" s="64">
        <v>45453</v>
      </c>
      <c r="U91" s="64" t="s">
        <v>76</v>
      </c>
      <c r="V91" s="64" t="s">
        <v>77</v>
      </c>
      <c r="W91" s="66">
        <f t="shared" ca="1" si="2"/>
        <v>46</v>
      </c>
      <c r="X9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91" s="64" t="s">
        <v>1371</v>
      </c>
      <c r="Z91" s="64" t="s">
        <v>1372</v>
      </c>
      <c r="AA91" s="65" t="s">
        <v>1373</v>
      </c>
      <c r="AB91" s="64" t="s">
        <v>102</v>
      </c>
      <c r="AC91" s="64" t="s">
        <v>103</v>
      </c>
      <c r="AD91" s="65">
        <v>4103</v>
      </c>
      <c r="AE91" s="64" t="s">
        <v>619</v>
      </c>
      <c r="AF91" s="64" t="s">
        <v>620</v>
      </c>
      <c r="AG91" s="64" t="s">
        <v>60</v>
      </c>
      <c r="AH91" s="64" t="s">
        <v>1374</v>
      </c>
      <c r="AI91" s="64">
        <v>46179</v>
      </c>
      <c r="AJ91" s="65" t="s">
        <v>1375</v>
      </c>
      <c r="AK91" s="64" t="s">
        <v>1376</v>
      </c>
      <c r="AL91" s="64" t="s">
        <v>1377</v>
      </c>
      <c r="AM91" s="64" t="s">
        <v>1378</v>
      </c>
      <c r="AN91" s="64" t="s">
        <v>1379</v>
      </c>
      <c r="AO91" s="64" t="s">
        <v>1380</v>
      </c>
      <c r="AP91" s="64" t="s">
        <v>1381</v>
      </c>
    </row>
    <row r="92" spans="1:43" ht="18.75">
      <c r="A92" s="139">
        <v>91</v>
      </c>
      <c r="B92" s="66" t="s">
        <v>1382</v>
      </c>
      <c r="C92" s="66" t="s">
        <v>1263</v>
      </c>
      <c r="D92" s="66"/>
      <c r="E92" s="66" t="s">
        <v>1263</v>
      </c>
      <c r="F92" s="66" t="s">
        <v>1138</v>
      </c>
      <c r="G92" s="66" t="s">
        <v>611</v>
      </c>
      <c r="H92" s="66" t="s">
        <v>612</v>
      </c>
      <c r="I92" s="71">
        <v>16</v>
      </c>
      <c r="J9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2" s="71" t="s">
        <v>95</v>
      </c>
      <c r="L92" s="71" t="str">
        <f>IF(Table1[[#This Row],[LAST]]="","Unfilled","Filled")</f>
        <v>Filled</v>
      </c>
      <c r="M92" s="66" t="s">
        <v>1383</v>
      </c>
      <c r="N92" s="66" t="s">
        <v>1384</v>
      </c>
      <c r="O92" s="66" t="s">
        <v>1385</v>
      </c>
      <c r="P92" s="63"/>
      <c r="Q92" s="64">
        <v>33177</v>
      </c>
      <c r="R92" s="64">
        <v>44971</v>
      </c>
      <c r="S92" s="64">
        <v>44971</v>
      </c>
      <c r="T92" s="64">
        <v>45383</v>
      </c>
      <c r="U92" s="64" t="s">
        <v>51</v>
      </c>
      <c r="V92" s="64" t="s">
        <v>77</v>
      </c>
      <c r="W92" s="66">
        <f t="shared" ca="1" si="2"/>
        <v>35</v>
      </c>
      <c r="X9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2" s="64" t="s">
        <v>121</v>
      </c>
      <c r="Z92" s="65">
        <v>182</v>
      </c>
      <c r="AA92" s="65" t="s">
        <v>1386</v>
      </c>
      <c r="AB92" s="64" t="s">
        <v>1184</v>
      </c>
      <c r="AC92" s="64" t="s">
        <v>103</v>
      </c>
      <c r="AD92" s="65">
        <v>4104</v>
      </c>
      <c r="AE92" s="64" t="s">
        <v>619</v>
      </c>
      <c r="AF92" s="64" t="s">
        <v>620</v>
      </c>
      <c r="AG92" s="64" t="s">
        <v>60</v>
      </c>
      <c r="AH92" s="64" t="s">
        <v>1387</v>
      </c>
      <c r="AI92" s="64">
        <v>45961</v>
      </c>
      <c r="AJ92" s="65" t="s">
        <v>1388</v>
      </c>
      <c r="AK92" s="64" t="s">
        <v>1389</v>
      </c>
      <c r="AL92" s="64" t="s">
        <v>1390</v>
      </c>
      <c r="AM92" s="64" t="s">
        <v>1391</v>
      </c>
      <c r="AN92" s="64" t="s">
        <v>1392</v>
      </c>
      <c r="AO92" s="64" t="s">
        <v>66</v>
      </c>
      <c r="AP92" s="64" t="s">
        <v>1393</v>
      </c>
    </row>
    <row r="93" spans="1:43" ht="18.75">
      <c r="A93" s="139">
        <v>92</v>
      </c>
      <c r="B93" s="66" t="s">
        <v>1394</v>
      </c>
      <c r="C93" s="66" t="s">
        <v>1263</v>
      </c>
      <c r="D93" s="66"/>
      <c r="E93" s="66" t="s">
        <v>1263</v>
      </c>
      <c r="F93" s="66" t="s">
        <v>1138</v>
      </c>
      <c r="G93" s="66" t="s">
        <v>611</v>
      </c>
      <c r="H93" s="66" t="s">
        <v>612</v>
      </c>
      <c r="I93" s="71">
        <v>16</v>
      </c>
      <c r="J9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3" s="71" t="s">
        <v>95</v>
      </c>
      <c r="L93" s="71" t="str">
        <f>IF(Table1[[#This Row],[LAST]]="","Unfilled","Filled")</f>
        <v>Filled</v>
      </c>
      <c r="M93" s="66" t="s">
        <v>1395</v>
      </c>
      <c r="N93" s="66" t="s">
        <v>1396</v>
      </c>
      <c r="O93" s="66" t="s">
        <v>1397</v>
      </c>
      <c r="P93" s="63"/>
      <c r="Q93" s="64">
        <v>33156</v>
      </c>
      <c r="R93" s="64">
        <v>44334</v>
      </c>
      <c r="S93" s="64">
        <v>44334</v>
      </c>
      <c r="T93" s="64">
        <v>44844</v>
      </c>
      <c r="U93" s="64" t="s">
        <v>76</v>
      </c>
      <c r="V93" s="64" t="s">
        <v>52</v>
      </c>
      <c r="W93" s="66">
        <f t="shared" ca="1" si="2"/>
        <v>35</v>
      </c>
      <c r="X9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3" s="64" t="s">
        <v>121</v>
      </c>
      <c r="Z93" s="64" t="s">
        <v>1398</v>
      </c>
      <c r="AA93" s="65" t="s">
        <v>1399</v>
      </c>
      <c r="AB93" s="64" t="s">
        <v>580</v>
      </c>
      <c r="AC93" s="64" t="s">
        <v>103</v>
      </c>
      <c r="AD93" s="65">
        <v>4105</v>
      </c>
      <c r="AE93" s="64" t="s">
        <v>619</v>
      </c>
      <c r="AF93" s="64" t="s">
        <v>620</v>
      </c>
      <c r="AG93" s="64" t="s">
        <v>60</v>
      </c>
      <c r="AH93" s="64" t="s">
        <v>1400</v>
      </c>
      <c r="AI93" s="64">
        <v>46305</v>
      </c>
      <c r="AJ93" s="65" t="s">
        <v>1401</v>
      </c>
      <c r="AK93" s="64" t="s">
        <v>1402</v>
      </c>
      <c r="AL93" s="64" t="s">
        <v>1403</v>
      </c>
      <c r="AM93" s="64" t="s">
        <v>1404</v>
      </c>
      <c r="AN93" s="64" t="s">
        <v>1405</v>
      </c>
      <c r="AO93" s="64" t="s">
        <v>1406</v>
      </c>
      <c r="AP93" s="64" t="s">
        <v>1407</v>
      </c>
    </row>
    <row r="94" spans="1:43" ht="18.75">
      <c r="A94" s="139">
        <v>93</v>
      </c>
      <c r="B94" s="66" t="s">
        <v>1408</v>
      </c>
      <c r="C94" s="66" t="s">
        <v>1263</v>
      </c>
      <c r="D94" s="66"/>
      <c r="E94" s="66" t="s">
        <v>1263</v>
      </c>
      <c r="F94" s="66" t="s">
        <v>1138</v>
      </c>
      <c r="G94" s="66" t="s">
        <v>611</v>
      </c>
      <c r="H94" s="66" t="s">
        <v>612</v>
      </c>
      <c r="I94" s="71">
        <v>16</v>
      </c>
      <c r="J9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4" s="71" t="s">
        <v>95</v>
      </c>
      <c r="L94" s="71" t="str">
        <f>IF(Table1[[#This Row],[LAST]]="","Unfilled","Filled")</f>
        <v>Filled</v>
      </c>
      <c r="M94" s="66" t="s">
        <v>1181</v>
      </c>
      <c r="N94" s="66" t="s">
        <v>1409</v>
      </c>
      <c r="O94" s="66" t="s">
        <v>1410</v>
      </c>
      <c r="P94" s="63"/>
      <c r="Q94" s="64">
        <v>32411</v>
      </c>
      <c r="R94" s="64">
        <v>44348</v>
      </c>
      <c r="S94" s="64">
        <v>44348</v>
      </c>
      <c r="T94" s="64">
        <v>44844</v>
      </c>
      <c r="U94" s="64" t="s">
        <v>51</v>
      </c>
      <c r="V94" s="64" t="s">
        <v>77</v>
      </c>
      <c r="W94" s="66">
        <f t="shared" ca="1" si="2"/>
        <v>37</v>
      </c>
      <c r="X9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4" s="64" t="s">
        <v>1411</v>
      </c>
      <c r="Z94" s="64" t="s">
        <v>1412</v>
      </c>
      <c r="AA94" s="65" t="s">
        <v>728</v>
      </c>
      <c r="AB94" s="64" t="s">
        <v>190</v>
      </c>
      <c r="AC94" s="64" t="s">
        <v>103</v>
      </c>
      <c r="AD94" s="65">
        <v>4102</v>
      </c>
      <c r="AE94" s="64" t="s">
        <v>619</v>
      </c>
      <c r="AF94" s="64" t="s">
        <v>620</v>
      </c>
      <c r="AG94" s="64" t="s">
        <v>60</v>
      </c>
      <c r="AH94" s="64" t="s">
        <v>1413</v>
      </c>
      <c r="AI94" s="64">
        <v>46290</v>
      </c>
      <c r="AJ94" s="65" t="s">
        <v>1414</v>
      </c>
      <c r="AK94" s="64" t="s">
        <v>1415</v>
      </c>
      <c r="AL94" s="64" t="s">
        <v>1416</v>
      </c>
      <c r="AM94" s="64" t="s">
        <v>1417</v>
      </c>
      <c r="AN94" s="64" t="s">
        <v>1418</v>
      </c>
      <c r="AO94" s="64" t="s">
        <v>66</v>
      </c>
      <c r="AP94" s="64" t="s">
        <v>1419</v>
      </c>
    </row>
    <row r="95" spans="1:43" ht="18.75">
      <c r="A95" s="139">
        <v>94</v>
      </c>
      <c r="B95" s="66" t="s">
        <v>1420</v>
      </c>
      <c r="C95" s="66" t="s">
        <v>1263</v>
      </c>
      <c r="D95" s="66"/>
      <c r="E95" s="66" t="s">
        <v>1263</v>
      </c>
      <c r="F95" s="66" t="s">
        <v>1138</v>
      </c>
      <c r="G95" s="66" t="s">
        <v>611</v>
      </c>
      <c r="H95" s="66" t="s">
        <v>612</v>
      </c>
      <c r="I95" s="71">
        <v>16</v>
      </c>
      <c r="J9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5" s="71" t="s">
        <v>95</v>
      </c>
      <c r="L95" s="71" t="s">
        <v>1421</v>
      </c>
      <c r="M95" s="66" t="s">
        <v>1422</v>
      </c>
      <c r="N95" s="66" t="s">
        <v>1423</v>
      </c>
      <c r="O95" s="66" t="s">
        <v>1424</v>
      </c>
      <c r="P95" s="63"/>
      <c r="Q95" s="64">
        <v>32118</v>
      </c>
      <c r="R95" s="64">
        <v>44336</v>
      </c>
      <c r="S95" s="64">
        <v>44336</v>
      </c>
      <c r="T95" s="64">
        <v>44949</v>
      </c>
      <c r="U95" s="64" t="s">
        <v>51</v>
      </c>
      <c r="V95" s="64" t="s">
        <v>77</v>
      </c>
      <c r="W95" s="66">
        <f t="shared" ca="1" si="2"/>
        <v>38</v>
      </c>
      <c r="X9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5" s="64" t="s">
        <v>121</v>
      </c>
      <c r="Z95" s="64" t="s">
        <v>1425</v>
      </c>
      <c r="AA95" s="65" t="s">
        <v>1426</v>
      </c>
      <c r="AB95" s="64" t="s">
        <v>1184</v>
      </c>
      <c r="AC95" s="64" t="s">
        <v>103</v>
      </c>
      <c r="AD95" s="65">
        <v>4104</v>
      </c>
      <c r="AE95" s="64" t="s">
        <v>619</v>
      </c>
      <c r="AF95" s="64" t="s">
        <v>620</v>
      </c>
      <c r="AG95" s="64" t="s">
        <v>60</v>
      </c>
      <c r="AH95" s="64" t="s">
        <v>1427</v>
      </c>
      <c r="AI95" s="64">
        <v>46728</v>
      </c>
      <c r="AJ95" s="65" t="s">
        <v>1428</v>
      </c>
      <c r="AK95" s="64" t="s">
        <v>1429</v>
      </c>
      <c r="AL95" s="64" t="s">
        <v>1430</v>
      </c>
      <c r="AM95" s="64" t="s">
        <v>1431</v>
      </c>
      <c r="AN95" s="64" t="s">
        <v>1432</v>
      </c>
      <c r="AO95" s="64" t="s">
        <v>66</v>
      </c>
      <c r="AP95" s="64" t="s">
        <v>1433</v>
      </c>
    </row>
    <row r="96" spans="1:43" ht="18.75">
      <c r="A96" s="139">
        <v>95</v>
      </c>
      <c r="B96" s="66" t="s">
        <v>1434</v>
      </c>
      <c r="C96" s="66" t="s">
        <v>1263</v>
      </c>
      <c r="D96" s="66"/>
      <c r="E96" s="66" t="s">
        <v>1263</v>
      </c>
      <c r="F96" s="66" t="s">
        <v>1138</v>
      </c>
      <c r="G96" s="66" t="s">
        <v>611</v>
      </c>
      <c r="H96" s="66" t="s">
        <v>612</v>
      </c>
      <c r="I96" s="71">
        <v>16</v>
      </c>
      <c r="J9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6" s="71" t="s">
        <v>95</v>
      </c>
      <c r="L96" s="71" t="str">
        <f>IF(Table1[[#This Row],[LAST]]="","Unfilled","Filled")</f>
        <v>Filled</v>
      </c>
      <c r="M96" s="66" t="s">
        <v>941</v>
      </c>
      <c r="N96" s="66" t="s">
        <v>1435</v>
      </c>
      <c r="O96" s="66" t="s">
        <v>1436</v>
      </c>
      <c r="P96" s="63"/>
      <c r="Q96" s="64">
        <v>31657</v>
      </c>
      <c r="R96" s="64">
        <v>44348</v>
      </c>
      <c r="S96" s="64">
        <v>44348</v>
      </c>
      <c r="T96" s="64">
        <v>44950</v>
      </c>
      <c r="U96" s="64" t="s">
        <v>76</v>
      </c>
      <c r="V96" s="64" t="s">
        <v>77</v>
      </c>
      <c r="W96" s="66">
        <f t="shared" ca="1" si="2"/>
        <v>39</v>
      </c>
      <c r="X9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6" s="64" t="s">
        <v>81</v>
      </c>
      <c r="Z96" s="64" t="s">
        <v>1437</v>
      </c>
      <c r="AA96" s="65" t="s">
        <v>1438</v>
      </c>
      <c r="AB96" s="64" t="s">
        <v>190</v>
      </c>
      <c r="AC96" s="64" t="s">
        <v>103</v>
      </c>
      <c r="AD96" s="65">
        <v>4102</v>
      </c>
      <c r="AE96" s="64" t="s">
        <v>619</v>
      </c>
      <c r="AF96" s="64" t="s">
        <v>620</v>
      </c>
      <c r="AG96" s="64" t="s">
        <v>60</v>
      </c>
      <c r="AH96" s="64" t="s">
        <v>1439</v>
      </c>
      <c r="AI96" s="64">
        <v>46632</v>
      </c>
      <c r="AJ96" s="65" t="s">
        <v>1440</v>
      </c>
      <c r="AK96" s="64" t="s">
        <v>1441</v>
      </c>
      <c r="AL96" s="64" t="s">
        <v>1442</v>
      </c>
      <c r="AM96" s="64" t="s">
        <v>1443</v>
      </c>
      <c r="AN96" s="64" t="s">
        <v>1444</v>
      </c>
      <c r="AO96" s="64" t="s">
        <v>1445</v>
      </c>
      <c r="AP96" s="64" t="s">
        <v>1446</v>
      </c>
    </row>
    <row r="97" spans="1:42" ht="18.75">
      <c r="A97" s="139">
        <v>96</v>
      </c>
      <c r="B97" s="66" t="s">
        <v>1447</v>
      </c>
      <c r="C97" s="66" t="s">
        <v>1263</v>
      </c>
      <c r="D97" s="66"/>
      <c r="E97" s="66" t="s">
        <v>1263</v>
      </c>
      <c r="F97" s="66" t="s">
        <v>1138</v>
      </c>
      <c r="G97" s="66" t="s">
        <v>611</v>
      </c>
      <c r="H97" s="66" t="s">
        <v>612</v>
      </c>
      <c r="I97" s="71">
        <v>16</v>
      </c>
      <c r="J9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7" s="71" t="s">
        <v>95</v>
      </c>
      <c r="L97" s="71" t="str">
        <f>IF(Table1[[#This Row],[LAST]]="","Unfilled","Filled")</f>
        <v>Filled</v>
      </c>
      <c r="M97" s="66" t="s">
        <v>1448</v>
      </c>
      <c r="N97" s="66" t="s">
        <v>1449</v>
      </c>
      <c r="O97" s="66" t="s">
        <v>403</v>
      </c>
      <c r="P97" s="63"/>
      <c r="Q97" s="64">
        <v>33562</v>
      </c>
      <c r="R97" s="64">
        <v>44504</v>
      </c>
      <c r="S97" s="64">
        <v>44504</v>
      </c>
      <c r="T97" s="64">
        <v>44963</v>
      </c>
      <c r="U97" s="64" t="s">
        <v>51</v>
      </c>
      <c r="V97" s="64" t="s">
        <v>77</v>
      </c>
      <c r="W97" s="66">
        <f t="shared" ca="1" si="2"/>
        <v>34</v>
      </c>
      <c r="X9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7" s="64" t="s">
        <v>1450</v>
      </c>
      <c r="Z97" s="64" t="s">
        <v>1451</v>
      </c>
      <c r="AA97" s="65" t="s">
        <v>1452</v>
      </c>
      <c r="AB97" s="64" t="s">
        <v>190</v>
      </c>
      <c r="AC97" s="64" t="s">
        <v>103</v>
      </c>
      <c r="AD97" s="65">
        <v>4102</v>
      </c>
      <c r="AE97" s="64" t="s">
        <v>619</v>
      </c>
      <c r="AF97" s="64" t="s">
        <v>620</v>
      </c>
      <c r="AG97" s="64" t="s">
        <v>60</v>
      </c>
      <c r="AH97" s="64" t="s">
        <v>1453</v>
      </c>
      <c r="AI97" s="64">
        <v>46346</v>
      </c>
      <c r="AJ97" s="65" t="s">
        <v>1454</v>
      </c>
      <c r="AK97" s="64" t="s">
        <v>1455</v>
      </c>
      <c r="AL97" s="64" t="s">
        <v>1456</v>
      </c>
      <c r="AM97" s="64" t="s">
        <v>1457</v>
      </c>
      <c r="AN97" s="64" t="s">
        <v>1458</v>
      </c>
      <c r="AO97" s="64" t="s">
        <v>1459</v>
      </c>
      <c r="AP97" s="64" t="s">
        <v>1460</v>
      </c>
    </row>
    <row r="98" spans="1:42" ht="18.75">
      <c r="A98" s="139">
        <v>97</v>
      </c>
      <c r="B98" s="66" t="s">
        <v>1461</v>
      </c>
      <c r="C98" s="66" t="s">
        <v>1263</v>
      </c>
      <c r="D98" s="66"/>
      <c r="E98" s="66" t="s">
        <v>1263</v>
      </c>
      <c r="F98" s="66" t="s">
        <v>1138</v>
      </c>
      <c r="G98" s="66" t="s">
        <v>611</v>
      </c>
      <c r="H98" s="66" t="s">
        <v>612</v>
      </c>
      <c r="I98" s="71">
        <v>16</v>
      </c>
      <c r="J9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8" s="71" t="s">
        <v>95</v>
      </c>
      <c r="L98" s="71" t="str">
        <f>IF(Table1[[#This Row],[LAST]]="","Unfilled","Filled")</f>
        <v>Filled</v>
      </c>
      <c r="M98" s="66" t="s">
        <v>1462</v>
      </c>
      <c r="N98" s="66" t="s">
        <v>1463</v>
      </c>
      <c r="O98" s="66" t="s">
        <v>1464</v>
      </c>
      <c r="P98" s="63"/>
      <c r="Q98" s="64">
        <v>31755</v>
      </c>
      <c r="R98" s="64">
        <v>43466</v>
      </c>
      <c r="S98" s="64">
        <v>44363</v>
      </c>
      <c r="T98" s="64">
        <v>44949</v>
      </c>
      <c r="U98" s="64" t="s">
        <v>51</v>
      </c>
      <c r="V98" s="64" t="s">
        <v>77</v>
      </c>
      <c r="W98" s="66">
        <f t="shared" ca="1" si="2"/>
        <v>39</v>
      </c>
      <c r="X9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8" s="64" t="s">
        <v>1465</v>
      </c>
      <c r="Z98" s="65">
        <v>48</v>
      </c>
      <c r="AA98" s="65" t="s">
        <v>1466</v>
      </c>
      <c r="AB98" s="64" t="s">
        <v>190</v>
      </c>
      <c r="AC98" s="64" t="s">
        <v>103</v>
      </c>
      <c r="AD98" s="65">
        <v>4102</v>
      </c>
      <c r="AE98" s="64" t="s">
        <v>619</v>
      </c>
      <c r="AF98" s="64" t="s">
        <v>620</v>
      </c>
      <c r="AG98" s="64" t="s">
        <v>60</v>
      </c>
      <c r="AH98" s="64" t="s">
        <v>1467</v>
      </c>
      <c r="AI98" s="64">
        <v>46000</v>
      </c>
      <c r="AJ98" s="65" t="s">
        <v>1468</v>
      </c>
      <c r="AK98" s="64" t="s">
        <v>1469</v>
      </c>
      <c r="AL98" s="64" t="s">
        <v>1470</v>
      </c>
      <c r="AM98" s="64" t="s">
        <v>1471</v>
      </c>
      <c r="AN98" s="64" t="s">
        <v>1472</v>
      </c>
      <c r="AO98" s="64" t="s">
        <v>66</v>
      </c>
      <c r="AP98" s="64" t="s">
        <v>1473</v>
      </c>
    </row>
    <row r="99" spans="1:42" ht="18.75">
      <c r="A99" s="139">
        <v>98</v>
      </c>
      <c r="B99" s="66" t="s">
        <v>1474</v>
      </c>
      <c r="C99" s="66" t="s">
        <v>1263</v>
      </c>
      <c r="D99" s="77"/>
      <c r="E99" s="66" t="s">
        <v>1263</v>
      </c>
      <c r="F99" s="66" t="s">
        <v>1138</v>
      </c>
      <c r="G99" s="66" t="s">
        <v>611</v>
      </c>
      <c r="H99" s="66" t="s">
        <v>612</v>
      </c>
      <c r="I99" s="71">
        <v>16</v>
      </c>
      <c r="J9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99" s="71" t="s">
        <v>95</v>
      </c>
      <c r="L99" s="71" t="str">
        <f>IF(Table1[[#This Row],[LAST]]="","Unfilled","Filled")</f>
        <v>Filled</v>
      </c>
      <c r="M99" s="66" t="s">
        <v>1475</v>
      </c>
      <c r="N99" s="66" t="s">
        <v>1476</v>
      </c>
      <c r="O99" s="66" t="s">
        <v>1477</v>
      </c>
      <c r="P99" s="63"/>
      <c r="Q99" s="64">
        <v>33150</v>
      </c>
      <c r="R99" s="64">
        <v>44946</v>
      </c>
      <c r="S99" s="64">
        <v>44946</v>
      </c>
      <c r="T99" s="64">
        <v>45474</v>
      </c>
      <c r="U99" s="64" t="s">
        <v>76</v>
      </c>
      <c r="V99" s="64" t="s">
        <v>77</v>
      </c>
      <c r="W99" s="66">
        <f t="shared" ca="1" si="2"/>
        <v>35</v>
      </c>
      <c r="X9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99" s="64" t="s">
        <v>284</v>
      </c>
      <c r="Z99" s="64" t="s">
        <v>1478</v>
      </c>
      <c r="AA99" s="65" t="s">
        <v>795</v>
      </c>
      <c r="AB99" s="64" t="s">
        <v>580</v>
      </c>
      <c r="AC99" s="64" t="s">
        <v>103</v>
      </c>
      <c r="AD99" s="65">
        <v>4015</v>
      </c>
      <c r="AE99" s="64" t="s">
        <v>619</v>
      </c>
      <c r="AF99" s="64" t="s">
        <v>620</v>
      </c>
      <c r="AG99" s="64" t="s">
        <v>60</v>
      </c>
      <c r="AH99" s="64" t="s">
        <v>1479</v>
      </c>
      <c r="AI99" s="64">
        <v>46664</v>
      </c>
      <c r="AJ99" s="65" t="s">
        <v>1480</v>
      </c>
      <c r="AK99" s="64" t="s">
        <v>1481</v>
      </c>
      <c r="AL99" s="64" t="s">
        <v>1482</v>
      </c>
      <c r="AM99" s="64" t="s">
        <v>1483</v>
      </c>
      <c r="AN99" s="64" t="s">
        <v>1484</v>
      </c>
      <c r="AO99" s="64" t="s">
        <v>1485</v>
      </c>
      <c r="AP99" s="64" t="s">
        <v>1486</v>
      </c>
    </row>
    <row r="100" spans="1:42" ht="18.75">
      <c r="A100" s="139">
        <v>99</v>
      </c>
      <c r="B100" s="66" t="s">
        <v>1487</v>
      </c>
      <c r="C100" s="66" t="s">
        <v>1263</v>
      </c>
      <c r="D100" s="66"/>
      <c r="E100" s="66" t="s">
        <v>1263</v>
      </c>
      <c r="F100" s="66" t="s">
        <v>1138</v>
      </c>
      <c r="G100" s="66" t="s">
        <v>611</v>
      </c>
      <c r="H100" s="66" t="s">
        <v>612</v>
      </c>
      <c r="I100" s="71">
        <v>16</v>
      </c>
      <c r="J10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0" s="71" t="s">
        <v>95</v>
      </c>
      <c r="L100" s="71" t="str">
        <f>IF(Table1[[#This Row],[LAST]]="","Unfilled","Filled")</f>
        <v>Filled</v>
      </c>
      <c r="M100" s="66" t="s">
        <v>1488</v>
      </c>
      <c r="N100" s="66" t="s">
        <v>1489</v>
      </c>
      <c r="O100" s="66" t="s">
        <v>1490</v>
      </c>
      <c r="P100" s="63"/>
      <c r="Q100" s="64">
        <v>33440</v>
      </c>
      <c r="R100" s="64">
        <v>44636</v>
      </c>
      <c r="S100" s="64">
        <v>44636</v>
      </c>
      <c r="T100" s="64">
        <v>45078</v>
      </c>
      <c r="U100" s="64" t="s">
        <v>51</v>
      </c>
      <c r="V100" s="64" t="s">
        <v>77</v>
      </c>
      <c r="W100" s="66">
        <f t="shared" ca="1" si="2"/>
        <v>35</v>
      </c>
      <c r="X10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0" s="64" t="s">
        <v>154</v>
      </c>
      <c r="Z100" s="64" t="s">
        <v>1491</v>
      </c>
      <c r="AA100" s="65" t="s">
        <v>1492</v>
      </c>
      <c r="AB100" s="64" t="s">
        <v>190</v>
      </c>
      <c r="AC100" s="64" t="s">
        <v>103</v>
      </c>
      <c r="AD100" s="65">
        <v>4102</v>
      </c>
      <c r="AE100" s="64" t="s">
        <v>619</v>
      </c>
      <c r="AF100" s="64" t="s">
        <v>620</v>
      </c>
      <c r="AG100" s="64" t="s">
        <v>60</v>
      </c>
      <c r="AH100" s="64" t="s">
        <v>1493</v>
      </c>
      <c r="AI100" s="64">
        <v>46589</v>
      </c>
      <c r="AJ100" s="65" t="s">
        <v>1494</v>
      </c>
      <c r="AK100" s="64" t="s">
        <v>1495</v>
      </c>
      <c r="AL100" s="64" t="s">
        <v>1496</v>
      </c>
      <c r="AM100" s="64" t="s">
        <v>1497</v>
      </c>
      <c r="AN100" s="64" t="s">
        <v>1498</v>
      </c>
      <c r="AO100" s="64" t="s">
        <v>66</v>
      </c>
      <c r="AP100" s="64" t="s">
        <v>1499</v>
      </c>
    </row>
    <row r="101" spans="1:42" ht="18.75">
      <c r="A101" s="139">
        <v>100</v>
      </c>
      <c r="B101" s="66" t="s">
        <v>1500</v>
      </c>
      <c r="C101" s="66" t="s">
        <v>1263</v>
      </c>
      <c r="D101" s="66"/>
      <c r="E101" s="66" t="s">
        <v>1263</v>
      </c>
      <c r="F101" s="66" t="s">
        <v>1138</v>
      </c>
      <c r="G101" s="66" t="s">
        <v>611</v>
      </c>
      <c r="H101" s="66" t="s">
        <v>612</v>
      </c>
      <c r="I101" s="71">
        <v>16</v>
      </c>
      <c r="J10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1" s="71" t="s">
        <v>95</v>
      </c>
      <c r="L101" s="71" t="str">
        <f>IF(Table1[[#This Row],[LAST]]="","Unfilled","Filled")</f>
        <v>Filled</v>
      </c>
      <c r="M101" s="66" t="s">
        <v>1501</v>
      </c>
      <c r="N101" s="66" t="s">
        <v>1502</v>
      </c>
      <c r="O101" s="66" t="s">
        <v>1503</v>
      </c>
      <c r="P101" s="63"/>
      <c r="Q101" s="64">
        <v>26043</v>
      </c>
      <c r="R101" s="64">
        <v>38412</v>
      </c>
      <c r="S101" s="64">
        <v>44348</v>
      </c>
      <c r="T101" s="64">
        <v>45086</v>
      </c>
      <c r="U101" s="64" t="s">
        <v>51</v>
      </c>
      <c r="V101" s="64" t="s">
        <v>77</v>
      </c>
      <c r="W101" s="66">
        <f t="shared" ca="1" si="2"/>
        <v>55</v>
      </c>
      <c r="X10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01" s="64" t="s">
        <v>1504</v>
      </c>
      <c r="Z101" s="64" t="s">
        <v>1505</v>
      </c>
      <c r="AA101" s="65" t="s">
        <v>1506</v>
      </c>
      <c r="AB101" s="64" t="s">
        <v>138</v>
      </c>
      <c r="AC101" s="64" t="s">
        <v>103</v>
      </c>
      <c r="AD101" s="65">
        <v>4114</v>
      </c>
      <c r="AE101" s="64" t="s">
        <v>619</v>
      </c>
      <c r="AF101" s="64" t="s">
        <v>620</v>
      </c>
      <c r="AG101" s="64" t="s">
        <v>60</v>
      </c>
      <c r="AH101" s="64" t="s">
        <v>1507</v>
      </c>
      <c r="AI101" s="64">
        <v>46132</v>
      </c>
      <c r="AJ101" s="65" t="s">
        <v>1508</v>
      </c>
      <c r="AK101" s="64" t="s">
        <v>1509</v>
      </c>
      <c r="AL101" s="64" t="s">
        <v>1510</v>
      </c>
      <c r="AM101" s="64" t="s">
        <v>1511</v>
      </c>
      <c r="AN101" s="64" t="s">
        <v>1512</v>
      </c>
      <c r="AO101" s="64" t="s">
        <v>1513</v>
      </c>
      <c r="AP101" s="64" t="s">
        <v>1514</v>
      </c>
    </row>
    <row r="102" spans="1:42" ht="18.75">
      <c r="A102" s="139">
        <v>101</v>
      </c>
      <c r="B102" s="66" t="s">
        <v>1515</v>
      </c>
      <c r="C102" s="66" t="s">
        <v>1263</v>
      </c>
      <c r="D102" s="66"/>
      <c r="E102" s="66" t="s">
        <v>1263</v>
      </c>
      <c r="F102" s="66" t="s">
        <v>1138</v>
      </c>
      <c r="G102" s="66" t="s">
        <v>611</v>
      </c>
      <c r="H102" s="66" t="s">
        <v>612</v>
      </c>
      <c r="I102" s="71">
        <v>16</v>
      </c>
      <c r="J10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2" s="71" t="s">
        <v>95</v>
      </c>
      <c r="L102" s="71" t="str">
        <f>IF(Table1[[#This Row],[LAST]]="","Unfilled","Filled")</f>
        <v>Filled</v>
      </c>
      <c r="M102" s="66" t="s">
        <v>1516</v>
      </c>
      <c r="N102" s="66" t="s">
        <v>1517</v>
      </c>
      <c r="O102" s="66" t="s">
        <v>668</v>
      </c>
      <c r="P102" s="63"/>
      <c r="Q102" s="64">
        <v>32349</v>
      </c>
      <c r="R102" s="64">
        <v>45233</v>
      </c>
      <c r="S102" s="64">
        <v>45233</v>
      </c>
      <c r="T102" s="64">
        <v>45233</v>
      </c>
      <c r="U102" s="64" t="s">
        <v>51</v>
      </c>
      <c r="V102" s="64" t="s">
        <v>77</v>
      </c>
      <c r="W102" s="66">
        <f t="shared" ca="1" si="2"/>
        <v>38</v>
      </c>
      <c r="X10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2" s="64" t="s">
        <v>1518</v>
      </c>
      <c r="Z102" s="64" t="s">
        <v>1519</v>
      </c>
      <c r="AA102" s="65" t="s">
        <v>1520</v>
      </c>
      <c r="AB102" s="64" t="s">
        <v>1184</v>
      </c>
      <c r="AC102" s="64" t="s">
        <v>103</v>
      </c>
      <c r="AD102" s="65">
        <v>4104</v>
      </c>
      <c r="AE102" s="64" t="s">
        <v>619</v>
      </c>
      <c r="AF102" s="64" t="s">
        <v>620</v>
      </c>
      <c r="AG102" s="64" t="s">
        <v>60</v>
      </c>
      <c r="AH102" s="64" t="s">
        <v>1521</v>
      </c>
      <c r="AI102" s="64">
        <v>45863</v>
      </c>
      <c r="AJ102" s="65" t="s">
        <v>1522</v>
      </c>
      <c r="AK102" s="64" t="s">
        <v>1523</v>
      </c>
      <c r="AL102" s="64" t="s">
        <v>1524</v>
      </c>
      <c r="AM102" s="64" t="s">
        <v>1525</v>
      </c>
      <c r="AN102" s="64" t="s">
        <v>1526</v>
      </c>
      <c r="AO102" s="64" t="s">
        <v>1527</v>
      </c>
      <c r="AP102" s="64" t="s">
        <v>1528</v>
      </c>
    </row>
    <row r="103" spans="1:42" ht="18.75">
      <c r="A103" s="139">
        <v>102</v>
      </c>
      <c r="B103" s="66" t="s">
        <v>1529</v>
      </c>
      <c r="C103" s="66" t="s">
        <v>1263</v>
      </c>
      <c r="D103" s="66"/>
      <c r="E103" s="66" t="s">
        <v>1263</v>
      </c>
      <c r="F103" s="66" t="s">
        <v>1138</v>
      </c>
      <c r="G103" s="66" t="s">
        <v>611</v>
      </c>
      <c r="H103" s="66" t="s">
        <v>612</v>
      </c>
      <c r="I103" s="71">
        <v>16</v>
      </c>
      <c r="J10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3" s="71" t="s">
        <v>95</v>
      </c>
      <c r="L103" s="71" t="str">
        <f>IF(Table1[[#This Row],[LAST]]="","Unfilled","Filled")</f>
        <v>Filled</v>
      </c>
      <c r="M103" s="66" t="s">
        <v>1530</v>
      </c>
      <c r="N103" s="66" t="s">
        <v>1531</v>
      </c>
      <c r="O103" s="66" t="s">
        <v>1532</v>
      </c>
      <c r="P103" s="63"/>
      <c r="Q103" s="64">
        <v>33069</v>
      </c>
      <c r="R103" s="64">
        <v>44334</v>
      </c>
      <c r="S103" s="64">
        <v>44334</v>
      </c>
      <c r="T103" s="64">
        <v>45078</v>
      </c>
      <c r="U103" s="64" t="s">
        <v>51</v>
      </c>
      <c r="V103" s="64" t="s">
        <v>77</v>
      </c>
      <c r="W103" s="66">
        <f t="shared" ca="1" si="2"/>
        <v>36</v>
      </c>
      <c r="X10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3" s="64" t="s">
        <v>81</v>
      </c>
      <c r="Z103" s="64" t="s">
        <v>1533</v>
      </c>
      <c r="AA103" s="65" t="s">
        <v>1534</v>
      </c>
      <c r="AB103" s="64" t="s">
        <v>102</v>
      </c>
      <c r="AC103" s="64" t="s">
        <v>103</v>
      </c>
      <c r="AD103" s="65">
        <v>4103</v>
      </c>
      <c r="AE103" s="64" t="s">
        <v>619</v>
      </c>
      <c r="AF103" s="64" t="s">
        <v>620</v>
      </c>
      <c r="AG103" s="64" t="s">
        <v>60</v>
      </c>
      <c r="AH103" s="64" t="s">
        <v>1535</v>
      </c>
      <c r="AI103" s="64">
        <v>45853</v>
      </c>
      <c r="AJ103" s="65" t="s">
        <v>1536</v>
      </c>
      <c r="AK103" s="64" t="s">
        <v>1537</v>
      </c>
      <c r="AL103" s="64" t="s">
        <v>1538</v>
      </c>
      <c r="AM103" s="64" t="s">
        <v>1539</v>
      </c>
      <c r="AN103" s="64" t="s">
        <v>1540</v>
      </c>
      <c r="AO103" s="64" t="s">
        <v>66</v>
      </c>
      <c r="AP103" s="64" t="s">
        <v>1541</v>
      </c>
    </row>
    <row r="104" spans="1:42" ht="18.75">
      <c r="A104" s="139">
        <v>103</v>
      </c>
      <c r="B104" s="66" t="s">
        <v>1542</v>
      </c>
      <c r="C104" s="66" t="s">
        <v>1263</v>
      </c>
      <c r="D104" s="66"/>
      <c r="E104" s="66" t="s">
        <v>1263</v>
      </c>
      <c r="F104" s="66" t="s">
        <v>1138</v>
      </c>
      <c r="G104" s="66" t="s">
        <v>611</v>
      </c>
      <c r="H104" s="66" t="s">
        <v>612</v>
      </c>
      <c r="I104" s="71">
        <v>16</v>
      </c>
      <c r="J10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4" s="71" t="s">
        <v>95</v>
      </c>
      <c r="L104" s="71" t="str">
        <f>IF(Table1[[#This Row],[LAST]]="","Unfilled","Filled")</f>
        <v>Filled</v>
      </c>
      <c r="M104" s="66" t="s">
        <v>1543</v>
      </c>
      <c r="N104" s="66" t="s">
        <v>1544</v>
      </c>
      <c r="O104" s="66" t="s">
        <v>1545</v>
      </c>
      <c r="P104" s="63"/>
      <c r="Q104" s="64">
        <v>34578</v>
      </c>
      <c r="R104" s="64">
        <v>44636</v>
      </c>
      <c r="S104" s="64">
        <v>44636</v>
      </c>
      <c r="T104" s="64">
        <v>45078</v>
      </c>
      <c r="U104" s="64" t="s">
        <v>76</v>
      </c>
      <c r="V104" s="64" t="s">
        <v>77</v>
      </c>
      <c r="W104" s="66">
        <f t="shared" ca="1" si="2"/>
        <v>31</v>
      </c>
      <c r="X10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4" s="64" t="s">
        <v>616</v>
      </c>
      <c r="Z104" s="64" t="s">
        <v>1546</v>
      </c>
      <c r="AA104" s="65" t="s">
        <v>1452</v>
      </c>
      <c r="AB104" s="64" t="s">
        <v>190</v>
      </c>
      <c r="AC104" s="64" t="s">
        <v>103</v>
      </c>
      <c r="AD104" s="65">
        <v>4102</v>
      </c>
      <c r="AE104" s="64" t="s">
        <v>619</v>
      </c>
      <c r="AF104" s="64" t="s">
        <v>620</v>
      </c>
      <c r="AG104" s="64" t="s">
        <v>60</v>
      </c>
      <c r="AH104" s="64" t="s">
        <v>1547</v>
      </c>
      <c r="AI104" s="64">
        <v>46631</v>
      </c>
      <c r="AJ104" s="65" t="s">
        <v>1548</v>
      </c>
      <c r="AK104" s="64" t="s">
        <v>1549</v>
      </c>
      <c r="AL104" s="64" t="s">
        <v>1550</v>
      </c>
      <c r="AM104" s="64" t="s">
        <v>1551</v>
      </c>
      <c r="AN104" s="64" t="s">
        <v>1552</v>
      </c>
      <c r="AO104" s="64" t="s">
        <v>66</v>
      </c>
      <c r="AP104" s="64" t="s">
        <v>1553</v>
      </c>
    </row>
    <row r="105" spans="1:42" ht="18.75">
      <c r="A105" s="139">
        <v>104</v>
      </c>
      <c r="B105" s="66" t="s">
        <v>1554</v>
      </c>
      <c r="C105" s="66" t="s">
        <v>1263</v>
      </c>
      <c r="D105" s="66"/>
      <c r="E105" s="66" t="s">
        <v>1263</v>
      </c>
      <c r="F105" s="66" t="s">
        <v>1138</v>
      </c>
      <c r="G105" s="66" t="s">
        <v>611</v>
      </c>
      <c r="H105" s="66" t="s">
        <v>612</v>
      </c>
      <c r="I105" s="71">
        <v>16</v>
      </c>
      <c r="J10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5" s="71" t="s">
        <v>95</v>
      </c>
      <c r="L105" s="71" t="str">
        <f>IF(Table1[[#This Row],[LAST]]="","Unfilled","Filled")</f>
        <v>Filled</v>
      </c>
      <c r="M105" s="66" t="s">
        <v>1166</v>
      </c>
      <c r="N105" s="66" t="s">
        <v>1555</v>
      </c>
      <c r="O105" s="66" t="s">
        <v>1556</v>
      </c>
      <c r="P105" s="63"/>
      <c r="Q105" s="64">
        <v>31962</v>
      </c>
      <c r="R105" s="64">
        <v>44349</v>
      </c>
      <c r="S105" s="64">
        <v>44348</v>
      </c>
      <c r="T105" s="64">
        <v>45126</v>
      </c>
      <c r="U105" s="64" t="s">
        <v>76</v>
      </c>
      <c r="V105" s="64" t="s">
        <v>52</v>
      </c>
      <c r="W105" s="66">
        <f t="shared" ca="1" si="2"/>
        <v>39</v>
      </c>
      <c r="X10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5" s="64" t="s">
        <v>1557</v>
      </c>
      <c r="Z105" s="64" t="s">
        <v>1558</v>
      </c>
      <c r="AA105" s="65" t="s">
        <v>1559</v>
      </c>
      <c r="AB105" s="64" t="s">
        <v>1560</v>
      </c>
      <c r="AC105" s="64" t="s">
        <v>154</v>
      </c>
      <c r="AD105" s="65">
        <v>1012</v>
      </c>
      <c r="AE105" s="64" t="s">
        <v>619</v>
      </c>
      <c r="AF105" s="64" t="s">
        <v>620</v>
      </c>
      <c r="AG105" s="64" t="s">
        <v>60</v>
      </c>
      <c r="AH105" s="64" t="s">
        <v>1561</v>
      </c>
      <c r="AI105" s="64">
        <v>45842</v>
      </c>
      <c r="AJ105" s="65" t="s">
        <v>1562</v>
      </c>
      <c r="AK105" s="64" t="s">
        <v>1563</v>
      </c>
      <c r="AL105" s="64" t="s">
        <v>1564</v>
      </c>
      <c r="AM105" s="64" t="s">
        <v>1565</v>
      </c>
      <c r="AN105" s="64" t="s">
        <v>1566</v>
      </c>
      <c r="AO105" s="64" t="s">
        <v>66</v>
      </c>
      <c r="AP105" s="64" t="s">
        <v>1567</v>
      </c>
    </row>
    <row r="106" spans="1:42" ht="18.75">
      <c r="A106" s="139">
        <v>105</v>
      </c>
      <c r="B106" s="66" t="s">
        <v>1568</v>
      </c>
      <c r="C106" s="66" t="s">
        <v>1263</v>
      </c>
      <c r="D106" s="66"/>
      <c r="E106" s="66" t="s">
        <v>1263</v>
      </c>
      <c r="F106" s="66" t="s">
        <v>1138</v>
      </c>
      <c r="G106" s="66" t="s">
        <v>611</v>
      </c>
      <c r="H106" s="66" t="s">
        <v>612</v>
      </c>
      <c r="I106" s="71">
        <v>16</v>
      </c>
      <c r="J10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6" s="71" t="s">
        <v>95</v>
      </c>
      <c r="L106" s="71" t="str">
        <f>IF(Table1[[#This Row],[LAST]]="","Unfilled","Filled")</f>
        <v>Filled</v>
      </c>
      <c r="M106" s="66" t="s">
        <v>1569</v>
      </c>
      <c r="N106" s="66" t="s">
        <v>1570</v>
      </c>
      <c r="O106" s="66" t="s">
        <v>1571</v>
      </c>
      <c r="P106" s="63"/>
      <c r="Q106" s="64">
        <v>32254</v>
      </c>
      <c r="R106" s="64">
        <v>43515</v>
      </c>
      <c r="S106" s="64">
        <v>44363</v>
      </c>
      <c r="T106" s="64">
        <v>45261</v>
      </c>
      <c r="U106" s="64" t="s">
        <v>76</v>
      </c>
      <c r="V106" s="64" t="s">
        <v>52</v>
      </c>
      <c r="W106" s="66">
        <f t="shared" ca="1" si="2"/>
        <v>38</v>
      </c>
      <c r="X10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6" s="64" t="s">
        <v>1572</v>
      </c>
      <c r="Z106" s="64" t="s">
        <v>1573</v>
      </c>
      <c r="AA106" s="65" t="s">
        <v>1574</v>
      </c>
      <c r="AB106" s="64" t="s">
        <v>138</v>
      </c>
      <c r="AC106" s="64" t="s">
        <v>103</v>
      </c>
      <c r="AD106" s="65">
        <v>4114</v>
      </c>
      <c r="AE106" s="64" t="s">
        <v>619</v>
      </c>
      <c r="AF106" s="64" t="s">
        <v>620</v>
      </c>
      <c r="AG106" s="64" t="s">
        <v>60</v>
      </c>
      <c r="AH106" s="64" t="s">
        <v>1575</v>
      </c>
      <c r="AI106" s="64">
        <v>45768</v>
      </c>
      <c r="AJ106" s="65" t="s">
        <v>1576</v>
      </c>
      <c r="AK106" s="64" t="s">
        <v>1577</v>
      </c>
      <c r="AL106" s="64" t="s">
        <v>1578</v>
      </c>
      <c r="AM106" s="64" t="s">
        <v>1579</v>
      </c>
      <c r="AN106" s="64" t="s">
        <v>1580</v>
      </c>
      <c r="AO106" s="64" t="s">
        <v>66</v>
      </c>
      <c r="AP106" s="64" t="s">
        <v>1581</v>
      </c>
    </row>
    <row r="107" spans="1:42" ht="18.75">
      <c r="A107" s="139">
        <v>106</v>
      </c>
      <c r="B107" s="66" t="s">
        <v>1582</v>
      </c>
      <c r="C107" s="66" t="s">
        <v>1263</v>
      </c>
      <c r="D107" s="66"/>
      <c r="E107" s="66" t="s">
        <v>1263</v>
      </c>
      <c r="F107" s="66" t="s">
        <v>1138</v>
      </c>
      <c r="G107" s="66" t="s">
        <v>611</v>
      </c>
      <c r="H107" s="66" t="s">
        <v>612</v>
      </c>
      <c r="I107" s="71">
        <v>16</v>
      </c>
      <c r="J10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7" s="71" t="s">
        <v>95</v>
      </c>
      <c r="L107" s="71" t="str">
        <f>IF(Table1[[#This Row],[LAST]]="","Unfilled","Filled")</f>
        <v>Filled</v>
      </c>
      <c r="M107" s="66" t="s">
        <v>858</v>
      </c>
      <c r="N107" s="66" t="s">
        <v>1583</v>
      </c>
      <c r="O107" s="66" t="s">
        <v>135</v>
      </c>
      <c r="P107" s="63"/>
      <c r="Q107" s="64">
        <v>31921</v>
      </c>
      <c r="R107" s="64">
        <v>44351</v>
      </c>
      <c r="S107" s="64">
        <v>44351</v>
      </c>
      <c r="T107" s="64">
        <v>45156</v>
      </c>
      <c r="U107" s="64" t="s">
        <v>51</v>
      </c>
      <c r="V107" s="64" t="s">
        <v>77</v>
      </c>
      <c r="W107" s="66">
        <f t="shared" ca="1" si="2"/>
        <v>39</v>
      </c>
      <c r="X10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7" s="64" t="s">
        <v>391</v>
      </c>
      <c r="Z107" s="64" t="s">
        <v>1584</v>
      </c>
      <c r="AA107" s="65" t="s">
        <v>1585</v>
      </c>
      <c r="AB107" s="64" t="s">
        <v>102</v>
      </c>
      <c r="AC107" s="64" t="s">
        <v>103</v>
      </c>
      <c r="AD107" s="65">
        <v>4103</v>
      </c>
      <c r="AE107" s="64" t="s">
        <v>619</v>
      </c>
      <c r="AF107" s="64" t="s">
        <v>620</v>
      </c>
      <c r="AG107" s="64" t="s">
        <v>60</v>
      </c>
      <c r="AH107" s="64" t="s">
        <v>1586</v>
      </c>
      <c r="AI107" s="64">
        <v>46166</v>
      </c>
      <c r="AJ107" s="65" t="s">
        <v>1587</v>
      </c>
      <c r="AK107" s="64" t="s">
        <v>1588</v>
      </c>
      <c r="AL107" s="64" t="s">
        <v>1589</v>
      </c>
      <c r="AM107" s="64" t="s">
        <v>1590</v>
      </c>
      <c r="AN107" s="64" t="s">
        <v>1591</v>
      </c>
      <c r="AO107" s="64" t="s">
        <v>66</v>
      </c>
      <c r="AP107" s="64" t="s">
        <v>1592</v>
      </c>
    </row>
    <row r="108" spans="1:42" ht="18.75">
      <c r="A108" s="139">
        <v>107</v>
      </c>
      <c r="B108" s="66" t="s">
        <v>1593</v>
      </c>
      <c r="C108" s="66" t="s">
        <v>1263</v>
      </c>
      <c r="D108" s="66"/>
      <c r="E108" s="66" t="s">
        <v>1263</v>
      </c>
      <c r="F108" s="66" t="s">
        <v>1138</v>
      </c>
      <c r="G108" s="66" t="s">
        <v>611</v>
      </c>
      <c r="H108" s="66" t="s">
        <v>612</v>
      </c>
      <c r="I108" s="71">
        <v>16</v>
      </c>
      <c r="J10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8" s="71" t="s">
        <v>95</v>
      </c>
      <c r="L108" s="71" t="str">
        <f>IF(Table1[[#This Row],[LAST]]="","Unfilled","Filled")</f>
        <v>Filled</v>
      </c>
      <c r="M108" s="66" t="s">
        <v>1594</v>
      </c>
      <c r="N108" s="66" t="s">
        <v>1595</v>
      </c>
      <c r="O108" s="66" t="s">
        <v>1596</v>
      </c>
      <c r="P108" s="63"/>
      <c r="Q108" s="64">
        <v>33740</v>
      </c>
      <c r="R108" s="64">
        <v>44907</v>
      </c>
      <c r="S108" s="64">
        <v>44907</v>
      </c>
      <c r="T108" s="64">
        <v>45154</v>
      </c>
      <c r="U108" s="64" t="s">
        <v>76</v>
      </c>
      <c r="V108" s="64" t="s">
        <v>77</v>
      </c>
      <c r="W108" s="66">
        <f t="shared" ca="1" si="2"/>
        <v>34</v>
      </c>
      <c r="X10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08" s="64" t="s">
        <v>697</v>
      </c>
      <c r="Z108" s="64" t="s">
        <v>1597</v>
      </c>
      <c r="AA108" s="65" t="s">
        <v>1598</v>
      </c>
      <c r="AB108" s="64" t="s">
        <v>102</v>
      </c>
      <c r="AC108" s="64" t="s">
        <v>103</v>
      </c>
      <c r="AD108" s="65">
        <v>4103</v>
      </c>
      <c r="AE108" s="64" t="s">
        <v>619</v>
      </c>
      <c r="AF108" s="64" t="s">
        <v>620</v>
      </c>
      <c r="AG108" s="64" t="s">
        <v>60</v>
      </c>
      <c r="AH108" s="64" t="s">
        <v>1599</v>
      </c>
      <c r="AI108" s="64">
        <v>46523</v>
      </c>
      <c r="AJ108" s="65" t="s">
        <v>1600</v>
      </c>
      <c r="AK108" s="64" t="s">
        <v>1601</v>
      </c>
      <c r="AL108" s="64" t="s">
        <v>1602</v>
      </c>
      <c r="AM108" s="64" t="s">
        <v>1603</v>
      </c>
      <c r="AN108" s="64" t="s">
        <v>1604</v>
      </c>
      <c r="AO108" s="64" t="s">
        <v>66</v>
      </c>
      <c r="AP108" s="64" t="s">
        <v>1605</v>
      </c>
    </row>
    <row r="109" spans="1:42" ht="18.75">
      <c r="A109" s="139">
        <v>108</v>
      </c>
      <c r="B109" s="66" t="s">
        <v>1606</v>
      </c>
      <c r="C109" s="66" t="s">
        <v>1263</v>
      </c>
      <c r="D109" s="66"/>
      <c r="E109" s="66" t="s">
        <v>1263</v>
      </c>
      <c r="F109" s="66" t="s">
        <v>1138</v>
      </c>
      <c r="G109" s="66" t="s">
        <v>611</v>
      </c>
      <c r="H109" s="66" t="s">
        <v>612</v>
      </c>
      <c r="I109" s="71">
        <v>16</v>
      </c>
      <c r="J10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09" s="71" t="s">
        <v>95</v>
      </c>
      <c r="L109" s="71" t="str">
        <f>IF(Table1[[#This Row],[LAST]]="","Unfilled","Filled")</f>
        <v>Filled</v>
      </c>
      <c r="M109" s="63" t="s">
        <v>115</v>
      </c>
      <c r="N109" s="63" t="s">
        <v>1607</v>
      </c>
      <c r="O109" s="63" t="s">
        <v>1608</v>
      </c>
      <c r="P109" s="63"/>
      <c r="Q109" s="64">
        <v>30404</v>
      </c>
      <c r="R109" s="64">
        <v>45170</v>
      </c>
      <c r="S109" s="64">
        <v>45170</v>
      </c>
      <c r="T109" s="64">
        <v>45170</v>
      </c>
      <c r="U109" s="64" t="s">
        <v>51</v>
      </c>
      <c r="V109" s="64" t="s">
        <v>77</v>
      </c>
      <c r="W109" s="66">
        <f t="shared" ca="1" si="2"/>
        <v>43</v>
      </c>
      <c r="X10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09" s="64" t="s">
        <v>121</v>
      </c>
      <c r="Z109" s="64" t="s">
        <v>120</v>
      </c>
      <c r="AA109" s="65">
        <v>43</v>
      </c>
      <c r="AB109" s="64" t="s">
        <v>121</v>
      </c>
      <c r="AC109" s="64" t="s">
        <v>103</v>
      </c>
      <c r="AD109" s="65">
        <v>4100</v>
      </c>
      <c r="AE109" s="64" t="s">
        <v>639</v>
      </c>
      <c r="AF109" s="64" t="s">
        <v>620</v>
      </c>
      <c r="AG109" s="64" t="s">
        <v>60</v>
      </c>
      <c r="AH109" s="64" t="s">
        <v>1609</v>
      </c>
      <c r="AI109" s="64">
        <v>46475</v>
      </c>
      <c r="AJ109" s="65" t="s">
        <v>1610</v>
      </c>
      <c r="AK109" s="64" t="s">
        <v>1611</v>
      </c>
      <c r="AL109" s="64" t="s">
        <v>1612</v>
      </c>
      <c r="AM109" s="64" t="s">
        <v>1613</v>
      </c>
      <c r="AN109" s="64" t="s">
        <v>1614</v>
      </c>
      <c r="AO109" s="64" t="s">
        <v>127</v>
      </c>
      <c r="AP109" s="64" t="s">
        <v>1615</v>
      </c>
    </row>
    <row r="110" spans="1:42" ht="18.75">
      <c r="A110" s="139">
        <v>109</v>
      </c>
      <c r="B110" s="66" t="s">
        <v>1616</v>
      </c>
      <c r="C110" s="66" t="s">
        <v>1263</v>
      </c>
      <c r="D110" s="66"/>
      <c r="E110" s="66" t="s">
        <v>1263</v>
      </c>
      <c r="F110" s="66" t="s">
        <v>1138</v>
      </c>
      <c r="G110" s="66" t="s">
        <v>611</v>
      </c>
      <c r="H110" s="66" t="s">
        <v>612</v>
      </c>
      <c r="I110" s="71">
        <v>16</v>
      </c>
      <c r="J11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0" s="71" t="s">
        <v>95</v>
      </c>
      <c r="L110" s="71" t="str">
        <f>IF(Table1[[#This Row],[LAST]]="","Unfilled","Filled")</f>
        <v>Filled</v>
      </c>
      <c r="M110" s="66" t="s">
        <v>1617</v>
      </c>
      <c r="N110" s="66" t="s">
        <v>1618</v>
      </c>
      <c r="O110" s="66" t="s">
        <v>1619</v>
      </c>
      <c r="P110" s="63"/>
      <c r="Q110" s="64">
        <v>34284</v>
      </c>
      <c r="R110" s="64">
        <v>44691</v>
      </c>
      <c r="S110" s="64">
        <v>44691</v>
      </c>
      <c r="T110" s="64">
        <v>45126</v>
      </c>
      <c r="U110" s="64" t="s">
        <v>76</v>
      </c>
      <c r="V110" s="64" t="s">
        <v>77</v>
      </c>
      <c r="W110" s="66">
        <f t="shared" ref="W110:W142" ca="1" si="3">DATEDIF(Q110,TODAY(),"Y")</f>
        <v>32</v>
      </c>
      <c r="X11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0" s="64" t="s">
        <v>81</v>
      </c>
      <c r="Z110" s="64" t="s">
        <v>1620</v>
      </c>
      <c r="AA110" s="65" t="s">
        <v>1438</v>
      </c>
      <c r="AB110" s="64" t="s">
        <v>190</v>
      </c>
      <c r="AC110" s="64" t="s">
        <v>103</v>
      </c>
      <c r="AD110" s="65">
        <v>4102</v>
      </c>
      <c r="AE110" s="64" t="s">
        <v>619</v>
      </c>
      <c r="AF110" s="64" t="s">
        <v>620</v>
      </c>
      <c r="AG110" s="64" t="s">
        <v>60</v>
      </c>
      <c r="AH110" s="64" t="s">
        <v>1621</v>
      </c>
      <c r="AI110" s="64">
        <v>46337</v>
      </c>
      <c r="AJ110" s="65" t="s">
        <v>1622</v>
      </c>
      <c r="AK110" s="64" t="s">
        <v>1623</v>
      </c>
      <c r="AL110" s="64" t="s">
        <v>1624</v>
      </c>
      <c r="AM110" s="64" t="s">
        <v>1625</v>
      </c>
      <c r="AN110" s="64" t="s">
        <v>1626</v>
      </c>
      <c r="AO110" s="64" t="s">
        <v>66</v>
      </c>
      <c r="AP110" s="64" t="s">
        <v>1627</v>
      </c>
    </row>
    <row r="111" spans="1:42" ht="18.75">
      <c r="A111" s="139">
        <v>110</v>
      </c>
      <c r="B111" s="66" t="s">
        <v>1628</v>
      </c>
      <c r="C111" s="66" t="s">
        <v>1263</v>
      </c>
      <c r="D111" s="66"/>
      <c r="E111" s="66" t="s">
        <v>1263</v>
      </c>
      <c r="F111" s="66" t="s">
        <v>1138</v>
      </c>
      <c r="G111" s="66" t="s">
        <v>611</v>
      </c>
      <c r="H111" s="66" t="s">
        <v>612</v>
      </c>
      <c r="I111" s="71">
        <v>16</v>
      </c>
      <c r="J11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1" s="71" t="s">
        <v>95</v>
      </c>
      <c r="L111" s="71" t="str">
        <f>IF(Table1[[#This Row],[LAST]]="","Unfilled","Filled")</f>
        <v>Filled</v>
      </c>
      <c r="M111" s="63" t="s">
        <v>1629</v>
      </c>
      <c r="N111" s="63" t="s">
        <v>1630</v>
      </c>
      <c r="O111" s="63" t="s">
        <v>1631</v>
      </c>
      <c r="P111" s="63"/>
      <c r="Q111" s="64">
        <v>32202</v>
      </c>
      <c r="R111" s="64">
        <v>44778</v>
      </c>
      <c r="S111" s="64">
        <v>44778</v>
      </c>
      <c r="T111" s="64">
        <v>45127</v>
      </c>
      <c r="U111" s="64" t="s">
        <v>76</v>
      </c>
      <c r="V111" s="64" t="s">
        <v>77</v>
      </c>
      <c r="W111" s="66">
        <f t="shared" ca="1" si="3"/>
        <v>38</v>
      </c>
      <c r="X11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1" s="64" t="s">
        <v>1632</v>
      </c>
      <c r="Z111" s="64" t="s">
        <v>1633</v>
      </c>
      <c r="AA111" s="65" t="s">
        <v>1634</v>
      </c>
      <c r="AB111" s="64" t="s">
        <v>190</v>
      </c>
      <c r="AC111" s="64" t="s">
        <v>103</v>
      </c>
      <c r="AD111" s="65">
        <v>4102</v>
      </c>
      <c r="AE111" s="64" t="s">
        <v>619</v>
      </c>
      <c r="AF111" s="64" t="s">
        <v>620</v>
      </c>
      <c r="AG111" s="64" t="s">
        <v>60</v>
      </c>
      <c r="AH111" s="64" t="s">
        <v>1635</v>
      </c>
      <c r="AI111" s="64">
        <v>46025</v>
      </c>
      <c r="AJ111" s="65" t="s">
        <v>1636</v>
      </c>
      <c r="AK111" s="64" t="s">
        <v>1637</v>
      </c>
      <c r="AL111" s="64" t="s">
        <v>1638</v>
      </c>
      <c r="AM111" s="64" t="s">
        <v>1639</v>
      </c>
      <c r="AN111" s="64"/>
      <c r="AO111" s="64"/>
      <c r="AP111" s="64"/>
    </row>
    <row r="112" spans="1:42" ht="18.75">
      <c r="A112" s="139">
        <v>111</v>
      </c>
      <c r="B112" s="66" t="s">
        <v>1640</v>
      </c>
      <c r="C112" s="66" t="s">
        <v>1263</v>
      </c>
      <c r="D112" s="77"/>
      <c r="E112" s="66" t="s">
        <v>1263</v>
      </c>
      <c r="F112" s="66" t="s">
        <v>1138</v>
      </c>
      <c r="G112" s="66" t="s">
        <v>611</v>
      </c>
      <c r="H112" s="66" t="s">
        <v>612</v>
      </c>
      <c r="I112" s="71">
        <v>16</v>
      </c>
      <c r="J11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2" s="71" t="s">
        <v>95</v>
      </c>
      <c r="L112" s="71" t="str">
        <f>IF(Table1[[#This Row],[LAST]]="","Unfilled","Filled")</f>
        <v>Filled</v>
      </c>
      <c r="M112" s="66" t="s">
        <v>1641</v>
      </c>
      <c r="N112" s="66" t="s">
        <v>1642</v>
      </c>
      <c r="O112" s="66" t="s">
        <v>1643</v>
      </c>
      <c r="P112" s="63"/>
      <c r="Q112" s="64">
        <v>32413</v>
      </c>
      <c r="R112" s="64">
        <v>44851</v>
      </c>
      <c r="S112" s="64">
        <v>44851</v>
      </c>
      <c r="T112" s="64">
        <v>45352</v>
      </c>
      <c r="U112" s="64" t="s">
        <v>51</v>
      </c>
      <c r="V112" s="64" t="s">
        <v>52</v>
      </c>
      <c r="W112" s="66">
        <f t="shared" ca="1" si="3"/>
        <v>37</v>
      </c>
      <c r="X11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2" s="64" t="s">
        <v>154</v>
      </c>
      <c r="Z112" s="64" t="s">
        <v>1644</v>
      </c>
      <c r="AA112" s="65" t="s">
        <v>728</v>
      </c>
      <c r="AB112" s="64" t="s">
        <v>190</v>
      </c>
      <c r="AC112" s="64" t="s">
        <v>103</v>
      </c>
      <c r="AD112" s="65">
        <v>4102</v>
      </c>
      <c r="AE112" s="64" t="s">
        <v>619</v>
      </c>
      <c r="AF112" s="64" t="s">
        <v>620</v>
      </c>
      <c r="AG112" s="64" t="s">
        <v>60</v>
      </c>
      <c r="AH112" s="64" t="s">
        <v>1645</v>
      </c>
      <c r="AI112" s="64">
        <v>45927</v>
      </c>
      <c r="AJ112" s="65" t="s">
        <v>1646</v>
      </c>
      <c r="AK112" s="64" t="s">
        <v>1647</v>
      </c>
      <c r="AL112" s="64" t="s">
        <v>1648</v>
      </c>
      <c r="AM112" s="64" t="s">
        <v>1649</v>
      </c>
      <c r="AN112" s="64" t="s">
        <v>1650</v>
      </c>
      <c r="AO112" s="64" t="s">
        <v>1651</v>
      </c>
      <c r="AP112" s="64" t="s">
        <v>1652</v>
      </c>
    </row>
    <row r="113" spans="1:42" ht="18.75">
      <c r="A113" s="139">
        <v>112</v>
      </c>
      <c r="B113" s="66" t="s">
        <v>1653</v>
      </c>
      <c r="C113" s="66" t="s">
        <v>1263</v>
      </c>
      <c r="D113" s="66"/>
      <c r="E113" s="66" t="s">
        <v>1263</v>
      </c>
      <c r="F113" s="66" t="s">
        <v>1138</v>
      </c>
      <c r="G113" s="66" t="s">
        <v>611</v>
      </c>
      <c r="H113" s="66" t="s">
        <v>612</v>
      </c>
      <c r="I113" s="71">
        <v>16</v>
      </c>
      <c r="J11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3" s="71" t="s">
        <v>95</v>
      </c>
      <c r="L113" s="71" t="str">
        <f>IF(Table1[[#This Row],[LAST]]="","Unfilled","Filled")</f>
        <v>Filled</v>
      </c>
      <c r="M113" s="66" t="s">
        <v>1654</v>
      </c>
      <c r="N113" s="66" t="s">
        <v>1655</v>
      </c>
      <c r="O113" s="66" t="s">
        <v>1656</v>
      </c>
      <c r="P113" s="63"/>
      <c r="Q113" s="64">
        <v>32350</v>
      </c>
      <c r="R113" s="64">
        <v>44336</v>
      </c>
      <c r="S113" s="64">
        <v>44336</v>
      </c>
      <c r="T113" s="64">
        <v>45261</v>
      </c>
      <c r="U113" s="64" t="s">
        <v>76</v>
      </c>
      <c r="V113" s="64" t="s">
        <v>52</v>
      </c>
      <c r="W113" s="66">
        <f t="shared" ca="1" si="3"/>
        <v>38</v>
      </c>
      <c r="X11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3" s="64" t="s">
        <v>1657</v>
      </c>
      <c r="Z113" s="64" t="s">
        <v>1658</v>
      </c>
      <c r="AA113" s="65" t="s">
        <v>1659</v>
      </c>
      <c r="AB113" s="64" t="s">
        <v>190</v>
      </c>
      <c r="AC113" s="64" t="s">
        <v>103</v>
      </c>
      <c r="AD113" s="65">
        <v>4102</v>
      </c>
      <c r="AE113" s="64" t="s">
        <v>619</v>
      </c>
      <c r="AF113" s="64" t="s">
        <v>620</v>
      </c>
      <c r="AG113" s="64" t="s">
        <v>60</v>
      </c>
      <c r="AH113" s="64" t="s">
        <v>1660</v>
      </c>
      <c r="AI113" s="64">
        <v>46229</v>
      </c>
      <c r="AJ113" s="65" t="s">
        <v>1661</v>
      </c>
      <c r="AK113" s="64" t="s">
        <v>1662</v>
      </c>
      <c r="AL113" s="64" t="s">
        <v>1663</v>
      </c>
      <c r="AM113" s="64" t="s">
        <v>1664</v>
      </c>
      <c r="AN113" s="64" t="s">
        <v>1665</v>
      </c>
      <c r="AO113" s="64" t="s">
        <v>1666</v>
      </c>
      <c r="AP113" s="64" t="s">
        <v>1667</v>
      </c>
    </row>
    <row r="114" spans="1:42" ht="18.75">
      <c r="A114" s="139">
        <v>113</v>
      </c>
      <c r="B114" s="66" t="s">
        <v>1668</v>
      </c>
      <c r="C114" s="66" t="s">
        <v>1263</v>
      </c>
      <c r="D114" s="66"/>
      <c r="E114" s="66" t="s">
        <v>1263</v>
      </c>
      <c r="F114" s="66" t="s">
        <v>1138</v>
      </c>
      <c r="G114" s="66" t="s">
        <v>611</v>
      </c>
      <c r="H114" s="66" t="s">
        <v>612</v>
      </c>
      <c r="I114" s="71">
        <v>16</v>
      </c>
      <c r="J11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4" s="71" t="s">
        <v>95</v>
      </c>
      <c r="L114" s="71" t="str">
        <f>IF(Table1[[#This Row],[LAST]]="","Unfilled","Filled")</f>
        <v>Filled</v>
      </c>
      <c r="M114" s="63" t="s">
        <v>1669</v>
      </c>
      <c r="N114" s="149" t="s">
        <v>1670</v>
      </c>
      <c r="O114" s="63" t="s">
        <v>739</v>
      </c>
      <c r="P114" s="63"/>
      <c r="Q114" s="64">
        <v>32589</v>
      </c>
      <c r="R114" s="64">
        <v>44851</v>
      </c>
      <c r="S114" s="64">
        <v>44851</v>
      </c>
      <c r="T114" s="64">
        <v>45306</v>
      </c>
      <c r="U114" s="64" t="s">
        <v>51</v>
      </c>
      <c r="V114" s="64" t="s">
        <v>77</v>
      </c>
      <c r="W114" s="66">
        <f t="shared" ca="1" si="3"/>
        <v>37</v>
      </c>
      <c r="X11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4" s="64" t="s">
        <v>1465</v>
      </c>
      <c r="Z114" s="64" t="s">
        <v>1671</v>
      </c>
      <c r="AA114" s="65" t="s">
        <v>1672</v>
      </c>
      <c r="AB114" s="64" t="s">
        <v>102</v>
      </c>
      <c r="AC114" s="64" t="s">
        <v>103</v>
      </c>
      <c r="AD114" s="65">
        <v>4103</v>
      </c>
      <c r="AE114" s="64" t="s">
        <v>619</v>
      </c>
      <c r="AF114" s="64" t="s">
        <v>620</v>
      </c>
      <c r="AG114" s="64" t="s">
        <v>60</v>
      </c>
      <c r="AH114" s="64" t="s">
        <v>1673</v>
      </c>
      <c r="AI114" s="64">
        <v>46468</v>
      </c>
      <c r="AJ114" s="65" t="s">
        <v>1674</v>
      </c>
      <c r="AK114" s="64" t="s">
        <v>1675</v>
      </c>
      <c r="AL114" s="64" t="s">
        <v>1676</v>
      </c>
      <c r="AM114" s="64" t="s">
        <v>1677</v>
      </c>
      <c r="AN114" s="64" t="s">
        <v>1678</v>
      </c>
      <c r="AO114" s="64" t="s">
        <v>66</v>
      </c>
      <c r="AP114" s="64" t="s">
        <v>1679</v>
      </c>
    </row>
    <row r="115" spans="1:42" ht="18.75">
      <c r="A115" s="139">
        <v>114</v>
      </c>
      <c r="B115" s="66" t="s">
        <v>1680</v>
      </c>
      <c r="C115" s="66" t="s">
        <v>1263</v>
      </c>
      <c r="D115" s="66"/>
      <c r="E115" s="66" t="s">
        <v>1263</v>
      </c>
      <c r="F115" s="66" t="s">
        <v>1138</v>
      </c>
      <c r="G115" s="66" t="s">
        <v>611</v>
      </c>
      <c r="H115" s="66" t="s">
        <v>612</v>
      </c>
      <c r="I115" s="71">
        <v>16</v>
      </c>
      <c r="J11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5" s="71" t="s">
        <v>95</v>
      </c>
      <c r="L115" s="71" t="str">
        <f>IF(Table1[[#This Row],[LAST]]="","Unfilled","Filled")</f>
        <v>Filled</v>
      </c>
      <c r="M115" s="66" t="s">
        <v>1681</v>
      </c>
      <c r="N115" s="66" t="s">
        <v>1682</v>
      </c>
      <c r="O115" s="66" t="s">
        <v>1683</v>
      </c>
      <c r="P115" s="63"/>
      <c r="Q115" s="150">
        <v>32526</v>
      </c>
      <c r="R115" s="64">
        <v>40608</v>
      </c>
      <c r="S115" s="64">
        <v>44349</v>
      </c>
      <c r="T115" s="64">
        <v>45271</v>
      </c>
      <c r="U115" s="64" t="s">
        <v>76</v>
      </c>
      <c r="V115" s="64" t="s">
        <v>52</v>
      </c>
      <c r="W115" s="66">
        <f t="shared" ca="1" si="3"/>
        <v>37</v>
      </c>
      <c r="X11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5" s="64" t="s">
        <v>121</v>
      </c>
      <c r="Z115" s="64" t="s">
        <v>1684</v>
      </c>
      <c r="AA115" s="65" t="s">
        <v>1685</v>
      </c>
      <c r="AB115" s="64" t="s">
        <v>121</v>
      </c>
      <c r="AC115" s="64" t="s">
        <v>103</v>
      </c>
      <c r="AD115" s="65">
        <v>4100</v>
      </c>
      <c r="AE115" s="64" t="s">
        <v>619</v>
      </c>
      <c r="AF115" s="64" t="s">
        <v>620</v>
      </c>
      <c r="AG115" s="64" t="s">
        <v>60</v>
      </c>
      <c r="AH115" s="64" t="s">
        <v>1686</v>
      </c>
      <c r="AI115" s="64">
        <v>45675</v>
      </c>
      <c r="AJ115" s="65" t="s">
        <v>1687</v>
      </c>
      <c r="AK115" s="64" t="s">
        <v>1688</v>
      </c>
      <c r="AL115" s="64">
        <v>0</v>
      </c>
      <c r="AM115" s="64" t="s">
        <v>1689</v>
      </c>
      <c r="AN115" s="64" t="s">
        <v>1690</v>
      </c>
      <c r="AO115" s="64" t="s">
        <v>1691</v>
      </c>
      <c r="AP115" s="64" t="s">
        <v>1692</v>
      </c>
    </row>
    <row r="116" spans="1:42" ht="18.75">
      <c r="A116" s="139">
        <v>115</v>
      </c>
      <c r="B116" s="66" t="s">
        <v>1693</v>
      </c>
      <c r="C116" s="66" t="s">
        <v>1263</v>
      </c>
      <c r="D116" s="66"/>
      <c r="E116" s="66" t="s">
        <v>1263</v>
      </c>
      <c r="F116" s="66" t="s">
        <v>1138</v>
      </c>
      <c r="G116" s="66" t="s">
        <v>611</v>
      </c>
      <c r="H116" s="66" t="s">
        <v>612</v>
      </c>
      <c r="I116" s="71">
        <v>16</v>
      </c>
      <c r="J11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6" s="71" t="s">
        <v>95</v>
      </c>
      <c r="L116" s="71" t="str">
        <f>IF(Table1[[#This Row],[LAST]]="","Unfilled","Filled")</f>
        <v>Filled</v>
      </c>
      <c r="M116" s="66" t="s">
        <v>1694</v>
      </c>
      <c r="N116" s="66" t="s">
        <v>1695</v>
      </c>
      <c r="O116" s="66" t="s">
        <v>1696</v>
      </c>
      <c r="P116" s="63"/>
      <c r="Q116" s="64">
        <v>31635</v>
      </c>
      <c r="R116" s="64">
        <v>44909</v>
      </c>
      <c r="S116" s="64">
        <v>44909</v>
      </c>
      <c r="T116" s="64">
        <v>45274</v>
      </c>
      <c r="U116" s="64" t="s">
        <v>51</v>
      </c>
      <c r="V116" s="64" t="s">
        <v>77</v>
      </c>
      <c r="W116" s="66">
        <f t="shared" ca="1" si="3"/>
        <v>40</v>
      </c>
      <c r="X11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16" s="64" t="s">
        <v>1697</v>
      </c>
      <c r="Z116" s="64" t="s">
        <v>1698</v>
      </c>
      <c r="AA116" s="65" t="s">
        <v>1438</v>
      </c>
      <c r="AB116" s="64" t="s">
        <v>190</v>
      </c>
      <c r="AC116" s="64" t="s">
        <v>103</v>
      </c>
      <c r="AD116" s="65">
        <v>4102</v>
      </c>
      <c r="AE116" s="64" t="s">
        <v>619</v>
      </c>
      <c r="AF116" s="64" t="s">
        <v>620</v>
      </c>
      <c r="AG116" s="64" t="s">
        <v>60</v>
      </c>
      <c r="AH116" s="64" t="s">
        <v>1699</v>
      </c>
      <c r="AI116" s="64">
        <v>45880</v>
      </c>
      <c r="AJ116" s="65" t="s">
        <v>1700</v>
      </c>
      <c r="AK116" s="64" t="s">
        <v>1701</v>
      </c>
      <c r="AL116" s="64" t="s">
        <v>1702</v>
      </c>
      <c r="AM116" s="64" t="s">
        <v>1703</v>
      </c>
      <c r="AN116" s="64" t="s">
        <v>1704</v>
      </c>
      <c r="AO116" s="64" t="s">
        <v>66</v>
      </c>
      <c r="AP116" s="64" t="s">
        <v>1705</v>
      </c>
    </row>
    <row r="117" spans="1:42" ht="18.75">
      <c r="A117" s="139">
        <v>116</v>
      </c>
      <c r="B117" s="66" t="s">
        <v>1706</v>
      </c>
      <c r="C117" s="66" t="s">
        <v>1263</v>
      </c>
      <c r="D117" s="66"/>
      <c r="E117" s="66" t="s">
        <v>1263</v>
      </c>
      <c r="F117" s="66" t="s">
        <v>1138</v>
      </c>
      <c r="G117" s="66" t="s">
        <v>611</v>
      </c>
      <c r="H117" s="66" t="s">
        <v>612</v>
      </c>
      <c r="I117" s="71">
        <v>16</v>
      </c>
      <c r="J11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45694</v>
      </c>
      <c r="K117" s="71" t="s">
        <v>95</v>
      </c>
      <c r="L117" s="71" t="str">
        <f>IF(Table1[[#This Row],[LAST]]="","Unfilled","Filled")</f>
        <v>Filled</v>
      </c>
      <c r="M117" s="66" t="s">
        <v>1707</v>
      </c>
      <c r="N117" s="66" t="s">
        <v>1708</v>
      </c>
      <c r="O117" s="66" t="s">
        <v>1709</v>
      </c>
      <c r="P117" s="63"/>
      <c r="Q117" s="64">
        <v>26003</v>
      </c>
      <c r="R117" s="64">
        <v>44529</v>
      </c>
      <c r="S117" s="64">
        <v>44529</v>
      </c>
      <c r="T117" s="64">
        <v>0</v>
      </c>
      <c r="U117" s="64" t="s">
        <v>51</v>
      </c>
      <c r="V117" s="64" t="s">
        <v>77</v>
      </c>
      <c r="W117" s="66">
        <f t="shared" ca="1" si="3"/>
        <v>55</v>
      </c>
      <c r="X11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17" s="64" t="s">
        <v>154</v>
      </c>
      <c r="Z117" s="64" t="s">
        <v>1710</v>
      </c>
      <c r="AA117" s="65" t="s">
        <v>1711</v>
      </c>
      <c r="AB117" s="64" t="s">
        <v>190</v>
      </c>
      <c r="AC117" s="64" t="s">
        <v>103</v>
      </c>
      <c r="AD117" s="65">
        <v>4102</v>
      </c>
      <c r="AE117" s="64" t="s">
        <v>619</v>
      </c>
      <c r="AF117" s="64" t="s">
        <v>620</v>
      </c>
      <c r="AG117" s="64" t="s">
        <v>60</v>
      </c>
      <c r="AH117" s="64" t="s">
        <v>1712</v>
      </c>
      <c r="AI117" s="64">
        <v>46457</v>
      </c>
      <c r="AJ117" s="65" t="s">
        <v>1713</v>
      </c>
      <c r="AK117" s="64" t="s">
        <v>1714</v>
      </c>
      <c r="AL117" s="64" t="s">
        <v>1715</v>
      </c>
      <c r="AM117" s="64" t="s">
        <v>1716</v>
      </c>
      <c r="AN117" s="64" t="s">
        <v>1717</v>
      </c>
      <c r="AO117" s="64" t="s">
        <v>1718</v>
      </c>
      <c r="AP117" s="64" t="s">
        <v>1719</v>
      </c>
    </row>
    <row r="118" spans="1:42" ht="18.75">
      <c r="A118" s="139">
        <v>117</v>
      </c>
      <c r="B118" s="66" t="s">
        <v>1720</v>
      </c>
      <c r="C118" s="66" t="s">
        <v>1721</v>
      </c>
      <c r="D118" s="66"/>
      <c r="E118" s="66" t="s">
        <v>1722</v>
      </c>
      <c r="F118" s="66" t="s">
        <v>887</v>
      </c>
      <c r="G118" s="66" t="s">
        <v>631</v>
      </c>
      <c r="H118" s="66" t="s">
        <v>632</v>
      </c>
      <c r="I118" s="71">
        <v>15</v>
      </c>
      <c r="J11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18" s="71" t="s">
        <v>95</v>
      </c>
      <c r="L118" s="71" t="str">
        <f>IF(Table1[[#This Row],[LAST]]="","Unfilled","Filled")</f>
        <v>Filled</v>
      </c>
      <c r="M118" s="63" t="s">
        <v>1723</v>
      </c>
      <c r="N118" s="63" t="s">
        <v>1724</v>
      </c>
      <c r="O118" s="63" t="s">
        <v>1725</v>
      </c>
      <c r="P118" s="63"/>
      <c r="Q118" s="64">
        <v>32321</v>
      </c>
      <c r="R118" s="64">
        <v>41957</v>
      </c>
      <c r="S118" s="64">
        <v>44743</v>
      </c>
      <c r="T118" s="64">
        <v>45293</v>
      </c>
      <c r="U118" s="64" t="s">
        <v>51</v>
      </c>
      <c r="V118" s="64" t="s">
        <v>77</v>
      </c>
      <c r="W118" s="66">
        <f t="shared" ca="1" si="3"/>
        <v>38</v>
      </c>
      <c r="X11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18" s="64" t="s">
        <v>154</v>
      </c>
      <c r="Z118" s="64" t="s">
        <v>1726</v>
      </c>
      <c r="AA118" s="65" t="s">
        <v>1634</v>
      </c>
      <c r="AB118" s="64" t="s">
        <v>190</v>
      </c>
      <c r="AC118" s="64" t="s">
        <v>103</v>
      </c>
      <c r="AD118" s="65">
        <v>4102</v>
      </c>
      <c r="AE118" s="64" t="s">
        <v>619</v>
      </c>
      <c r="AF118" s="64" t="s">
        <v>895</v>
      </c>
      <c r="AG118" s="64" t="s">
        <v>641</v>
      </c>
      <c r="AH118" s="64" t="s">
        <v>66</v>
      </c>
      <c r="AI118" s="64" t="s">
        <v>66</v>
      </c>
      <c r="AJ118" s="65">
        <v>2004769918</v>
      </c>
      <c r="AK118" s="64" t="s">
        <v>1727</v>
      </c>
      <c r="AL118" s="64" t="s">
        <v>1728</v>
      </c>
      <c r="AM118" s="64" t="s">
        <v>1729</v>
      </c>
      <c r="AN118" s="64" t="s">
        <v>1730</v>
      </c>
      <c r="AO118" s="64" t="s">
        <v>66</v>
      </c>
      <c r="AP118" s="85" t="s">
        <v>1731</v>
      </c>
    </row>
    <row r="119" spans="1:42" ht="18.75">
      <c r="A119" s="139">
        <v>118</v>
      </c>
      <c r="B119" s="66" t="s">
        <v>1732</v>
      </c>
      <c r="C119" s="66" t="s">
        <v>1733</v>
      </c>
      <c r="D119" s="66"/>
      <c r="E119" s="66" t="s">
        <v>1722</v>
      </c>
      <c r="F119" s="66" t="s">
        <v>1734</v>
      </c>
      <c r="G119" s="66" t="s">
        <v>631</v>
      </c>
      <c r="H119" s="66" t="s">
        <v>632</v>
      </c>
      <c r="I119" s="71">
        <v>15</v>
      </c>
      <c r="J11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19" s="71" t="s">
        <v>95</v>
      </c>
      <c r="L119" s="71" t="str">
        <f>IF(Table1[[#This Row],[LAST]]="","Unfilled","Filled")</f>
        <v>Filled</v>
      </c>
      <c r="M119" s="66" t="s">
        <v>1556</v>
      </c>
      <c r="N119" s="66" t="s">
        <v>1735</v>
      </c>
      <c r="O119" s="66" t="s">
        <v>1736</v>
      </c>
      <c r="P119" s="63"/>
      <c r="Q119" s="64">
        <v>31409</v>
      </c>
      <c r="R119" s="64">
        <v>38425</v>
      </c>
      <c r="S119" s="64">
        <v>44348</v>
      </c>
      <c r="T119" s="64">
        <v>44348</v>
      </c>
      <c r="U119" s="64" t="s">
        <v>51</v>
      </c>
      <c r="V119" s="64" t="s">
        <v>77</v>
      </c>
      <c r="W119" s="66">
        <f t="shared" ca="1" si="3"/>
        <v>40</v>
      </c>
      <c r="X11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19" s="64" t="s">
        <v>1737</v>
      </c>
      <c r="Z119" s="65">
        <v>380</v>
      </c>
      <c r="AA119" s="65" t="s">
        <v>1105</v>
      </c>
      <c r="AB119" s="64" t="s">
        <v>102</v>
      </c>
      <c r="AC119" s="64" t="s">
        <v>103</v>
      </c>
      <c r="AD119" s="65">
        <v>4103</v>
      </c>
      <c r="AE119" s="64" t="s">
        <v>619</v>
      </c>
      <c r="AF119" s="64" t="s">
        <v>944</v>
      </c>
      <c r="AG119" s="64" t="s">
        <v>641</v>
      </c>
      <c r="AH119" s="64" t="s">
        <v>66</v>
      </c>
      <c r="AI119" s="64" t="s">
        <v>66</v>
      </c>
      <c r="AJ119" s="65" t="s">
        <v>1738</v>
      </c>
      <c r="AK119" s="64" t="s">
        <v>1739</v>
      </c>
      <c r="AL119" s="64" t="s">
        <v>1740</v>
      </c>
      <c r="AM119" s="64" t="s">
        <v>1741</v>
      </c>
      <c r="AN119" s="64" t="s">
        <v>1742</v>
      </c>
      <c r="AO119" s="64" t="s">
        <v>1743</v>
      </c>
      <c r="AP119" s="64" t="s">
        <v>1744</v>
      </c>
    </row>
    <row r="120" spans="1:42" ht="18.75">
      <c r="A120" s="139">
        <v>119</v>
      </c>
      <c r="B120" s="66" t="s">
        <v>1745</v>
      </c>
      <c r="C120" s="66" t="s">
        <v>1746</v>
      </c>
      <c r="D120" s="66"/>
      <c r="E120" s="66" t="s">
        <v>1722</v>
      </c>
      <c r="F120" s="66" t="s">
        <v>938</v>
      </c>
      <c r="G120" s="66" t="s">
        <v>631</v>
      </c>
      <c r="H120" s="66" t="s">
        <v>46</v>
      </c>
      <c r="I120" s="71">
        <v>15</v>
      </c>
      <c r="J12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0" s="71" t="s">
        <v>95</v>
      </c>
      <c r="L120" s="71" t="str">
        <f>IF(Table1[[#This Row],[LAST]]="","Unfilled","Filled")</f>
        <v>Filled</v>
      </c>
      <c r="M120" s="63" t="s">
        <v>1747</v>
      </c>
      <c r="N120" s="66" t="s">
        <v>1748</v>
      </c>
      <c r="O120" s="66" t="s">
        <v>1749</v>
      </c>
      <c r="P120" s="63"/>
      <c r="Q120" s="64">
        <v>34042</v>
      </c>
      <c r="R120" s="64">
        <v>44228</v>
      </c>
      <c r="S120" s="64">
        <v>45299</v>
      </c>
      <c r="T120" s="64">
        <v>45299</v>
      </c>
      <c r="U120" s="64" t="s">
        <v>76</v>
      </c>
      <c r="V120" s="64" t="s">
        <v>52</v>
      </c>
      <c r="W120" s="66">
        <f t="shared" ca="1" si="3"/>
        <v>33</v>
      </c>
      <c r="X12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0" s="64" t="s">
        <v>616</v>
      </c>
      <c r="Z120" s="65" t="s">
        <v>1750</v>
      </c>
      <c r="AA120" s="65" t="s">
        <v>1751</v>
      </c>
      <c r="AB120" s="64" t="s">
        <v>138</v>
      </c>
      <c r="AC120" s="64" t="s">
        <v>103</v>
      </c>
      <c r="AD120" s="65" t="s">
        <v>1752</v>
      </c>
      <c r="AE120" s="64" t="s">
        <v>639</v>
      </c>
      <c r="AF120" s="64" t="s">
        <v>1753</v>
      </c>
      <c r="AG120" s="64" t="s">
        <v>641</v>
      </c>
      <c r="AH120" s="64" t="s">
        <v>66</v>
      </c>
      <c r="AI120" s="64" t="s">
        <v>66</v>
      </c>
      <c r="AJ120" s="65" t="s">
        <v>1754</v>
      </c>
      <c r="AK120" s="64" t="s">
        <v>1755</v>
      </c>
      <c r="AL120" s="64" t="s">
        <v>1756</v>
      </c>
      <c r="AM120" s="64" t="s">
        <v>1757</v>
      </c>
      <c r="AN120" s="64" t="s">
        <v>1758</v>
      </c>
      <c r="AO120" s="64" t="s">
        <v>1759</v>
      </c>
      <c r="AP120" s="64" t="s">
        <v>1760</v>
      </c>
    </row>
    <row r="121" spans="1:42" ht="18.75">
      <c r="A121" s="139">
        <v>120</v>
      </c>
      <c r="B121" s="66" t="s">
        <v>1761</v>
      </c>
      <c r="C121" s="66" t="s">
        <v>1762</v>
      </c>
      <c r="D121" s="77"/>
      <c r="E121" s="77" t="s">
        <v>1763</v>
      </c>
      <c r="F121" s="77" t="s">
        <v>165</v>
      </c>
      <c r="G121" s="66" t="s">
        <v>1763</v>
      </c>
      <c r="H121" s="66" t="s">
        <v>46</v>
      </c>
      <c r="I121" s="71">
        <v>15</v>
      </c>
      <c r="J12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1" s="71" t="s">
        <v>95</v>
      </c>
      <c r="L121" s="71" t="str">
        <f>IF(Table1[[#This Row],[LAST]]="","Unfilled","Filled")</f>
        <v>Filled</v>
      </c>
      <c r="M121" s="63" t="s">
        <v>1764</v>
      </c>
      <c r="N121" s="63" t="s">
        <v>1765</v>
      </c>
      <c r="O121" s="63" t="s">
        <v>1766</v>
      </c>
      <c r="P121" s="63"/>
      <c r="Q121" s="64">
        <v>34625</v>
      </c>
      <c r="R121" s="64">
        <v>43899</v>
      </c>
      <c r="S121" s="64">
        <v>45489</v>
      </c>
      <c r="T121" s="64">
        <v>45489</v>
      </c>
      <c r="U121" s="64" t="s">
        <v>76</v>
      </c>
      <c r="V121" s="64" t="s">
        <v>77</v>
      </c>
      <c r="W121" s="66">
        <f t="shared" ca="1" si="3"/>
        <v>31</v>
      </c>
      <c r="X12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1" s="64" t="s">
        <v>1767</v>
      </c>
      <c r="Z121" s="64" t="s">
        <v>1768</v>
      </c>
      <c r="AA121" s="65" t="s">
        <v>1769</v>
      </c>
      <c r="AB121" s="64" t="s">
        <v>81</v>
      </c>
      <c r="AC121" s="64" t="s">
        <v>57</v>
      </c>
      <c r="AD121" s="65" t="s">
        <v>1770</v>
      </c>
      <c r="AE121" s="64" t="s">
        <v>619</v>
      </c>
      <c r="AF121" s="64" t="s">
        <v>1771</v>
      </c>
      <c r="AG121" s="64" t="s">
        <v>60</v>
      </c>
      <c r="AH121" s="156" t="s">
        <v>1772</v>
      </c>
      <c r="AI121" s="64">
        <v>46313</v>
      </c>
      <c r="AJ121" s="65" t="s">
        <v>1773</v>
      </c>
      <c r="AK121" s="64" t="s">
        <v>1774</v>
      </c>
      <c r="AL121" s="64" t="s">
        <v>1775</v>
      </c>
      <c r="AM121" s="64" t="s">
        <v>1776</v>
      </c>
      <c r="AN121" s="64" t="s">
        <v>1777</v>
      </c>
      <c r="AO121" s="64" t="s">
        <v>66</v>
      </c>
      <c r="AP121" s="85" t="s">
        <v>1778</v>
      </c>
    </row>
    <row r="122" spans="1:42" ht="18.75">
      <c r="A122" s="139">
        <v>121</v>
      </c>
      <c r="B122" s="66" t="s">
        <v>1779</v>
      </c>
      <c r="C122" s="66" t="s">
        <v>1780</v>
      </c>
      <c r="D122" s="66"/>
      <c r="E122" s="66" t="s">
        <v>1780</v>
      </c>
      <c r="F122" s="66" t="s">
        <v>165</v>
      </c>
      <c r="G122" s="66" t="s">
        <v>1035</v>
      </c>
      <c r="H122" s="66" t="s">
        <v>46</v>
      </c>
      <c r="I122" s="71">
        <v>15</v>
      </c>
      <c r="J12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2" s="71" t="s">
        <v>95</v>
      </c>
      <c r="L122" s="71" t="str">
        <f>IF(Table1[[#This Row],[LAST]]="","Unfilled","Filled")</f>
        <v>Filled</v>
      </c>
      <c r="M122" s="66" t="s">
        <v>1781</v>
      </c>
      <c r="N122" s="66" t="s">
        <v>1782</v>
      </c>
      <c r="O122" s="66" t="s">
        <v>519</v>
      </c>
      <c r="P122" s="63"/>
      <c r="Q122" s="64">
        <v>26581</v>
      </c>
      <c r="R122" s="64">
        <v>44363</v>
      </c>
      <c r="S122" s="64">
        <v>44363</v>
      </c>
      <c r="T122" s="64">
        <v>45124</v>
      </c>
      <c r="U122" s="64" t="s">
        <v>76</v>
      </c>
      <c r="V122" s="64" t="s">
        <v>77</v>
      </c>
      <c r="W122" s="66">
        <f t="shared" ca="1" si="3"/>
        <v>53</v>
      </c>
      <c r="X12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22" s="64" t="s">
        <v>1783</v>
      </c>
      <c r="Z122" s="64" t="s">
        <v>1784</v>
      </c>
      <c r="AA122" s="65" t="s">
        <v>1785</v>
      </c>
      <c r="AB122" s="64" t="s">
        <v>190</v>
      </c>
      <c r="AC122" s="64" t="s">
        <v>103</v>
      </c>
      <c r="AD122" s="65">
        <v>4102</v>
      </c>
      <c r="AE122" s="64" t="s">
        <v>619</v>
      </c>
      <c r="AF122" s="64" t="s">
        <v>1040</v>
      </c>
      <c r="AG122" s="64" t="s">
        <v>60</v>
      </c>
      <c r="AH122" s="64" t="s">
        <v>1786</v>
      </c>
      <c r="AI122" s="64">
        <v>46669</v>
      </c>
      <c r="AJ122" s="65" t="s">
        <v>1787</v>
      </c>
      <c r="AK122" s="64" t="s">
        <v>1788</v>
      </c>
      <c r="AL122" s="64" t="s">
        <v>1789</v>
      </c>
      <c r="AM122" s="64" t="s">
        <v>1790</v>
      </c>
      <c r="AN122" s="64" t="s">
        <v>1791</v>
      </c>
      <c r="AO122" s="64" t="s">
        <v>66</v>
      </c>
      <c r="AP122" s="64" t="s">
        <v>1792</v>
      </c>
    </row>
    <row r="123" spans="1:42" ht="18.75">
      <c r="A123" s="139">
        <v>122</v>
      </c>
      <c r="B123" s="66" t="s">
        <v>1793</v>
      </c>
      <c r="C123" s="66" t="s">
        <v>1780</v>
      </c>
      <c r="D123" s="66"/>
      <c r="E123" s="66" t="s">
        <v>1780</v>
      </c>
      <c r="F123" s="66" t="s">
        <v>165</v>
      </c>
      <c r="G123" s="66" t="s">
        <v>1035</v>
      </c>
      <c r="H123" s="66" t="s">
        <v>46</v>
      </c>
      <c r="I123" s="71">
        <v>15</v>
      </c>
      <c r="J12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3" s="71" t="s">
        <v>95</v>
      </c>
      <c r="L123" s="71" t="str">
        <f>IF(Table1[[#This Row],[LAST]]="","Unfilled","Filled")</f>
        <v>Filled</v>
      </c>
      <c r="M123" s="66" t="s">
        <v>1794</v>
      </c>
      <c r="N123" s="66" t="s">
        <v>1795</v>
      </c>
      <c r="O123" s="66" t="s">
        <v>1796</v>
      </c>
      <c r="P123" s="63"/>
      <c r="Q123" s="64">
        <v>34838</v>
      </c>
      <c r="R123" s="64">
        <v>44363</v>
      </c>
      <c r="S123" s="64">
        <v>44363</v>
      </c>
      <c r="T123" s="64">
        <v>45261</v>
      </c>
      <c r="U123" s="64" t="s">
        <v>76</v>
      </c>
      <c r="V123" s="64" t="s">
        <v>77</v>
      </c>
      <c r="W123" s="66">
        <f t="shared" ca="1" si="3"/>
        <v>31</v>
      </c>
      <c r="X12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3" s="64" t="s">
        <v>1797</v>
      </c>
      <c r="Z123" s="64" t="s">
        <v>1798</v>
      </c>
      <c r="AA123" s="65" t="s">
        <v>1799</v>
      </c>
      <c r="AB123" s="64" t="s">
        <v>102</v>
      </c>
      <c r="AC123" s="64" t="s">
        <v>103</v>
      </c>
      <c r="AD123" s="65">
        <v>4103</v>
      </c>
      <c r="AE123" s="64" t="s">
        <v>619</v>
      </c>
      <c r="AF123" s="64" t="s">
        <v>1040</v>
      </c>
      <c r="AG123" s="64" t="s">
        <v>60</v>
      </c>
      <c r="AH123" s="64" t="s">
        <v>1800</v>
      </c>
      <c r="AI123" s="64">
        <v>45796</v>
      </c>
      <c r="AJ123" s="65" t="s">
        <v>1801</v>
      </c>
      <c r="AK123" s="64" t="s">
        <v>1802</v>
      </c>
      <c r="AL123" s="64" t="s">
        <v>1803</v>
      </c>
      <c r="AM123" s="64" t="s">
        <v>1804</v>
      </c>
      <c r="AN123" s="64" t="s">
        <v>1805</v>
      </c>
      <c r="AO123" s="64" t="s">
        <v>66</v>
      </c>
      <c r="AP123" s="64" t="s">
        <v>1806</v>
      </c>
    </row>
    <row r="124" spans="1:42" ht="18.75">
      <c r="A124" s="139">
        <v>123</v>
      </c>
      <c r="B124" s="66" t="s">
        <v>1807</v>
      </c>
      <c r="C124" s="66" t="s">
        <v>1780</v>
      </c>
      <c r="D124" s="66"/>
      <c r="E124" s="66" t="s">
        <v>1780</v>
      </c>
      <c r="F124" s="66" t="s">
        <v>165</v>
      </c>
      <c r="G124" s="66" t="s">
        <v>1035</v>
      </c>
      <c r="H124" s="66" t="s">
        <v>46</v>
      </c>
      <c r="I124" s="71">
        <v>15</v>
      </c>
      <c r="J12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4" s="71" t="s">
        <v>95</v>
      </c>
      <c r="L124" s="71" t="str">
        <f>IF(Table1[[#This Row],[LAST]]="","Unfilled","Filled")</f>
        <v>Filled</v>
      </c>
      <c r="M124" s="66" t="s">
        <v>1808</v>
      </c>
      <c r="N124" s="66" t="s">
        <v>1809</v>
      </c>
      <c r="O124" s="66" t="s">
        <v>1424</v>
      </c>
      <c r="P124" s="63"/>
      <c r="Q124" s="64">
        <v>35958</v>
      </c>
      <c r="R124" s="64">
        <v>45267</v>
      </c>
      <c r="S124" s="64">
        <v>45267</v>
      </c>
      <c r="T124" s="64">
        <v>45267</v>
      </c>
      <c r="U124" s="64" t="s">
        <v>76</v>
      </c>
      <c r="V124" s="64" t="s">
        <v>77</v>
      </c>
      <c r="W124" s="66">
        <f t="shared" ca="1" si="3"/>
        <v>28</v>
      </c>
      <c r="X12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24" s="64" t="s">
        <v>121</v>
      </c>
      <c r="Z124" s="64" t="s">
        <v>1810</v>
      </c>
      <c r="AA124" s="65" t="s">
        <v>1811</v>
      </c>
      <c r="AB124" s="64" t="s">
        <v>1812</v>
      </c>
      <c r="AC124" s="64" t="s">
        <v>103</v>
      </c>
      <c r="AD124" s="65">
        <v>4118</v>
      </c>
      <c r="AE124" s="64" t="s">
        <v>619</v>
      </c>
      <c r="AF124" s="64" t="s">
        <v>1040</v>
      </c>
      <c r="AG124" s="64" t="s">
        <v>60</v>
      </c>
      <c r="AH124" s="64" t="s">
        <v>1813</v>
      </c>
      <c r="AI124" s="64">
        <v>46916</v>
      </c>
      <c r="AJ124" s="65" t="s">
        <v>1814</v>
      </c>
      <c r="AK124" s="64" t="s">
        <v>1815</v>
      </c>
      <c r="AL124" s="64" t="s">
        <v>1816</v>
      </c>
      <c r="AM124" s="64" t="s">
        <v>1817</v>
      </c>
      <c r="AN124" s="64" t="s">
        <v>1818</v>
      </c>
      <c r="AO124" s="64" t="s">
        <v>66</v>
      </c>
      <c r="AP124" s="64" t="s">
        <v>1819</v>
      </c>
    </row>
    <row r="125" spans="1:42" ht="18.75">
      <c r="A125" s="139">
        <v>124</v>
      </c>
      <c r="B125" s="66" t="s">
        <v>1820</v>
      </c>
      <c r="C125" s="66" t="s">
        <v>1780</v>
      </c>
      <c r="D125" s="66"/>
      <c r="E125" s="66" t="s">
        <v>1780</v>
      </c>
      <c r="F125" s="66" t="s">
        <v>165</v>
      </c>
      <c r="G125" s="66" t="s">
        <v>1035</v>
      </c>
      <c r="H125" s="66" t="s">
        <v>46</v>
      </c>
      <c r="I125" s="71">
        <v>15</v>
      </c>
      <c r="J12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5" s="71" t="s">
        <v>95</v>
      </c>
      <c r="L125" s="71" t="str">
        <f>IF(Table1[[#This Row],[LAST]]="","Unfilled","Filled")</f>
        <v>Filled</v>
      </c>
      <c r="M125" s="66" t="s">
        <v>1821</v>
      </c>
      <c r="N125" s="66" t="s">
        <v>1822</v>
      </c>
      <c r="O125" s="66" t="s">
        <v>1823</v>
      </c>
      <c r="P125" s="63"/>
      <c r="Q125" s="64">
        <v>35871</v>
      </c>
      <c r="R125" s="64">
        <v>45404</v>
      </c>
      <c r="S125" s="64">
        <v>45404</v>
      </c>
      <c r="T125" s="64">
        <v>46083</v>
      </c>
      <c r="U125" s="64" t="s">
        <v>76</v>
      </c>
      <c r="V125" s="64" t="s">
        <v>52</v>
      </c>
      <c r="W125" s="66">
        <f t="shared" ca="1" si="3"/>
        <v>28</v>
      </c>
      <c r="X12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25" s="64" t="s">
        <v>1824</v>
      </c>
      <c r="Z125" s="64" t="s">
        <v>1825</v>
      </c>
      <c r="AA125" s="65" t="s">
        <v>1826</v>
      </c>
      <c r="AB125" s="64" t="s">
        <v>190</v>
      </c>
      <c r="AC125" s="64" t="s">
        <v>103</v>
      </c>
      <c r="AD125" s="65" t="s">
        <v>656</v>
      </c>
      <c r="AE125" s="64" t="s">
        <v>619</v>
      </c>
      <c r="AF125" s="64" t="s">
        <v>1040</v>
      </c>
      <c r="AG125" s="64" t="s">
        <v>60</v>
      </c>
      <c r="AH125" s="156" t="s">
        <v>1827</v>
      </c>
      <c r="AI125" s="64">
        <v>45733</v>
      </c>
      <c r="AJ125" s="65" t="s">
        <v>1828</v>
      </c>
      <c r="AK125" s="64" t="s">
        <v>1829</v>
      </c>
      <c r="AL125" s="64" t="s">
        <v>1830</v>
      </c>
      <c r="AM125" s="64" t="s">
        <v>1831</v>
      </c>
      <c r="AN125" s="64" t="s">
        <v>1832</v>
      </c>
      <c r="AO125" s="64" t="s">
        <v>66</v>
      </c>
      <c r="AP125" s="85" t="s">
        <v>1833</v>
      </c>
    </row>
    <row r="126" spans="1:42" ht="18.75">
      <c r="A126" s="139">
        <v>125</v>
      </c>
      <c r="B126" s="66" t="s">
        <v>1834</v>
      </c>
      <c r="C126" s="66" t="s">
        <v>1835</v>
      </c>
      <c r="D126" s="66"/>
      <c r="E126" s="66" t="s">
        <v>1835</v>
      </c>
      <c r="F126" s="66" t="s">
        <v>1138</v>
      </c>
      <c r="G126" s="66" t="s">
        <v>611</v>
      </c>
      <c r="H126" s="66" t="s">
        <v>612</v>
      </c>
      <c r="I126" s="71">
        <v>15</v>
      </c>
      <c r="J12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6" s="71" t="s">
        <v>95</v>
      </c>
      <c r="L126" s="71" t="str">
        <f>IF(Table1[[#This Row],[LAST]]="","Unfilled","Filled")</f>
        <v>Filled</v>
      </c>
      <c r="M126" s="66" t="s">
        <v>696</v>
      </c>
      <c r="N126" s="66" t="s">
        <v>1836</v>
      </c>
      <c r="O126" s="66" t="s">
        <v>755</v>
      </c>
      <c r="P126" s="63"/>
      <c r="Q126" s="64">
        <v>27404</v>
      </c>
      <c r="R126" s="64">
        <v>44858</v>
      </c>
      <c r="S126" s="64">
        <v>44858</v>
      </c>
      <c r="T126" s="64">
        <v>44858</v>
      </c>
      <c r="U126" s="64" t="s">
        <v>51</v>
      </c>
      <c r="V126" s="64" t="s">
        <v>52</v>
      </c>
      <c r="W126" s="66">
        <f t="shared" ca="1" si="3"/>
        <v>51</v>
      </c>
      <c r="X12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26" s="64" t="s">
        <v>697</v>
      </c>
      <c r="Z126" s="64" t="s">
        <v>1837</v>
      </c>
      <c r="AA126" s="65" t="s">
        <v>101</v>
      </c>
      <c r="AB126" s="64" t="s">
        <v>102</v>
      </c>
      <c r="AC126" s="64" t="s">
        <v>103</v>
      </c>
      <c r="AD126" s="65">
        <v>4103</v>
      </c>
      <c r="AE126" s="64" t="s">
        <v>619</v>
      </c>
      <c r="AF126" s="64" t="s">
        <v>620</v>
      </c>
      <c r="AG126" s="64" t="s">
        <v>60</v>
      </c>
      <c r="AH126" s="64" t="s">
        <v>1838</v>
      </c>
      <c r="AI126" s="64">
        <v>46661</v>
      </c>
      <c r="AJ126" s="65" t="s">
        <v>1839</v>
      </c>
      <c r="AK126" s="64" t="s">
        <v>1840</v>
      </c>
      <c r="AL126" s="64" t="s">
        <v>1841</v>
      </c>
      <c r="AM126" s="64" t="s">
        <v>1842</v>
      </c>
      <c r="AN126" s="64" t="s">
        <v>1843</v>
      </c>
      <c r="AO126" s="64" t="s">
        <v>1844</v>
      </c>
      <c r="AP126" s="64" t="s">
        <v>1845</v>
      </c>
    </row>
    <row r="127" spans="1:42" ht="18.75">
      <c r="A127" s="139">
        <v>126</v>
      </c>
      <c r="B127" s="66" t="s">
        <v>1846</v>
      </c>
      <c r="C127" s="66" t="s">
        <v>1835</v>
      </c>
      <c r="D127" s="140"/>
      <c r="E127" s="66" t="s">
        <v>1835</v>
      </c>
      <c r="F127" s="66" t="s">
        <v>1138</v>
      </c>
      <c r="G127" s="66" t="s">
        <v>611</v>
      </c>
      <c r="H127" s="66" t="s">
        <v>612</v>
      </c>
      <c r="I127" s="71">
        <v>15</v>
      </c>
      <c r="J12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7" s="71" t="s">
        <v>95</v>
      </c>
      <c r="L127" s="71" t="str">
        <f>IF(Table1[[#This Row],[LAST]]="","Unfilled","Filled")</f>
        <v>Filled</v>
      </c>
      <c r="M127" s="63" t="s">
        <v>1847</v>
      </c>
      <c r="N127" s="63" t="s">
        <v>1848</v>
      </c>
      <c r="O127" s="63" t="s">
        <v>1849</v>
      </c>
      <c r="P127" s="63"/>
      <c r="Q127" s="64">
        <v>34222</v>
      </c>
      <c r="R127" s="64">
        <v>45509</v>
      </c>
      <c r="S127" s="64">
        <v>45509</v>
      </c>
      <c r="T127" s="64">
        <v>45509</v>
      </c>
      <c r="U127" s="64" t="s">
        <v>76</v>
      </c>
      <c r="V127" s="64" t="s">
        <v>77</v>
      </c>
      <c r="W127" s="66">
        <f t="shared" ca="1" si="3"/>
        <v>32</v>
      </c>
      <c r="X12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7" s="64" t="s">
        <v>154</v>
      </c>
      <c r="Z127" s="64" t="s">
        <v>1850</v>
      </c>
      <c r="AA127" s="65" t="s">
        <v>655</v>
      </c>
      <c r="AB127" s="64" t="s">
        <v>190</v>
      </c>
      <c r="AC127" s="64" t="s">
        <v>103</v>
      </c>
      <c r="AD127" s="65" t="s">
        <v>656</v>
      </c>
      <c r="AE127" s="64" t="s">
        <v>619</v>
      </c>
      <c r="AF127" s="64" t="s">
        <v>620</v>
      </c>
      <c r="AG127" s="64" t="s">
        <v>60</v>
      </c>
      <c r="AH127" s="156" t="s">
        <v>1851</v>
      </c>
      <c r="AI127" s="64">
        <v>46275</v>
      </c>
      <c r="AJ127" s="65" t="s">
        <v>1852</v>
      </c>
      <c r="AK127" s="64" t="s">
        <v>1853</v>
      </c>
      <c r="AL127" s="64" t="s">
        <v>1854</v>
      </c>
      <c r="AM127" s="64" t="s">
        <v>1855</v>
      </c>
      <c r="AN127" s="64" t="s">
        <v>1856</v>
      </c>
      <c r="AO127" s="64" t="s">
        <v>1857</v>
      </c>
      <c r="AP127" s="85" t="s">
        <v>1858</v>
      </c>
    </row>
    <row r="128" spans="1:42" ht="18.75">
      <c r="A128" s="139">
        <v>127</v>
      </c>
      <c r="B128" s="66" t="s">
        <v>1859</v>
      </c>
      <c r="C128" s="66" t="s">
        <v>1835</v>
      </c>
      <c r="D128" s="66"/>
      <c r="E128" s="66" t="s">
        <v>1835</v>
      </c>
      <c r="F128" s="66" t="s">
        <v>1138</v>
      </c>
      <c r="G128" s="66" t="s">
        <v>611</v>
      </c>
      <c r="H128" s="66" t="s">
        <v>612</v>
      </c>
      <c r="I128" s="71">
        <v>15</v>
      </c>
      <c r="J12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8" s="71" t="s">
        <v>95</v>
      </c>
      <c r="L128" s="71" t="str">
        <f>IF(Table1[[#This Row],[LAST]]="","Unfilled","Filled")</f>
        <v>Filled</v>
      </c>
      <c r="M128" s="66" t="s">
        <v>1860</v>
      </c>
      <c r="N128" s="66" t="s">
        <v>1861</v>
      </c>
      <c r="O128" s="66" t="s">
        <v>577</v>
      </c>
      <c r="P128" s="63"/>
      <c r="Q128" s="64">
        <v>32394</v>
      </c>
      <c r="R128" s="64">
        <v>44873</v>
      </c>
      <c r="S128" s="64">
        <v>44873</v>
      </c>
      <c r="T128" s="64">
        <v>44873</v>
      </c>
      <c r="U128" s="64" t="s">
        <v>76</v>
      </c>
      <c r="V128" s="64" t="s">
        <v>52</v>
      </c>
      <c r="W128" s="66">
        <f t="shared" ca="1" si="3"/>
        <v>37</v>
      </c>
      <c r="X12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28" s="64" t="s">
        <v>1862</v>
      </c>
      <c r="Z128" s="64" t="s">
        <v>1863</v>
      </c>
      <c r="AA128" s="65" t="s">
        <v>1864</v>
      </c>
      <c r="AB128" s="64" t="s">
        <v>190</v>
      </c>
      <c r="AC128" s="64" t="s">
        <v>103</v>
      </c>
      <c r="AD128" s="65">
        <v>4102</v>
      </c>
      <c r="AE128" s="64" t="s">
        <v>619</v>
      </c>
      <c r="AF128" s="64" t="s">
        <v>620</v>
      </c>
      <c r="AG128" s="64" t="s">
        <v>60</v>
      </c>
      <c r="AH128" s="64" t="s">
        <v>1865</v>
      </c>
      <c r="AI128" s="64">
        <v>46273</v>
      </c>
      <c r="AJ128" s="65" t="s">
        <v>1866</v>
      </c>
      <c r="AK128" s="64" t="s">
        <v>1867</v>
      </c>
      <c r="AL128" s="64" t="s">
        <v>1868</v>
      </c>
      <c r="AM128" s="64" t="s">
        <v>1869</v>
      </c>
      <c r="AN128" s="64" t="s">
        <v>1870</v>
      </c>
      <c r="AO128" s="64" t="s">
        <v>66</v>
      </c>
      <c r="AP128" s="64" t="s">
        <v>1871</v>
      </c>
    </row>
    <row r="129" spans="1:42" ht="18.75">
      <c r="A129" s="139">
        <v>128</v>
      </c>
      <c r="B129" s="66" t="s">
        <v>1872</v>
      </c>
      <c r="C129" s="66" t="s">
        <v>1835</v>
      </c>
      <c r="D129" s="140"/>
      <c r="E129" s="66" t="s">
        <v>1835</v>
      </c>
      <c r="F129" s="66" t="s">
        <v>1138</v>
      </c>
      <c r="G129" s="66" t="s">
        <v>611</v>
      </c>
      <c r="H129" s="66" t="s">
        <v>612</v>
      </c>
      <c r="I129" s="71">
        <v>15</v>
      </c>
      <c r="J12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29" s="71" t="s">
        <v>95</v>
      </c>
      <c r="L129" s="71" t="str">
        <f>IF(Table1[[#This Row],[LAST]]="","Unfilled","Filled")</f>
        <v>Filled</v>
      </c>
      <c r="M129" s="63" t="s">
        <v>1873</v>
      </c>
      <c r="N129" s="63" t="s">
        <v>1874</v>
      </c>
      <c r="O129" s="66" t="s">
        <v>1875</v>
      </c>
      <c r="P129" s="63"/>
      <c r="Q129" s="64">
        <v>31065</v>
      </c>
      <c r="R129" s="64">
        <v>45922</v>
      </c>
      <c r="S129" s="64">
        <v>45922</v>
      </c>
      <c r="T129" s="64">
        <v>45922</v>
      </c>
      <c r="U129" s="64" t="s">
        <v>51</v>
      </c>
      <c r="V129" s="64" t="s">
        <v>52</v>
      </c>
      <c r="W129" s="66">
        <f t="shared" ca="1" si="3"/>
        <v>41</v>
      </c>
      <c r="X12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29" s="64" t="s">
        <v>154</v>
      </c>
      <c r="Z129" s="64" t="s">
        <v>1876</v>
      </c>
      <c r="AA129" s="65" t="s">
        <v>1877</v>
      </c>
      <c r="AB129" s="64" t="s">
        <v>81</v>
      </c>
      <c r="AC129" s="64" t="s">
        <v>57</v>
      </c>
      <c r="AD129" s="65" t="s">
        <v>1878</v>
      </c>
      <c r="AE129" s="64" t="s">
        <v>619</v>
      </c>
      <c r="AF129" s="64" t="s">
        <v>620</v>
      </c>
      <c r="AG129" s="64" t="s">
        <v>60</v>
      </c>
      <c r="AH129" s="156" t="s">
        <v>1879</v>
      </c>
      <c r="AI129" s="64">
        <v>46264</v>
      </c>
      <c r="AJ129" s="65" t="s">
        <v>1880</v>
      </c>
      <c r="AK129" s="64" t="s">
        <v>1881</v>
      </c>
      <c r="AL129" s="64" t="s">
        <v>1882</v>
      </c>
      <c r="AM129" s="64" t="s">
        <v>1883</v>
      </c>
      <c r="AN129" s="64" t="s">
        <v>1884</v>
      </c>
      <c r="AO129" s="64" t="s">
        <v>66</v>
      </c>
      <c r="AP129" s="85" t="s">
        <v>1885</v>
      </c>
    </row>
    <row r="130" spans="1:42" ht="18.75">
      <c r="A130" s="139">
        <v>129</v>
      </c>
      <c r="B130" s="66" t="s">
        <v>1886</v>
      </c>
      <c r="C130" s="66" t="s">
        <v>1835</v>
      </c>
      <c r="D130" s="66"/>
      <c r="E130" s="66" t="s">
        <v>1835</v>
      </c>
      <c r="F130" s="66" t="s">
        <v>1138</v>
      </c>
      <c r="G130" s="66" t="s">
        <v>611</v>
      </c>
      <c r="H130" s="66" t="s">
        <v>612</v>
      </c>
      <c r="I130" s="71">
        <v>15</v>
      </c>
      <c r="J13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0" s="71" t="s">
        <v>95</v>
      </c>
      <c r="L130" s="71" t="str">
        <f>IF(Table1[[#This Row],[LAST]]="","Unfilled","Filled")</f>
        <v>Filled</v>
      </c>
      <c r="M130" s="66" t="s">
        <v>1887</v>
      </c>
      <c r="N130" s="66" t="s">
        <v>1607</v>
      </c>
      <c r="O130" s="66" t="s">
        <v>403</v>
      </c>
      <c r="P130" s="63"/>
      <c r="Q130" s="64">
        <v>32005</v>
      </c>
      <c r="R130" s="64">
        <v>45839</v>
      </c>
      <c r="S130" s="64">
        <v>45839</v>
      </c>
      <c r="T130" s="64">
        <v>45839</v>
      </c>
      <c r="U130" s="64" t="s">
        <v>51</v>
      </c>
      <c r="V130" s="64" t="s">
        <v>77</v>
      </c>
      <c r="W130" s="66">
        <f t="shared" ca="1" si="3"/>
        <v>39</v>
      </c>
      <c r="X13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0" s="64" t="s">
        <v>1888</v>
      </c>
      <c r="Z130" s="64" t="s">
        <v>1889</v>
      </c>
      <c r="AA130" s="65" t="s">
        <v>1890</v>
      </c>
      <c r="AB130" s="64" t="s">
        <v>523</v>
      </c>
      <c r="AC130" s="64" t="s">
        <v>103</v>
      </c>
      <c r="AD130" s="65" t="s">
        <v>524</v>
      </c>
      <c r="AE130" s="64" t="s">
        <v>619</v>
      </c>
      <c r="AF130" s="64" t="s">
        <v>620</v>
      </c>
      <c r="AG130" s="64" t="s">
        <v>60</v>
      </c>
      <c r="AH130" s="156" t="s">
        <v>1891</v>
      </c>
      <c r="AI130" s="64">
        <v>46981</v>
      </c>
      <c r="AJ130" s="65" t="s">
        <v>1892</v>
      </c>
      <c r="AK130" s="64" t="s">
        <v>1893</v>
      </c>
      <c r="AL130" s="64" t="s">
        <v>1894</v>
      </c>
      <c r="AM130" s="64" t="s">
        <v>1895</v>
      </c>
      <c r="AN130" s="64" t="s">
        <v>1896</v>
      </c>
      <c r="AO130" s="64" t="s">
        <v>66</v>
      </c>
      <c r="AP130" s="85" t="s">
        <v>1897</v>
      </c>
    </row>
    <row r="131" spans="1:42" ht="18.75">
      <c r="A131" s="139">
        <v>130</v>
      </c>
      <c r="B131" s="66" t="s">
        <v>1898</v>
      </c>
      <c r="C131" s="66" t="s">
        <v>1835</v>
      </c>
      <c r="D131" s="66"/>
      <c r="E131" s="66" t="s">
        <v>1835</v>
      </c>
      <c r="F131" s="66" t="s">
        <v>1138</v>
      </c>
      <c r="G131" s="66" t="s">
        <v>611</v>
      </c>
      <c r="H131" s="66" t="s">
        <v>612</v>
      </c>
      <c r="I131" s="71">
        <v>15</v>
      </c>
      <c r="J13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1" s="71" t="s">
        <v>95</v>
      </c>
      <c r="L131" s="71" t="str">
        <f>IF(Table1[[#This Row],[LAST]]="","Unfilled","Filled")</f>
        <v>Filled</v>
      </c>
      <c r="M131" s="63" t="s">
        <v>1899</v>
      </c>
      <c r="N131" s="66" t="s">
        <v>1900</v>
      </c>
      <c r="O131" s="66" t="s">
        <v>1901</v>
      </c>
      <c r="P131" s="63"/>
      <c r="Q131" s="64">
        <v>33552</v>
      </c>
      <c r="R131" s="64">
        <v>45383</v>
      </c>
      <c r="S131" s="64">
        <v>45383</v>
      </c>
      <c r="T131" s="64">
        <v>45383</v>
      </c>
      <c r="U131" s="64" t="s">
        <v>51</v>
      </c>
      <c r="V131" s="64" t="s">
        <v>52</v>
      </c>
      <c r="W131" s="66">
        <f t="shared" ca="1" si="3"/>
        <v>34</v>
      </c>
      <c r="X13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1" s="64" t="s">
        <v>56</v>
      </c>
      <c r="Z131" s="64" t="s">
        <v>1902</v>
      </c>
      <c r="AA131" s="65" t="s">
        <v>1785</v>
      </c>
      <c r="AB131" s="64" t="s">
        <v>190</v>
      </c>
      <c r="AC131" s="64" t="s">
        <v>103</v>
      </c>
      <c r="AD131" s="65" t="s">
        <v>656</v>
      </c>
      <c r="AE131" s="64" t="s">
        <v>619</v>
      </c>
      <c r="AF131" s="64" t="s">
        <v>620</v>
      </c>
      <c r="AG131" s="64" t="s">
        <v>60</v>
      </c>
      <c r="AH131" s="156" t="s">
        <v>1903</v>
      </c>
      <c r="AI131" s="64">
        <v>46701</v>
      </c>
      <c r="AJ131" s="65" t="s">
        <v>1904</v>
      </c>
      <c r="AK131" s="64" t="s">
        <v>1905</v>
      </c>
      <c r="AL131" s="64" t="s">
        <v>1906</v>
      </c>
      <c r="AM131" s="64" t="s">
        <v>1907</v>
      </c>
      <c r="AN131" s="64" t="s">
        <v>1908</v>
      </c>
      <c r="AO131" s="64" t="s">
        <v>66</v>
      </c>
      <c r="AP131" s="85" t="s">
        <v>1909</v>
      </c>
    </row>
    <row r="132" spans="1:42" ht="18.75">
      <c r="A132" s="139">
        <v>131</v>
      </c>
      <c r="B132" s="66" t="s">
        <v>1910</v>
      </c>
      <c r="C132" s="66" t="s">
        <v>1835</v>
      </c>
      <c r="D132" s="66"/>
      <c r="E132" s="66" t="s">
        <v>1835</v>
      </c>
      <c r="F132" s="66" t="s">
        <v>1138</v>
      </c>
      <c r="G132" s="66" t="s">
        <v>611</v>
      </c>
      <c r="H132" s="66" t="s">
        <v>612</v>
      </c>
      <c r="I132" s="71">
        <v>15</v>
      </c>
      <c r="J13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2" s="71" t="s">
        <v>95</v>
      </c>
      <c r="L132" s="71" t="str">
        <f>IF(Table1[[#This Row],[LAST]]="","Unfilled","Filled")</f>
        <v>Filled</v>
      </c>
      <c r="M132" s="66" t="s">
        <v>1911</v>
      </c>
      <c r="N132" s="66" t="s">
        <v>1912</v>
      </c>
      <c r="O132" s="66" t="s">
        <v>1913</v>
      </c>
      <c r="P132" s="63"/>
      <c r="Q132" s="64">
        <v>30725</v>
      </c>
      <c r="R132" s="64">
        <v>46092</v>
      </c>
      <c r="S132" s="64">
        <v>46092</v>
      </c>
      <c r="T132" s="64">
        <v>46092</v>
      </c>
      <c r="U132" s="64" t="s">
        <v>76</v>
      </c>
      <c r="V132" s="64" t="s">
        <v>77</v>
      </c>
      <c r="W132" s="66">
        <f t="shared" ca="1" si="3"/>
        <v>42</v>
      </c>
      <c r="X13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32" s="64" t="s">
        <v>1914</v>
      </c>
      <c r="Z132" s="64" t="s">
        <v>1915</v>
      </c>
      <c r="AA132" s="65" t="s">
        <v>101</v>
      </c>
      <c r="AB132" s="64" t="s">
        <v>102</v>
      </c>
      <c r="AC132" s="64" t="s">
        <v>103</v>
      </c>
      <c r="AD132" s="65" t="s">
        <v>1106</v>
      </c>
      <c r="AE132" s="64" t="s">
        <v>619</v>
      </c>
      <c r="AF132" s="64" t="s">
        <v>620</v>
      </c>
      <c r="AG132" s="64" t="s">
        <v>60</v>
      </c>
      <c r="AH132" s="156" t="s">
        <v>1916</v>
      </c>
      <c r="AI132" s="64">
        <v>46796</v>
      </c>
      <c r="AJ132" s="65" t="s">
        <v>66</v>
      </c>
      <c r="AK132" s="64" t="s">
        <v>1917</v>
      </c>
      <c r="AL132" s="64" t="s">
        <v>1918</v>
      </c>
      <c r="AM132" s="64" t="s">
        <v>1919</v>
      </c>
      <c r="AN132" s="64" t="s">
        <v>1920</v>
      </c>
      <c r="AO132" s="64" t="s">
        <v>66</v>
      </c>
      <c r="AP132" s="85" t="s">
        <v>1921</v>
      </c>
    </row>
    <row r="133" spans="1:42" ht="18.75">
      <c r="A133" s="139">
        <v>132</v>
      </c>
      <c r="B133" s="66" t="s">
        <v>1922</v>
      </c>
      <c r="C133" s="66" t="s">
        <v>1835</v>
      </c>
      <c r="D133" s="66"/>
      <c r="E133" s="66" t="s">
        <v>1835</v>
      </c>
      <c r="F133" s="66" t="s">
        <v>1138</v>
      </c>
      <c r="G133" s="66" t="s">
        <v>611</v>
      </c>
      <c r="H133" s="66" t="s">
        <v>612</v>
      </c>
      <c r="I133" s="71">
        <v>15</v>
      </c>
      <c r="J13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3" s="71" t="s">
        <v>95</v>
      </c>
      <c r="L133" s="71" t="str">
        <f>IF(Table1[[#This Row],[LAST]]="","Unfilled","Filled")</f>
        <v>Filled</v>
      </c>
      <c r="M133" s="66" t="s">
        <v>1923</v>
      </c>
      <c r="N133" s="66" t="s">
        <v>1924</v>
      </c>
      <c r="O133" s="66" t="s">
        <v>444</v>
      </c>
      <c r="P133" s="63"/>
      <c r="Q133" s="64">
        <v>34575</v>
      </c>
      <c r="R133" s="64">
        <v>45086</v>
      </c>
      <c r="S133" s="64">
        <v>45086</v>
      </c>
      <c r="T133" s="64">
        <v>45086</v>
      </c>
      <c r="U133" s="64" t="s">
        <v>76</v>
      </c>
      <c r="V133" s="64" t="s">
        <v>77</v>
      </c>
      <c r="W133" s="66">
        <f t="shared" ca="1" si="3"/>
        <v>31</v>
      </c>
      <c r="X13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3" s="64" t="s">
        <v>988</v>
      </c>
      <c r="Z133" s="64" t="s">
        <v>1925</v>
      </c>
      <c r="AA133" s="65" t="s">
        <v>1926</v>
      </c>
      <c r="AB133" s="64" t="s">
        <v>709</v>
      </c>
      <c r="AC133" s="64" t="s">
        <v>103</v>
      </c>
      <c r="AD133" s="65">
        <v>4113</v>
      </c>
      <c r="AE133" s="64" t="s">
        <v>619</v>
      </c>
      <c r="AF133" s="64" t="s">
        <v>620</v>
      </c>
      <c r="AG133" s="64" t="s">
        <v>60</v>
      </c>
      <c r="AH133" s="64" t="s">
        <v>1927</v>
      </c>
      <c r="AI133" s="64">
        <v>46628</v>
      </c>
      <c r="AJ133" s="65" t="s">
        <v>1928</v>
      </c>
      <c r="AK133" s="64" t="s">
        <v>1929</v>
      </c>
      <c r="AL133" s="64" t="s">
        <v>1930</v>
      </c>
      <c r="AM133" s="64" t="s">
        <v>1931</v>
      </c>
      <c r="AN133" s="64" t="s">
        <v>1932</v>
      </c>
      <c r="AO133" s="64" t="s">
        <v>66</v>
      </c>
      <c r="AP133" s="64" t="s">
        <v>1933</v>
      </c>
    </row>
    <row r="134" spans="1:42" ht="18.75">
      <c r="A134" s="139">
        <v>133</v>
      </c>
      <c r="B134" s="66" t="s">
        <v>1934</v>
      </c>
      <c r="C134" s="66" t="s">
        <v>1835</v>
      </c>
      <c r="D134" s="66"/>
      <c r="E134" s="66" t="s">
        <v>1835</v>
      </c>
      <c r="F134" s="66" t="s">
        <v>1138</v>
      </c>
      <c r="G134" s="66" t="s">
        <v>611</v>
      </c>
      <c r="H134" s="66" t="s">
        <v>612</v>
      </c>
      <c r="I134" s="71">
        <v>15</v>
      </c>
      <c r="J13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4" s="71" t="s">
        <v>95</v>
      </c>
      <c r="L134" s="71" t="str">
        <f>IF(Table1[[#This Row],[LAST]]="","Unfilled","Filled")</f>
        <v>Filled</v>
      </c>
      <c r="M134" s="66" t="s">
        <v>1935</v>
      </c>
      <c r="N134" s="66" t="s">
        <v>1936</v>
      </c>
      <c r="O134" s="66" t="s">
        <v>1937</v>
      </c>
      <c r="P134" s="63"/>
      <c r="Q134" s="64">
        <v>32277</v>
      </c>
      <c r="R134" s="64">
        <v>45271</v>
      </c>
      <c r="S134" s="64">
        <v>45271</v>
      </c>
      <c r="T134" s="64">
        <v>45271</v>
      </c>
      <c r="U134" s="64" t="s">
        <v>51</v>
      </c>
      <c r="V134" s="64" t="s">
        <v>77</v>
      </c>
      <c r="W134" s="66">
        <f t="shared" ca="1" si="3"/>
        <v>38</v>
      </c>
      <c r="X13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4" s="64" t="s">
        <v>1938</v>
      </c>
      <c r="Z134" s="64" t="s">
        <v>1939</v>
      </c>
      <c r="AA134" s="65" t="s">
        <v>302</v>
      </c>
      <c r="AB134" s="64" t="s">
        <v>237</v>
      </c>
      <c r="AC134" s="64" t="s">
        <v>103</v>
      </c>
      <c r="AD134" s="65">
        <v>4107</v>
      </c>
      <c r="AE134" s="64" t="s">
        <v>619</v>
      </c>
      <c r="AF134" s="64" t="s">
        <v>620</v>
      </c>
      <c r="AG134" s="64" t="s">
        <v>60</v>
      </c>
      <c r="AH134" s="64" t="s">
        <v>1940</v>
      </c>
      <c r="AI134" s="64">
        <v>45791</v>
      </c>
      <c r="AJ134" s="65" t="s">
        <v>1941</v>
      </c>
      <c r="AK134" s="64" t="s">
        <v>1942</v>
      </c>
      <c r="AL134" s="64" t="s">
        <v>1943</v>
      </c>
      <c r="AM134" s="64" t="s">
        <v>1944</v>
      </c>
      <c r="AN134" s="64" t="s">
        <v>1945</v>
      </c>
      <c r="AO134" s="64" t="s">
        <v>66</v>
      </c>
      <c r="AP134" s="64" t="s">
        <v>1946</v>
      </c>
    </row>
    <row r="135" spans="1:42" ht="18.75">
      <c r="A135" s="139">
        <v>134</v>
      </c>
      <c r="B135" s="66" t="s">
        <v>1947</v>
      </c>
      <c r="C135" s="66" t="s">
        <v>1835</v>
      </c>
      <c r="D135" s="77"/>
      <c r="E135" s="66" t="s">
        <v>1835</v>
      </c>
      <c r="F135" s="66" t="s">
        <v>1138</v>
      </c>
      <c r="G135" s="66" t="s">
        <v>611</v>
      </c>
      <c r="H135" s="66" t="s">
        <v>612</v>
      </c>
      <c r="I135" s="71">
        <v>15</v>
      </c>
      <c r="J13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5" s="71" t="s">
        <v>95</v>
      </c>
      <c r="L135" s="71" t="str">
        <f>IF(Table1[[#This Row],[LAST]]="","Unfilled","Filled")</f>
        <v>Filled</v>
      </c>
      <c r="M135" s="63" t="s">
        <v>1948</v>
      </c>
      <c r="N135" s="63" t="s">
        <v>1949</v>
      </c>
      <c r="O135" s="63" t="s">
        <v>1950</v>
      </c>
      <c r="P135" s="63"/>
      <c r="Q135" s="64">
        <v>33831</v>
      </c>
      <c r="R135" s="64">
        <v>46118</v>
      </c>
      <c r="S135" s="64">
        <v>46118</v>
      </c>
      <c r="T135" s="64">
        <v>46118</v>
      </c>
      <c r="U135" s="64" t="s">
        <v>76</v>
      </c>
      <c r="V135" s="64" t="s">
        <v>77</v>
      </c>
      <c r="W135" s="66">
        <f t="shared" ca="1" si="3"/>
        <v>34</v>
      </c>
      <c r="X1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5" s="64" t="s">
        <v>616</v>
      </c>
      <c r="Z135" s="64" t="s">
        <v>1951</v>
      </c>
      <c r="AA135" s="65" t="s">
        <v>1952</v>
      </c>
      <c r="AB135" s="65" t="s">
        <v>138</v>
      </c>
      <c r="AC135" s="64" t="s">
        <v>103</v>
      </c>
      <c r="AD135" s="65" t="s">
        <v>1752</v>
      </c>
      <c r="AE135" s="64" t="s">
        <v>619</v>
      </c>
      <c r="AF135" s="64" t="s">
        <v>620</v>
      </c>
      <c r="AG135" s="64" t="s">
        <v>60</v>
      </c>
      <c r="AH135" s="156" t="s">
        <v>1953</v>
      </c>
      <c r="AI135" s="64">
        <v>46980</v>
      </c>
      <c r="AJ135" s="65" t="s">
        <v>66</v>
      </c>
      <c r="AK135" s="64" t="s">
        <v>1954</v>
      </c>
      <c r="AL135" s="64" t="s">
        <v>1955</v>
      </c>
      <c r="AM135" s="64" t="s">
        <v>1956</v>
      </c>
      <c r="AN135" s="64" t="s">
        <v>1957</v>
      </c>
      <c r="AO135" s="64" t="s">
        <v>66</v>
      </c>
      <c r="AP135" s="85" t="s">
        <v>1958</v>
      </c>
    </row>
    <row r="136" spans="1:42" ht="18.75">
      <c r="A136" s="139">
        <v>135</v>
      </c>
      <c r="B136" s="66" t="s">
        <v>1959</v>
      </c>
      <c r="C136" s="66" t="s">
        <v>1835</v>
      </c>
      <c r="D136" s="66"/>
      <c r="E136" s="66" t="s">
        <v>1835</v>
      </c>
      <c r="F136" s="66" t="s">
        <v>1138</v>
      </c>
      <c r="G136" s="66" t="s">
        <v>611</v>
      </c>
      <c r="H136" s="66" t="s">
        <v>612</v>
      </c>
      <c r="I136" s="71">
        <v>15</v>
      </c>
      <c r="J13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6" s="71" t="s">
        <v>95</v>
      </c>
      <c r="L136" s="71" t="str">
        <f>IF(Table1[[#This Row],[LAST]]="","Unfilled","Filled")</f>
        <v>Filled</v>
      </c>
      <c r="M136" s="66" t="s">
        <v>1960</v>
      </c>
      <c r="N136" s="66" t="s">
        <v>1961</v>
      </c>
      <c r="O136" s="66" t="s">
        <v>1962</v>
      </c>
      <c r="P136" s="63"/>
      <c r="Q136" s="64">
        <v>27704</v>
      </c>
      <c r="R136" s="64">
        <v>45603</v>
      </c>
      <c r="S136" s="64">
        <v>45603</v>
      </c>
      <c r="T136" s="64">
        <v>45603</v>
      </c>
      <c r="U136" s="64" t="s">
        <v>51</v>
      </c>
      <c r="V136" s="64" t="s">
        <v>77</v>
      </c>
      <c r="W136" s="66">
        <f t="shared" ca="1" si="3"/>
        <v>50</v>
      </c>
      <c r="X1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36" s="64" t="s">
        <v>284</v>
      </c>
      <c r="Z136" s="64" t="s">
        <v>1963</v>
      </c>
      <c r="AA136" s="65" t="s">
        <v>1964</v>
      </c>
      <c r="AB136" s="64" t="s">
        <v>1965</v>
      </c>
      <c r="AC136" s="64" t="s">
        <v>103</v>
      </c>
      <c r="AD136" s="65" t="s">
        <v>1966</v>
      </c>
      <c r="AE136" s="64" t="s">
        <v>619</v>
      </c>
      <c r="AF136" s="64" t="s">
        <v>620</v>
      </c>
      <c r="AG136" s="64" t="s">
        <v>60</v>
      </c>
      <c r="AH136" s="156" t="s">
        <v>1967</v>
      </c>
      <c r="AI136" s="64">
        <v>46332</v>
      </c>
      <c r="AJ136" s="65" t="s">
        <v>1968</v>
      </c>
      <c r="AK136" s="64" t="s">
        <v>1969</v>
      </c>
      <c r="AL136" s="64" t="s">
        <v>1970</v>
      </c>
      <c r="AM136" s="64" t="s">
        <v>1971</v>
      </c>
      <c r="AN136" s="64" t="s">
        <v>1972</v>
      </c>
      <c r="AO136" s="64" t="s">
        <v>1973</v>
      </c>
      <c r="AP136" s="85" t="s">
        <v>1974</v>
      </c>
    </row>
    <row r="137" spans="1:42" ht="18.75">
      <c r="A137" s="139">
        <v>136</v>
      </c>
      <c r="B137" s="66" t="s">
        <v>1975</v>
      </c>
      <c r="C137" s="66" t="s">
        <v>1835</v>
      </c>
      <c r="D137" s="66"/>
      <c r="E137" s="66" t="s">
        <v>1835</v>
      </c>
      <c r="F137" s="66" t="s">
        <v>1138</v>
      </c>
      <c r="G137" s="66" t="s">
        <v>611</v>
      </c>
      <c r="H137" s="66" t="s">
        <v>612</v>
      </c>
      <c r="I137" s="71">
        <v>15</v>
      </c>
      <c r="J13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7" s="71" t="s">
        <v>95</v>
      </c>
      <c r="L137" s="71" t="str">
        <f>IF(Table1[[#This Row],[LAST]]="","Unfilled","Filled")</f>
        <v>Filled</v>
      </c>
      <c r="M137" s="66" t="s">
        <v>1976</v>
      </c>
      <c r="N137" s="66" t="s">
        <v>1977</v>
      </c>
      <c r="O137" s="66" t="s">
        <v>1978</v>
      </c>
      <c r="P137" s="63"/>
      <c r="Q137" s="64">
        <v>36581</v>
      </c>
      <c r="R137" s="64">
        <v>46083</v>
      </c>
      <c r="S137" s="64">
        <v>46083</v>
      </c>
      <c r="T137" s="64">
        <v>46083</v>
      </c>
      <c r="U137" s="64" t="s">
        <v>76</v>
      </c>
      <c r="V137" s="64" t="s">
        <v>77</v>
      </c>
      <c r="W137" s="66">
        <f t="shared" ca="1" si="3"/>
        <v>26</v>
      </c>
      <c r="X13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37" s="64" t="s">
        <v>1979</v>
      </c>
      <c r="Z137" s="64" t="s">
        <v>1980</v>
      </c>
      <c r="AA137" s="65" t="s">
        <v>1981</v>
      </c>
      <c r="AB137" s="64" t="s">
        <v>219</v>
      </c>
      <c r="AC137" s="64" t="s">
        <v>57</v>
      </c>
      <c r="AD137" s="65" t="s">
        <v>1982</v>
      </c>
      <c r="AE137" s="64" t="s">
        <v>619</v>
      </c>
      <c r="AF137" s="64" t="s">
        <v>620</v>
      </c>
      <c r="AG137" s="64" t="s">
        <v>60</v>
      </c>
      <c r="AH137" s="156" t="s">
        <v>1983</v>
      </c>
      <c r="AI137" s="64">
        <v>46443</v>
      </c>
      <c r="AJ137" s="65" t="s">
        <v>66</v>
      </c>
      <c r="AK137" s="64" t="s">
        <v>1984</v>
      </c>
      <c r="AL137" s="64" t="s">
        <v>1985</v>
      </c>
      <c r="AM137" s="64" t="s">
        <v>1986</v>
      </c>
      <c r="AN137" s="64" t="s">
        <v>1987</v>
      </c>
      <c r="AO137" s="64" t="s">
        <v>66</v>
      </c>
      <c r="AP137" s="85" t="s">
        <v>1988</v>
      </c>
    </row>
    <row r="138" spans="1:42" ht="18.75">
      <c r="A138" s="139">
        <v>137</v>
      </c>
      <c r="B138" s="66" t="s">
        <v>1989</v>
      </c>
      <c r="C138" s="66" t="s">
        <v>1835</v>
      </c>
      <c r="D138" s="140"/>
      <c r="E138" s="66" t="s">
        <v>1835</v>
      </c>
      <c r="F138" s="66" t="s">
        <v>1138</v>
      </c>
      <c r="G138" s="66" t="s">
        <v>611</v>
      </c>
      <c r="H138" s="66" t="s">
        <v>612</v>
      </c>
      <c r="I138" s="71">
        <v>15</v>
      </c>
      <c r="J13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8" s="71" t="s">
        <v>95</v>
      </c>
      <c r="L138" s="71" t="str">
        <f>IF(Table1[[#This Row],[LAST]]="","Unfilled","Filled")</f>
        <v>Filled</v>
      </c>
      <c r="M138" s="66" t="s">
        <v>1221</v>
      </c>
      <c r="N138" s="66" t="s">
        <v>1990</v>
      </c>
      <c r="O138" s="66" t="s">
        <v>1223</v>
      </c>
      <c r="P138" s="63"/>
      <c r="Q138" s="64">
        <v>35166</v>
      </c>
      <c r="R138" s="64">
        <v>45484</v>
      </c>
      <c r="S138" s="64">
        <v>45484</v>
      </c>
      <c r="T138" s="64">
        <v>45484</v>
      </c>
      <c r="U138" s="64" t="s">
        <v>76</v>
      </c>
      <c r="V138" s="64" t="s">
        <v>77</v>
      </c>
      <c r="W138" s="66">
        <f t="shared" ca="1" si="3"/>
        <v>30</v>
      </c>
      <c r="X1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38" s="64" t="s">
        <v>1465</v>
      </c>
      <c r="Z138" s="65" t="s">
        <v>1991</v>
      </c>
      <c r="AA138" s="65" t="s">
        <v>699</v>
      </c>
      <c r="AB138" s="64" t="s">
        <v>237</v>
      </c>
      <c r="AC138" s="64" t="s">
        <v>103</v>
      </c>
      <c r="AD138" s="65" t="s">
        <v>700</v>
      </c>
      <c r="AE138" s="64" t="s">
        <v>619</v>
      </c>
      <c r="AF138" s="64" t="s">
        <v>620</v>
      </c>
      <c r="AG138" s="64" t="s">
        <v>60</v>
      </c>
      <c r="AH138" s="156" t="s">
        <v>1992</v>
      </c>
      <c r="AI138" s="64">
        <v>46123</v>
      </c>
      <c r="AJ138" s="65" t="s">
        <v>1993</v>
      </c>
      <c r="AK138" s="64" t="s">
        <v>1994</v>
      </c>
      <c r="AL138" s="64" t="s">
        <v>1995</v>
      </c>
      <c r="AM138" s="64" t="s">
        <v>1996</v>
      </c>
      <c r="AN138" s="64" t="s">
        <v>1997</v>
      </c>
      <c r="AO138" s="64" t="s">
        <v>66</v>
      </c>
      <c r="AP138" s="85" t="s">
        <v>1998</v>
      </c>
    </row>
    <row r="139" spans="1:42" ht="18.75">
      <c r="A139" s="139">
        <v>138</v>
      </c>
      <c r="B139" s="66" t="s">
        <v>1999</v>
      </c>
      <c r="C139" s="66" t="s">
        <v>1835</v>
      </c>
      <c r="D139" s="66"/>
      <c r="E139" s="66" t="s">
        <v>1835</v>
      </c>
      <c r="F139" s="66" t="s">
        <v>1138</v>
      </c>
      <c r="G139" s="66" t="s">
        <v>611</v>
      </c>
      <c r="H139" s="66" t="s">
        <v>612</v>
      </c>
      <c r="I139" s="71">
        <v>15</v>
      </c>
      <c r="J13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39" s="71" t="s">
        <v>95</v>
      </c>
      <c r="L139" s="71" t="str">
        <f>IF(Table1[[#This Row],[LAST]]="","Unfilled","Filled")</f>
        <v>Filled</v>
      </c>
      <c r="M139" s="66" t="s">
        <v>2000</v>
      </c>
      <c r="N139" s="66" t="s">
        <v>2001</v>
      </c>
      <c r="O139" s="66" t="s">
        <v>1899</v>
      </c>
      <c r="P139" s="63"/>
      <c r="Q139" s="64">
        <v>31499</v>
      </c>
      <c r="R139" s="64">
        <v>46094</v>
      </c>
      <c r="S139" s="64">
        <v>46094</v>
      </c>
      <c r="T139" s="64">
        <v>46094</v>
      </c>
      <c r="U139" s="64" t="s">
        <v>51</v>
      </c>
      <c r="V139" s="64" t="s">
        <v>77</v>
      </c>
      <c r="W139" s="66">
        <f t="shared" ca="1" si="3"/>
        <v>40</v>
      </c>
      <c r="X13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39" s="64" t="s">
        <v>2002</v>
      </c>
      <c r="Z139" s="64" t="s">
        <v>2003</v>
      </c>
      <c r="AA139" s="65" t="s">
        <v>2004</v>
      </c>
      <c r="AB139" s="64" t="s">
        <v>102</v>
      </c>
      <c r="AC139" s="64" t="s">
        <v>103</v>
      </c>
      <c r="AD139" s="65" t="s">
        <v>1106</v>
      </c>
      <c r="AE139" s="64" t="s">
        <v>619</v>
      </c>
      <c r="AF139" s="64" t="s">
        <v>620</v>
      </c>
      <c r="AG139" s="64" t="s">
        <v>60</v>
      </c>
      <c r="AH139" s="156" t="s">
        <v>2005</v>
      </c>
      <c r="AI139" s="64">
        <v>46840</v>
      </c>
      <c r="AJ139" s="65" t="s">
        <v>66</v>
      </c>
      <c r="AK139" s="64" t="s">
        <v>2006</v>
      </c>
      <c r="AL139" s="64" t="s">
        <v>2007</v>
      </c>
      <c r="AM139" s="64" t="s">
        <v>2008</v>
      </c>
      <c r="AN139" s="64" t="s">
        <v>2009</v>
      </c>
      <c r="AO139" s="64" t="s">
        <v>2010</v>
      </c>
      <c r="AP139" s="85" t="s">
        <v>2011</v>
      </c>
    </row>
    <row r="140" spans="1:42" ht="18.75">
      <c r="A140" s="139">
        <v>139</v>
      </c>
      <c r="B140" s="66" t="s">
        <v>2012</v>
      </c>
      <c r="C140" s="66" t="s">
        <v>1835</v>
      </c>
      <c r="D140" s="66"/>
      <c r="E140" s="66" t="s">
        <v>1835</v>
      </c>
      <c r="F140" s="66" t="s">
        <v>1138</v>
      </c>
      <c r="G140" s="66" t="s">
        <v>611</v>
      </c>
      <c r="H140" s="66" t="s">
        <v>612</v>
      </c>
      <c r="I140" s="71">
        <v>15</v>
      </c>
      <c r="J14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0" s="71" t="s">
        <v>95</v>
      </c>
      <c r="L140" s="71" t="str">
        <f>IF(Table1[[#This Row],[LAST]]="","Unfilled","Filled")</f>
        <v>Filled</v>
      </c>
      <c r="M140" s="66" t="s">
        <v>2013</v>
      </c>
      <c r="N140" s="66" t="s">
        <v>2014</v>
      </c>
      <c r="O140" s="66" t="s">
        <v>2015</v>
      </c>
      <c r="P140" s="63"/>
      <c r="Q140" s="64">
        <v>33082</v>
      </c>
      <c r="R140" s="64">
        <v>45274</v>
      </c>
      <c r="S140" s="64">
        <v>45274</v>
      </c>
      <c r="T140" s="64">
        <v>45274</v>
      </c>
      <c r="U140" s="64" t="s">
        <v>76</v>
      </c>
      <c r="V140" s="64" t="s">
        <v>52</v>
      </c>
      <c r="W140" s="66">
        <f t="shared" ca="1" si="3"/>
        <v>36</v>
      </c>
      <c r="X14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0" s="64" t="s">
        <v>539</v>
      </c>
      <c r="Z140" s="64" t="s">
        <v>2016</v>
      </c>
      <c r="AA140" s="65" t="s">
        <v>2017</v>
      </c>
      <c r="AB140" s="64" t="s">
        <v>138</v>
      </c>
      <c r="AC140" s="64" t="s">
        <v>103</v>
      </c>
      <c r="AD140" s="65">
        <v>4114</v>
      </c>
      <c r="AE140" s="64" t="s">
        <v>639</v>
      </c>
      <c r="AF140" s="64" t="s">
        <v>2018</v>
      </c>
      <c r="AG140" s="64" t="s">
        <v>60</v>
      </c>
      <c r="AH140" s="64" t="s">
        <v>2019</v>
      </c>
      <c r="AI140" s="64">
        <v>46231</v>
      </c>
      <c r="AJ140" s="65" t="s">
        <v>2020</v>
      </c>
      <c r="AK140" s="64" t="s">
        <v>2021</v>
      </c>
      <c r="AL140" s="64" t="s">
        <v>2022</v>
      </c>
      <c r="AM140" s="64" t="s">
        <v>2023</v>
      </c>
      <c r="AN140" s="64" t="s">
        <v>2024</v>
      </c>
      <c r="AO140" s="64" t="s">
        <v>66</v>
      </c>
      <c r="AP140" s="64" t="s">
        <v>2025</v>
      </c>
    </row>
    <row r="141" spans="1:42" ht="18.75">
      <c r="A141" s="139">
        <v>140</v>
      </c>
      <c r="B141" s="66" t="s">
        <v>2026</v>
      </c>
      <c r="C141" s="66" t="s">
        <v>1835</v>
      </c>
      <c r="D141" s="66"/>
      <c r="E141" s="66" t="s">
        <v>1835</v>
      </c>
      <c r="F141" s="66" t="s">
        <v>1138</v>
      </c>
      <c r="G141" s="66" t="s">
        <v>611</v>
      </c>
      <c r="H141" s="66" t="s">
        <v>612</v>
      </c>
      <c r="I141" s="71">
        <v>15</v>
      </c>
      <c r="J14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1" s="71" t="s">
        <v>95</v>
      </c>
      <c r="L141" s="71" t="str">
        <f>IF(Table1[[#This Row],[LAST]]="","Unfilled","Filled")</f>
        <v>Filled</v>
      </c>
      <c r="M141" s="63" t="s">
        <v>2027</v>
      </c>
      <c r="N141" s="66" t="s">
        <v>2028</v>
      </c>
      <c r="O141" s="66" t="s">
        <v>2029</v>
      </c>
      <c r="P141" s="63"/>
      <c r="Q141" s="64">
        <v>31347</v>
      </c>
      <c r="R141" s="64">
        <v>45293</v>
      </c>
      <c r="S141" s="64">
        <v>45293</v>
      </c>
      <c r="T141" s="64">
        <v>45293</v>
      </c>
      <c r="U141" s="64" t="s">
        <v>51</v>
      </c>
      <c r="V141" s="64" t="s">
        <v>77</v>
      </c>
      <c r="W141" s="66">
        <f t="shared" ca="1" si="3"/>
        <v>40</v>
      </c>
      <c r="X14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41" s="64" t="s">
        <v>154</v>
      </c>
      <c r="Z141" s="64" t="s">
        <v>2030</v>
      </c>
      <c r="AA141" s="65" t="s">
        <v>2031</v>
      </c>
      <c r="AB141" s="64" t="s">
        <v>138</v>
      </c>
      <c r="AC141" s="64" t="s">
        <v>103</v>
      </c>
      <c r="AD141" s="65" t="s">
        <v>1752</v>
      </c>
      <c r="AE141" s="64" t="s">
        <v>619</v>
      </c>
      <c r="AF141" s="64" t="s">
        <v>620</v>
      </c>
      <c r="AG141" s="64" t="s">
        <v>60</v>
      </c>
      <c r="AH141" s="156" t="s">
        <v>2032</v>
      </c>
      <c r="AI141" s="64">
        <v>45957</v>
      </c>
      <c r="AJ141" s="65" t="s">
        <v>2033</v>
      </c>
      <c r="AK141" s="64" t="s">
        <v>2034</v>
      </c>
      <c r="AL141" s="64" t="s">
        <v>2035</v>
      </c>
      <c r="AM141" s="64" t="s">
        <v>2036</v>
      </c>
      <c r="AN141" s="64" t="s">
        <v>2037</v>
      </c>
      <c r="AO141" s="64" t="s">
        <v>66</v>
      </c>
      <c r="AP141" s="85" t="s">
        <v>2038</v>
      </c>
    </row>
    <row r="142" spans="1:42" ht="18.75">
      <c r="A142" s="139">
        <v>141</v>
      </c>
      <c r="B142" s="66" t="s">
        <v>2039</v>
      </c>
      <c r="C142" s="66" t="s">
        <v>1835</v>
      </c>
      <c r="D142" s="66"/>
      <c r="E142" s="66" t="s">
        <v>1835</v>
      </c>
      <c r="F142" s="66" t="s">
        <v>1138</v>
      </c>
      <c r="G142" s="66" t="s">
        <v>611</v>
      </c>
      <c r="H142" s="66" t="s">
        <v>612</v>
      </c>
      <c r="I142" s="71">
        <v>15</v>
      </c>
      <c r="J14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2" s="71" t="s">
        <v>95</v>
      </c>
      <c r="L142" s="71" t="str">
        <f>IF(Table1[[#This Row],[LAST]]="","Unfilled","Filled")</f>
        <v>Filled</v>
      </c>
      <c r="M142" s="66" t="s">
        <v>2040</v>
      </c>
      <c r="N142" s="66" t="s">
        <v>2041</v>
      </c>
      <c r="O142" s="66" t="s">
        <v>2042</v>
      </c>
      <c r="P142" s="63"/>
      <c r="Q142" s="64">
        <v>26788</v>
      </c>
      <c r="R142" s="64">
        <v>46083</v>
      </c>
      <c r="S142" s="64">
        <v>46083</v>
      </c>
      <c r="T142" s="64">
        <v>46083</v>
      </c>
      <c r="U142" s="64" t="s">
        <v>51</v>
      </c>
      <c r="V142" s="64" t="s">
        <v>77</v>
      </c>
      <c r="W142" s="66">
        <f t="shared" ca="1" si="3"/>
        <v>53</v>
      </c>
      <c r="X14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42" s="64" t="s">
        <v>1557</v>
      </c>
      <c r="Z142" s="64" t="s">
        <v>2043</v>
      </c>
      <c r="AA142" s="65" t="s">
        <v>2044</v>
      </c>
      <c r="AB142" s="64" t="s">
        <v>1184</v>
      </c>
      <c r="AC142" s="64" t="s">
        <v>103</v>
      </c>
      <c r="AD142" s="65" t="s">
        <v>2045</v>
      </c>
      <c r="AE142" s="64" t="s">
        <v>619</v>
      </c>
      <c r="AF142" s="64" t="s">
        <v>620</v>
      </c>
      <c r="AG142" s="64" t="s">
        <v>60</v>
      </c>
      <c r="AH142" s="156" t="s">
        <v>2046</v>
      </c>
      <c r="AI142" s="64">
        <v>46511</v>
      </c>
      <c r="AJ142" s="65" t="s">
        <v>66</v>
      </c>
      <c r="AK142" s="64" t="s">
        <v>2047</v>
      </c>
      <c r="AL142" s="64" t="s">
        <v>2048</v>
      </c>
      <c r="AM142" s="64" t="s">
        <v>2049</v>
      </c>
      <c r="AN142" s="64" t="s">
        <v>2050</v>
      </c>
      <c r="AO142" s="64" t="s">
        <v>66</v>
      </c>
      <c r="AP142" s="85" t="s">
        <v>2051</v>
      </c>
    </row>
    <row r="143" spans="1:42" ht="18.75">
      <c r="A143" s="139">
        <v>142</v>
      </c>
      <c r="B143" s="66" t="s">
        <v>2052</v>
      </c>
      <c r="C143" s="66" t="s">
        <v>1835</v>
      </c>
      <c r="D143" s="66"/>
      <c r="E143" s="66" t="s">
        <v>1835</v>
      </c>
      <c r="F143" s="66" t="s">
        <v>1138</v>
      </c>
      <c r="G143" s="66" t="s">
        <v>611</v>
      </c>
      <c r="H143" s="66" t="s">
        <v>612</v>
      </c>
      <c r="I143" s="71">
        <v>15</v>
      </c>
      <c r="J14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3" s="71" t="s">
        <v>95</v>
      </c>
      <c r="L143" s="71" t="str">
        <f>IF(Table1[[#This Row],[LAST]]="","Unfilled","Filled")</f>
        <v>Unfilled</v>
      </c>
      <c r="M143" s="140"/>
      <c r="N143" s="140"/>
      <c r="O143" s="140" t="s">
        <v>2053</v>
      </c>
      <c r="P143" s="63"/>
      <c r="Q143" s="64"/>
      <c r="R143" s="64"/>
      <c r="S143" s="64"/>
      <c r="T143" s="64"/>
      <c r="U143" s="64"/>
      <c r="V143" s="64"/>
      <c r="W143" s="66"/>
      <c r="X143" s="66"/>
      <c r="Y143" s="64"/>
      <c r="Z143" s="64"/>
      <c r="AA143" s="65"/>
      <c r="AB143" s="64"/>
      <c r="AC143" s="64"/>
      <c r="AD143" s="65"/>
      <c r="AE143" s="64"/>
      <c r="AF143" s="64"/>
      <c r="AG143" s="64"/>
      <c r="AH143" s="64"/>
      <c r="AI143" s="64"/>
      <c r="AJ143" s="65"/>
      <c r="AK143" s="64"/>
      <c r="AL143" s="64"/>
      <c r="AM143" s="64"/>
      <c r="AN143" s="64"/>
      <c r="AO143" s="64"/>
      <c r="AP143" s="64"/>
    </row>
    <row r="144" spans="1:42" ht="18.75">
      <c r="A144" s="139">
        <v>143</v>
      </c>
      <c r="B144" s="66" t="s">
        <v>2054</v>
      </c>
      <c r="C144" s="66" t="s">
        <v>1835</v>
      </c>
      <c r="D144" s="66"/>
      <c r="E144" s="66" t="s">
        <v>1835</v>
      </c>
      <c r="F144" s="66" t="s">
        <v>1138</v>
      </c>
      <c r="G144" s="66" t="s">
        <v>611</v>
      </c>
      <c r="H144" s="66" t="s">
        <v>612</v>
      </c>
      <c r="I144" s="71">
        <v>15</v>
      </c>
      <c r="J14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4" s="71" t="s">
        <v>95</v>
      </c>
      <c r="L144" s="71" t="str">
        <f>IF(Table1[[#This Row],[LAST]]="","Unfilled","Filled")</f>
        <v>Filled</v>
      </c>
      <c r="M144" s="66" t="s">
        <v>50</v>
      </c>
      <c r="N144" s="66" t="s">
        <v>2055</v>
      </c>
      <c r="O144" s="66" t="s">
        <v>2056</v>
      </c>
      <c r="P144" s="63"/>
      <c r="Q144" s="64">
        <v>33029</v>
      </c>
      <c r="R144" s="64">
        <v>45600</v>
      </c>
      <c r="S144" s="64">
        <v>45600</v>
      </c>
      <c r="T144" s="64">
        <v>45600</v>
      </c>
      <c r="U144" s="64" t="s">
        <v>76</v>
      </c>
      <c r="V144" s="64" t="s">
        <v>77</v>
      </c>
      <c r="W144" s="66">
        <f t="shared" ref="W144:W154" ca="1" si="4">DATEDIF(Q144,TODAY(),"Y")</f>
        <v>36</v>
      </c>
      <c r="X14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4" s="64" t="s">
        <v>616</v>
      </c>
      <c r="Z144" s="64" t="s">
        <v>2057</v>
      </c>
      <c r="AA144" s="65" t="s">
        <v>2058</v>
      </c>
      <c r="AB144" s="64" t="s">
        <v>237</v>
      </c>
      <c r="AC144" s="64" t="s">
        <v>103</v>
      </c>
      <c r="AD144" s="65" t="s">
        <v>700</v>
      </c>
      <c r="AE144" s="64" t="s">
        <v>619</v>
      </c>
      <c r="AF144" s="64" t="s">
        <v>620</v>
      </c>
      <c r="AG144" s="64" t="s">
        <v>60</v>
      </c>
      <c r="AH144" s="156" t="s">
        <v>2059</v>
      </c>
      <c r="AI144" s="64">
        <v>46543</v>
      </c>
      <c r="AJ144" s="65" t="s">
        <v>66</v>
      </c>
      <c r="AK144" s="64" t="s">
        <v>2060</v>
      </c>
      <c r="AL144" s="64" t="s">
        <v>2061</v>
      </c>
      <c r="AM144" s="64" t="s">
        <v>2062</v>
      </c>
      <c r="AN144" s="64" t="s">
        <v>2063</v>
      </c>
      <c r="AO144" s="64" t="s">
        <v>2064</v>
      </c>
      <c r="AP144" s="85" t="s">
        <v>2065</v>
      </c>
    </row>
    <row r="145" spans="1:42" ht="18.75">
      <c r="A145" s="139">
        <v>144</v>
      </c>
      <c r="B145" s="66" t="s">
        <v>2066</v>
      </c>
      <c r="C145" s="66" t="s">
        <v>1835</v>
      </c>
      <c r="D145" s="66"/>
      <c r="E145" s="66" t="s">
        <v>1835</v>
      </c>
      <c r="F145" s="66" t="s">
        <v>1138</v>
      </c>
      <c r="G145" s="66" t="s">
        <v>611</v>
      </c>
      <c r="H145" s="66" t="s">
        <v>612</v>
      </c>
      <c r="I145" s="71">
        <v>15</v>
      </c>
      <c r="J14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5" s="71" t="s">
        <v>95</v>
      </c>
      <c r="L145" s="71" t="str">
        <f>IF(Table1[[#This Row],[LAST]]="","Unfilled","Filled")</f>
        <v>Filled</v>
      </c>
      <c r="M145" s="66" t="s">
        <v>2067</v>
      </c>
      <c r="N145" s="66" t="s">
        <v>2068</v>
      </c>
      <c r="O145" s="66" t="s">
        <v>2069</v>
      </c>
      <c r="P145" s="63"/>
      <c r="Q145" s="64">
        <v>32499</v>
      </c>
      <c r="R145" s="64">
        <v>45083</v>
      </c>
      <c r="S145" s="64">
        <v>45083</v>
      </c>
      <c r="T145" s="64">
        <v>45083</v>
      </c>
      <c r="U145" s="64" t="s">
        <v>76</v>
      </c>
      <c r="V145" s="64" t="s">
        <v>77</v>
      </c>
      <c r="W145" s="66">
        <f t="shared" ca="1" si="4"/>
        <v>37</v>
      </c>
      <c r="X14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5" s="64" t="s">
        <v>2070</v>
      </c>
      <c r="Z145" s="64" t="s">
        <v>2071</v>
      </c>
      <c r="AA145" s="65" t="s">
        <v>2072</v>
      </c>
      <c r="AB145" s="64" t="s">
        <v>237</v>
      </c>
      <c r="AC145" s="64" t="s">
        <v>103</v>
      </c>
      <c r="AD145" s="65">
        <v>4107</v>
      </c>
      <c r="AE145" s="64" t="s">
        <v>619</v>
      </c>
      <c r="AF145" s="64" t="s">
        <v>620</v>
      </c>
      <c r="AG145" s="64" t="s">
        <v>60</v>
      </c>
      <c r="AH145" s="64" t="s">
        <v>2073</v>
      </c>
      <c r="AI145" s="64">
        <v>46013</v>
      </c>
      <c r="AJ145" s="65" t="s">
        <v>2074</v>
      </c>
      <c r="AK145" s="64" t="s">
        <v>2075</v>
      </c>
      <c r="AL145" s="64" t="s">
        <v>2076</v>
      </c>
      <c r="AM145" s="64" t="s">
        <v>2077</v>
      </c>
      <c r="AN145" s="64" t="s">
        <v>2078</v>
      </c>
      <c r="AO145" s="64" t="s">
        <v>66</v>
      </c>
      <c r="AP145" s="64" t="s">
        <v>2079</v>
      </c>
    </row>
    <row r="146" spans="1:42" ht="18.75">
      <c r="A146" s="139">
        <v>145</v>
      </c>
      <c r="B146" s="66" t="s">
        <v>2080</v>
      </c>
      <c r="C146" s="66" t="s">
        <v>1835</v>
      </c>
      <c r="D146" s="66"/>
      <c r="E146" s="66" t="s">
        <v>1835</v>
      </c>
      <c r="F146" s="66" t="s">
        <v>1138</v>
      </c>
      <c r="G146" s="66" t="s">
        <v>611</v>
      </c>
      <c r="H146" s="66" t="s">
        <v>612</v>
      </c>
      <c r="I146" s="71">
        <v>15</v>
      </c>
      <c r="J14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6" s="71" t="s">
        <v>95</v>
      </c>
      <c r="L146" s="71" t="str">
        <f>IF(Table1[[#This Row],[LAST]]="","Unfilled","Filled")</f>
        <v>Filled</v>
      </c>
      <c r="M146" s="66" t="s">
        <v>2081</v>
      </c>
      <c r="N146" s="66" t="s">
        <v>2082</v>
      </c>
      <c r="O146" s="66" t="s">
        <v>2083</v>
      </c>
      <c r="P146" s="63"/>
      <c r="Q146" s="64">
        <v>31380</v>
      </c>
      <c r="R146" s="64">
        <v>45233</v>
      </c>
      <c r="S146" s="64">
        <v>45233</v>
      </c>
      <c r="T146" s="64">
        <v>45233</v>
      </c>
      <c r="U146" s="64" t="s">
        <v>76</v>
      </c>
      <c r="V146" s="64" t="s">
        <v>77</v>
      </c>
      <c r="W146" s="66">
        <f t="shared" ca="1" si="4"/>
        <v>40</v>
      </c>
      <c r="X14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46" s="64" t="s">
        <v>78</v>
      </c>
      <c r="Z146" s="64" t="s">
        <v>2084</v>
      </c>
      <c r="AA146" s="65" t="s">
        <v>2085</v>
      </c>
      <c r="AB146" s="64" t="s">
        <v>102</v>
      </c>
      <c r="AC146" s="64" t="s">
        <v>103</v>
      </c>
      <c r="AD146" s="65">
        <v>4103</v>
      </c>
      <c r="AE146" s="64" t="s">
        <v>619</v>
      </c>
      <c r="AF146" s="64" t="s">
        <v>620</v>
      </c>
      <c r="AG146" s="64" t="s">
        <v>60</v>
      </c>
      <c r="AH146" s="64" t="s">
        <v>2086</v>
      </c>
      <c r="AI146" s="64">
        <v>45990</v>
      </c>
      <c r="AJ146" s="65" t="s">
        <v>2087</v>
      </c>
      <c r="AK146" s="64" t="s">
        <v>2088</v>
      </c>
      <c r="AL146" s="64" t="s">
        <v>2089</v>
      </c>
      <c r="AM146" s="64" t="s">
        <v>2090</v>
      </c>
      <c r="AN146" s="64" t="s">
        <v>2091</v>
      </c>
      <c r="AO146" s="64" t="s">
        <v>66</v>
      </c>
      <c r="AP146" s="64" t="s">
        <v>2092</v>
      </c>
    </row>
    <row r="147" spans="1:42" ht="18.75">
      <c r="A147" s="139">
        <v>146</v>
      </c>
      <c r="B147" s="66" t="s">
        <v>2093</v>
      </c>
      <c r="C147" s="66" t="s">
        <v>1835</v>
      </c>
      <c r="D147" s="66"/>
      <c r="E147" s="66" t="s">
        <v>1835</v>
      </c>
      <c r="F147" s="66" t="s">
        <v>1138</v>
      </c>
      <c r="G147" s="66" t="s">
        <v>611</v>
      </c>
      <c r="H147" s="66" t="s">
        <v>612</v>
      </c>
      <c r="I147" s="71">
        <v>15</v>
      </c>
      <c r="J14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7" s="71" t="s">
        <v>95</v>
      </c>
      <c r="L147" s="71" t="str">
        <f>IF(Table1[[#This Row],[LAST]]="","Unfilled","Filled")</f>
        <v>Filled</v>
      </c>
      <c r="M147" s="66" t="s">
        <v>2094</v>
      </c>
      <c r="N147" s="66" t="s">
        <v>2095</v>
      </c>
      <c r="O147" s="66" t="s">
        <v>2096</v>
      </c>
      <c r="P147" s="63"/>
      <c r="Q147" s="64">
        <v>31687</v>
      </c>
      <c r="R147" s="64">
        <v>45274</v>
      </c>
      <c r="S147" s="64">
        <v>45274</v>
      </c>
      <c r="T147" s="64">
        <v>45274</v>
      </c>
      <c r="U147" s="64" t="s">
        <v>51</v>
      </c>
      <c r="V147" s="64" t="s">
        <v>77</v>
      </c>
      <c r="W147" s="66">
        <f t="shared" ca="1" si="4"/>
        <v>39</v>
      </c>
      <c r="X14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7" s="64" t="s">
        <v>2097</v>
      </c>
      <c r="Z147" s="64" t="s">
        <v>2098</v>
      </c>
      <c r="AA147" s="65" t="s">
        <v>302</v>
      </c>
      <c r="AB147" s="64" t="s">
        <v>237</v>
      </c>
      <c r="AC147" s="64" t="s">
        <v>103</v>
      </c>
      <c r="AD147" s="65">
        <v>4107</v>
      </c>
      <c r="AE147" s="64" t="s">
        <v>619</v>
      </c>
      <c r="AF147" s="64" t="s">
        <v>620</v>
      </c>
      <c r="AG147" s="64" t="s">
        <v>60</v>
      </c>
      <c r="AH147" s="64" t="s">
        <v>2099</v>
      </c>
      <c r="AI147" s="64">
        <v>45990</v>
      </c>
      <c r="AJ147" s="65" t="s">
        <v>2100</v>
      </c>
      <c r="AK147" s="64" t="s">
        <v>2101</v>
      </c>
      <c r="AL147" s="64" t="s">
        <v>2102</v>
      </c>
      <c r="AM147" s="64" t="s">
        <v>2103</v>
      </c>
      <c r="AN147" s="64" t="s">
        <v>2104</v>
      </c>
      <c r="AO147" s="64" t="s">
        <v>2105</v>
      </c>
      <c r="AP147" s="64" t="s">
        <v>2106</v>
      </c>
    </row>
    <row r="148" spans="1:42" ht="18.75">
      <c r="A148" s="139">
        <v>147</v>
      </c>
      <c r="B148" s="66" t="s">
        <v>2107</v>
      </c>
      <c r="C148" s="66" t="s">
        <v>1835</v>
      </c>
      <c r="D148" s="66"/>
      <c r="E148" s="66" t="s">
        <v>1835</v>
      </c>
      <c r="F148" s="66" t="s">
        <v>1138</v>
      </c>
      <c r="G148" s="66" t="s">
        <v>611</v>
      </c>
      <c r="H148" s="66" t="s">
        <v>612</v>
      </c>
      <c r="I148" s="71">
        <v>15</v>
      </c>
      <c r="J14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8" s="71" t="s">
        <v>95</v>
      </c>
      <c r="L148" s="71" t="str">
        <f>IF(Table1[[#This Row],[LAST]]="","Unfilled","Filled")</f>
        <v>Filled</v>
      </c>
      <c r="M148" s="63" t="s">
        <v>2108</v>
      </c>
      <c r="N148" s="63" t="s">
        <v>2109</v>
      </c>
      <c r="O148" s="63" t="s">
        <v>2110</v>
      </c>
      <c r="P148" s="63"/>
      <c r="Q148" s="64">
        <v>31767</v>
      </c>
      <c r="R148" s="64">
        <v>46118</v>
      </c>
      <c r="S148" s="64">
        <v>46118</v>
      </c>
      <c r="T148" s="64">
        <v>46118</v>
      </c>
      <c r="U148" s="64" t="s">
        <v>51</v>
      </c>
      <c r="V148" s="64" t="s">
        <v>52</v>
      </c>
      <c r="W148" s="66">
        <f t="shared" ca="1" si="4"/>
        <v>39</v>
      </c>
      <c r="X1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8" s="64" t="s">
        <v>154</v>
      </c>
      <c r="Z148" s="64" t="s">
        <v>2111</v>
      </c>
      <c r="AA148" s="65" t="s">
        <v>2112</v>
      </c>
      <c r="AB148" s="64" t="s">
        <v>102</v>
      </c>
      <c r="AC148" s="64" t="s">
        <v>103</v>
      </c>
      <c r="AD148" s="65" t="s">
        <v>1106</v>
      </c>
      <c r="AE148" s="64" t="s">
        <v>619</v>
      </c>
      <c r="AF148" s="64" t="s">
        <v>620</v>
      </c>
      <c r="AG148" s="64" t="s">
        <v>60</v>
      </c>
      <c r="AH148" s="156" t="s">
        <v>2113</v>
      </c>
      <c r="AI148" s="64">
        <v>46377</v>
      </c>
      <c r="AJ148" s="65" t="s">
        <v>66</v>
      </c>
      <c r="AK148" s="64" t="s">
        <v>2114</v>
      </c>
      <c r="AL148" s="64" t="s">
        <v>2115</v>
      </c>
      <c r="AM148" s="64" t="s">
        <v>2116</v>
      </c>
      <c r="AN148" s="64" t="s">
        <v>2117</v>
      </c>
      <c r="AO148" s="64" t="s">
        <v>2118</v>
      </c>
      <c r="AP148" s="85" t="s">
        <v>2119</v>
      </c>
    </row>
    <row r="149" spans="1:42" ht="18.75">
      <c r="A149" s="139">
        <v>148</v>
      </c>
      <c r="B149" s="66" t="s">
        <v>2120</v>
      </c>
      <c r="C149" s="66" t="s">
        <v>1835</v>
      </c>
      <c r="D149" s="66"/>
      <c r="E149" s="66" t="s">
        <v>1835</v>
      </c>
      <c r="F149" s="66" t="s">
        <v>1138</v>
      </c>
      <c r="G149" s="66" t="s">
        <v>611</v>
      </c>
      <c r="H149" s="66" t="s">
        <v>612</v>
      </c>
      <c r="I149" s="71">
        <v>15</v>
      </c>
      <c r="J14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49" s="71" t="s">
        <v>95</v>
      </c>
      <c r="L149" s="71" t="str">
        <f>IF(Table1[[#This Row],[LAST]]="","Unfilled","Filled")</f>
        <v>Filled</v>
      </c>
      <c r="M149" s="66" t="s">
        <v>2121</v>
      </c>
      <c r="N149" s="66" t="s">
        <v>2122</v>
      </c>
      <c r="O149" s="66" t="s">
        <v>2123</v>
      </c>
      <c r="P149" s="63"/>
      <c r="Q149" s="64">
        <v>32360</v>
      </c>
      <c r="R149" s="64">
        <v>45233</v>
      </c>
      <c r="S149" s="64">
        <v>45233</v>
      </c>
      <c r="T149" s="64">
        <v>45233</v>
      </c>
      <c r="U149" s="64" t="s">
        <v>51</v>
      </c>
      <c r="V149" s="64" t="s">
        <v>77</v>
      </c>
      <c r="W149" s="66">
        <f t="shared" ca="1" si="4"/>
        <v>38</v>
      </c>
      <c r="X1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49" s="64" t="s">
        <v>154</v>
      </c>
      <c r="Z149" s="64" t="s">
        <v>2124</v>
      </c>
      <c r="AA149" s="65" t="s">
        <v>2125</v>
      </c>
      <c r="AB149" s="64" t="s">
        <v>190</v>
      </c>
      <c r="AC149" s="64" t="s">
        <v>103</v>
      </c>
      <c r="AD149" s="65">
        <v>4102</v>
      </c>
      <c r="AE149" s="64" t="s">
        <v>619</v>
      </c>
      <c r="AF149" s="64" t="s">
        <v>620</v>
      </c>
      <c r="AG149" s="64" t="s">
        <v>60</v>
      </c>
      <c r="AH149" s="64" t="s">
        <v>2126</v>
      </c>
      <c r="AI149" s="64">
        <v>45874</v>
      </c>
      <c r="AJ149" s="65" t="s">
        <v>2127</v>
      </c>
      <c r="AK149" s="64" t="s">
        <v>2128</v>
      </c>
      <c r="AL149" s="64" t="s">
        <v>2129</v>
      </c>
      <c r="AM149" s="64" t="s">
        <v>2130</v>
      </c>
      <c r="AN149" s="64" t="s">
        <v>2131</v>
      </c>
      <c r="AO149" s="64" t="s">
        <v>2132</v>
      </c>
      <c r="AP149" s="64" t="s">
        <v>2133</v>
      </c>
    </row>
    <row r="150" spans="1:42" ht="18.75">
      <c r="A150" s="139">
        <v>149</v>
      </c>
      <c r="B150" s="66" t="s">
        <v>2134</v>
      </c>
      <c r="C150" s="66" t="s">
        <v>1835</v>
      </c>
      <c r="D150" s="66"/>
      <c r="E150" s="66" t="s">
        <v>1835</v>
      </c>
      <c r="F150" s="66" t="s">
        <v>1138</v>
      </c>
      <c r="G150" s="66" t="s">
        <v>611</v>
      </c>
      <c r="H150" s="66" t="s">
        <v>612</v>
      </c>
      <c r="I150" s="71">
        <v>15</v>
      </c>
      <c r="J15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0" s="71" t="s">
        <v>95</v>
      </c>
      <c r="L150" s="71" t="str">
        <f>IF(Table1[[#This Row],[LAST]]="","Unfilled","Filled")</f>
        <v>Filled</v>
      </c>
      <c r="M150" s="77" t="s">
        <v>2135</v>
      </c>
      <c r="N150" s="77" t="s">
        <v>2136</v>
      </c>
      <c r="O150" s="77" t="s">
        <v>2137</v>
      </c>
      <c r="P150" s="63"/>
      <c r="Q150" s="64">
        <v>32721</v>
      </c>
      <c r="R150" s="64">
        <v>46097</v>
      </c>
      <c r="S150" s="64">
        <v>46097</v>
      </c>
      <c r="T150" s="64">
        <v>46097</v>
      </c>
      <c r="U150" s="64" t="s">
        <v>51</v>
      </c>
      <c r="V150" s="64" t="s">
        <v>52</v>
      </c>
      <c r="W150" s="66">
        <f t="shared" ca="1" si="4"/>
        <v>37</v>
      </c>
      <c r="X1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0" s="64" t="s">
        <v>154</v>
      </c>
      <c r="Z150" s="64" t="s">
        <v>2138</v>
      </c>
      <c r="AA150" s="65" t="s">
        <v>1799</v>
      </c>
      <c r="AB150" s="64" t="s">
        <v>102</v>
      </c>
      <c r="AC150" s="64" t="s">
        <v>103</v>
      </c>
      <c r="AD150" s="65" t="s">
        <v>1106</v>
      </c>
      <c r="AE150" s="64" t="s">
        <v>619</v>
      </c>
      <c r="AF150" s="64" t="s">
        <v>620</v>
      </c>
      <c r="AG150" s="64" t="s">
        <v>60</v>
      </c>
      <c r="AH150" s="156" t="s">
        <v>2139</v>
      </c>
      <c r="AI150" s="64">
        <v>46966</v>
      </c>
      <c r="AJ150" s="65" t="s">
        <v>2140</v>
      </c>
      <c r="AK150" s="64" t="s">
        <v>2141</v>
      </c>
      <c r="AL150" s="64" t="s">
        <v>2142</v>
      </c>
      <c r="AM150" s="64" t="s">
        <v>2143</v>
      </c>
      <c r="AN150" s="64" t="s">
        <v>2144</v>
      </c>
      <c r="AO150" s="64" t="s">
        <v>66</v>
      </c>
      <c r="AP150" s="85" t="s">
        <v>2145</v>
      </c>
    </row>
    <row r="151" spans="1:42" ht="18.75">
      <c r="A151" s="139">
        <v>150</v>
      </c>
      <c r="B151" s="66" t="s">
        <v>2146</v>
      </c>
      <c r="C151" s="66" t="s">
        <v>1835</v>
      </c>
      <c r="D151" s="66"/>
      <c r="E151" s="66" t="s">
        <v>1835</v>
      </c>
      <c r="F151" s="66" t="s">
        <v>1138</v>
      </c>
      <c r="G151" s="66" t="s">
        <v>611</v>
      </c>
      <c r="H151" s="66" t="s">
        <v>612</v>
      </c>
      <c r="I151" s="71">
        <v>15</v>
      </c>
      <c r="J15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1" s="71" t="s">
        <v>95</v>
      </c>
      <c r="L151" s="71" t="str">
        <f>IF(Table1[[#This Row],[LAST]]="","Unfilled","Filled")</f>
        <v>Filled</v>
      </c>
      <c r="M151" s="66" t="s">
        <v>2147</v>
      </c>
      <c r="N151" s="66" t="s">
        <v>2148</v>
      </c>
      <c r="O151" s="66" t="s">
        <v>2149</v>
      </c>
      <c r="P151" s="63"/>
      <c r="Q151" s="64">
        <v>33108</v>
      </c>
      <c r="R151" s="64">
        <v>45152</v>
      </c>
      <c r="S151" s="64">
        <v>45152</v>
      </c>
      <c r="T151" s="64">
        <v>45152</v>
      </c>
      <c r="U151" s="64" t="s">
        <v>76</v>
      </c>
      <c r="V151" s="64" t="s">
        <v>77</v>
      </c>
      <c r="W151" s="66">
        <f t="shared" ca="1" si="4"/>
        <v>35</v>
      </c>
      <c r="X1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1" s="64" t="s">
        <v>2150</v>
      </c>
      <c r="Z151" s="64" t="s">
        <v>2151</v>
      </c>
      <c r="AA151" s="65" t="s">
        <v>2044</v>
      </c>
      <c r="AB151" s="64" t="s">
        <v>1184</v>
      </c>
      <c r="AC151" s="64" t="s">
        <v>103</v>
      </c>
      <c r="AD151" s="65">
        <v>4104</v>
      </c>
      <c r="AE151" s="64" t="s">
        <v>619</v>
      </c>
      <c r="AF151" s="64" t="s">
        <v>620</v>
      </c>
      <c r="AG151" s="64" t="s">
        <v>60</v>
      </c>
      <c r="AH151" s="64" t="s">
        <v>2152</v>
      </c>
      <c r="AI151" s="64">
        <v>46622</v>
      </c>
      <c r="AJ151" s="65" t="s">
        <v>2153</v>
      </c>
      <c r="AK151" s="64" t="s">
        <v>2154</v>
      </c>
      <c r="AL151" s="64" t="s">
        <v>2155</v>
      </c>
      <c r="AM151" s="64" t="s">
        <v>2156</v>
      </c>
      <c r="AN151" s="64" t="s">
        <v>2157</v>
      </c>
      <c r="AO151" s="64" t="s">
        <v>66</v>
      </c>
      <c r="AP151" s="64" t="s">
        <v>2158</v>
      </c>
    </row>
    <row r="152" spans="1:42" ht="18.75">
      <c r="A152" s="139">
        <v>151</v>
      </c>
      <c r="B152" s="66" t="s">
        <v>2159</v>
      </c>
      <c r="C152" s="66" t="s">
        <v>1835</v>
      </c>
      <c r="D152" s="66"/>
      <c r="E152" s="66" t="s">
        <v>1835</v>
      </c>
      <c r="F152" s="66" t="s">
        <v>1138</v>
      </c>
      <c r="G152" s="66" t="s">
        <v>611</v>
      </c>
      <c r="H152" s="66" t="s">
        <v>612</v>
      </c>
      <c r="I152" s="71">
        <v>15</v>
      </c>
      <c r="J15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2" s="71" t="s">
        <v>95</v>
      </c>
      <c r="L152" s="71" t="str">
        <f>IF(Table1[[#This Row],[LAST]]="","Unfilled","Filled")</f>
        <v>Filled</v>
      </c>
      <c r="M152" s="66" t="s">
        <v>1965</v>
      </c>
      <c r="N152" s="66" t="s">
        <v>2160</v>
      </c>
      <c r="O152" s="66" t="s">
        <v>2161</v>
      </c>
      <c r="P152" s="63"/>
      <c r="Q152" s="64">
        <v>31937</v>
      </c>
      <c r="R152" s="64">
        <v>44636</v>
      </c>
      <c r="S152" s="64">
        <v>45273</v>
      </c>
      <c r="T152" s="64">
        <v>45273</v>
      </c>
      <c r="U152" s="64" t="s">
        <v>51</v>
      </c>
      <c r="V152" s="64" t="s">
        <v>77</v>
      </c>
      <c r="W152" s="66">
        <f t="shared" ca="1" si="4"/>
        <v>39</v>
      </c>
      <c r="X15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2" s="64" t="s">
        <v>822</v>
      </c>
      <c r="Z152" s="64" t="s">
        <v>2162</v>
      </c>
      <c r="AA152" s="65" t="s">
        <v>2163</v>
      </c>
      <c r="AB152" s="64" t="s">
        <v>102</v>
      </c>
      <c r="AC152" s="64" t="s">
        <v>103</v>
      </c>
      <c r="AD152" s="65">
        <v>4103</v>
      </c>
      <c r="AE152" s="64" t="s">
        <v>619</v>
      </c>
      <c r="AF152" s="64" t="s">
        <v>620</v>
      </c>
      <c r="AG152" s="64" t="s">
        <v>60</v>
      </c>
      <c r="AH152" s="64" t="s">
        <v>2164</v>
      </c>
      <c r="AI152" s="64">
        <v>45817</v>
      </c>
      <c r="AJ152" s="65" t="s">
        <v>2165</v>
      </c>
      <c r="AK152" s="64" t="s">
        <v>2166</v>
      </c>
      <c r="AL152" s="64" t="s">
        <v>2167</v>
      </c>
      <c r="AM152" s="64" t="s">
        <v>2168</v>
      </c>
      <c r="AN152" s="64" t="s">
        <v>2169</v>
      </c>
      <c r="AO152" s="64" t="s">
        <v>2170</v>
      </c>
      <c r="AP152" s="64" t="s">
        <v>2171</v>
      </c>
    </row>
    <row r="153" spans="1:42" ht="18.75">
      <c r="A153" s="139">
        <v>152</v>
      </c>
      <c r="B153" s="66" t="s">
        <v>2172</v>
      </c>
      <c r="C153" s="66" t="s">
        <v>1835</v>
      </c>
      <c r="D153" s="66"/>
      <c r="E153" s="66" t="s">
        <v>1835</v>
      </c>
      <c r="F153" s="66" t="s">
        <v>1138</v>
      </c>
      <c r="G153" s="66" t="s">
        <v>611</v>
      </c>
      <c r="H153" s="66" t="s">
        <v>612</v>
      </c>
      <c r="I153" s="71">
        <v>15</v>
      </c>
      <c r="J15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3" s="71" t="s">
        <v>95</v>
      </c>
      <c r="L153" s="71" t="str">
        <f>IF(Table1[[#This Row],[LAST]]="","Unfilled","Filled")</f>
        <v>Filled</v>
      </c>
      <c r="M153" s="66" t="s">
        <v>314</v>
      </c>
      <c r="N153" s="66" t="s">
        <v>2173</v>
      </c>
      <c r="O153" s="66" t="s">
        <v>2174</v>
      </c>
      <c r="P153" s="63"/>
      <c r="Q153" s="64">
        <v>33427</v>
      </c>
      <c r="R153" s="64">
        <v>45019</v>
      </c>
      <c r="S153" s="64">
        <v>45019</v>
      </c>
      <c r="T153" s="64">
        <v>45019</v>
      </c>
      <c r="U153" s="64" t="s">
        <v>76</v>
      </c>
      <c r="V153" s="64" t="s">
        <v>77</v>
      </c>
      <c r="W153" s="66">
        <f t="shared" ca="1" si="4"/>
        <v>35</v>
      </c>
      <c r="X15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3" s="64" t="s">
        <v>284</v>
      </c>
      <c r="Z153" s="64" t="s">
        <v>2175</v>
      </c>
      <c r="AA153" s="65" t="s">
        <v>2176</v>
      </c>
      <c r="AB153" s="64" t="s">
        <v>1965</v>
      </c>
      <c r="AC153" s="64" t="s">
        <v>103</v>
      </c>
      <c r="AD153" s="65">
        <v>4106</v>
      </c>
      <c r="AE153" s="64" t="s">
        <v>619</v>
      </c>
      <c r="AF153" s="64" t="s">
        <v>620</v>
      </c>
      <c r="AG153" s="64" t="s">
        <v>60</v>
      </c>
      <c r="AH153" s="64" t="s">
        <v>2177</v>
      </c>
      <c r="AI153" s="64">
        <v>45876</v>
      </c>
      <c r="AJ153" s="65" t="s">
        <v>2178</v>
      </c>
      <c r="AK153" s="64" t="s">
        <v>2179</v>
      </c>
      <c r="AL153" s="64" t="s">
        <v>2180</v>
      </c>
      <c r="AM153" s="64" t="s">
        <v>2181</v>
      </c>
      <c r="AN153" s="64" t="s">
        <v>2182</v>
      </c>
      <c r="AO153" s="64" t="s">
        <v>2183</v>
      </c>
      <c r="AP153" s="64" t="s">
        <v>2184</v>
      </c>
    </row>
    <row r="154" spans="1:42" ht="18.75">
      <c r="A154" s="139">
        <v>153</v>
      </c>
      <c r="B154" s="66" t="s">
        <v>2185</v>
      </c>
      <c r="C154" s="66" t="s">
        <v>1835</v>
      </c>
      <c r="D154" s="66"/>
      <c r="E154" s="66" t="s">
        <v>1835</v>
      </c>
      <c r="F154" s="66" t="s">
        <v>1138</v>
      </c>
      <c r="G154" s="66" t="s">
        <v>611</v>
      </c>
      <c r="H154" s="66" t="s">
        <v>612</v>
      </c>
      <c r="I154" s="71">
        <v>15</v>
      </c>
      <c r="J15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4" s="71" t="s">
        <v>95</v>
      </c>
      <c r="L154" s="71" t="str">
        <f>IF(Table1[[#This Row],[LAST]]="","Unfilled","Filled")</f>
        <v>Filled</v>
      </c>
      <c r="M154" s="66" t="s">
        <v>2186</v>
      </c>
      <c r="N154" s="66" t="s">
        <v>2187</v>
      </c>
      <c r="O154" s="66" t="s">
        <v>2188</v>
      </c>
      <c r="P154" s="63"/>
      <c r="Q154" s="64">
        <v>30712</v>
      </c>
      <c r="R154" s="64">
        <v>45233</v>
      </c>
      <c r="S154" s="64">
        <v>45233</v>
      </c>
      <c r="T154" s="64">
        <v>45233</v>
      </c>
      <c r="U154" s="64" t="s">
        <v>51</v>
      </c>
      <c r="V154" s="64" t="s">
        <v>77</v>
      </c>
      <c r="W154" s="66">
        <f t="shared" ca="1" si="4"/>
        <v>42</v>
      </c>
      <c r="X1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54" s="64" t="s">
        <v>121</v>
      </c>
      <c r="Z154" s="64" t="s">
        <v>2189</v>
      </c>
      <c r="AA154" s="65" t="s">
        <v>2190</v>
      </c>
      <c r="AB154" s="64" t="s">
        <v>121</v>
      </c>
      <c r="AC154" s="64" t="s">
        <v>103</v>
      </c>
      <c r="AD154" s="65">
        <v>4100</v>
      </c>
      <c r="AE154" s="64" t="s">
        <v>619</v>
      </c>
      <c r="AF154" s="64" t="s">
        <v>620</v>
      </c>
      <c r="AG154" s="64" t="s">
        <v>60</v>
      </c>
      <c r="AH154" s="64" t="s">
        <v>2191</v>
      </c>
      <c r="AI154" s="64">
        <v>45688</v>
      </c>
      <c r="AJ154" s="65" t="s">
        <v>2192</v>
      </c>
      <c r="AK154" s="64" t="s">
        <v>2193</v>
      </c>
      <c r="AL154" s="64" t="s">
        <v>2194</v>
      </c>
      <c r="AM154" s="64" t="s">
        <v>2195</v>
      </c>
      <c r="AN154" s="64" t="s">
        <v>2196</v>
      </c>
      <c r="AO154" s="64" t="s">
        <v>2197</v>
      </c>
      <c r="AP154" s="64" t="s">
        <v>2198</v>
      </c>
    </row>
    <row r="155" spans="1:42" ht="18.75">
      <c r="A155" s="139">
        <v>154</v>
      </c>
      <c r="B155" s="66" t="s">
        <v>2199</v>
      </c>
      <c r="C155" s="66" t="s">
        <v>1835</v>
      </c>
      <c r="D155" s="66"/>
      <c r="E155" s="66" t="s">
        <v>1835</v>
      </c>
      <c r="F155" s="66" t="s">
        <v>1138</v>
      </c>
      <c r="G155" s="66" t="s">
        <v>611</v>
      </c>
      <c r="H155" s="66" t="s">
        <v>612</v>
      </c>
      <c r="I155" s="71">
        <v>15</v>
      </c>
      <c r="J15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5" s="71" t="s">
        <v>95</v>
      </c>
      <c r="L155" s="71" t="str">
        <f>IF(Table1[[#This Row],[LAST]]="","Unfilled","Filled")</f>
        <v>Unfilled</v>
      </c>
      <c r="M155" s="140"/>
      <c r="N155" s="140"/>
      <c r="O155" s="140" t="s">
        <v>2200</v>
      </c>
      <c r="P155" s="63"/>
      <c r="Q155" s="64"/>
      <c r="R155" s="64"/>
      <c r="S155" s="64"/>
      <c r="T155" s="64"/>
      <c r="U155" s="64"/>
      <c r="V155" s="64"/>
      <c r="W155" s="66"/>
      <c r="X155" s="66"/>
      <c r="Y155" s="64"/>
      <c r="Z155" s="64"/>
      <c r="AA155" s="65"/>
      <c r="AB155" s="64"/>
      <c r="AC155" s="64"/>
      <c r="AD155" s="65"/>
      <c r="AE155" s="64"/>
      <c r="AF155" s="64"/>
      <c r="AG155" s="64"/>
      <c r="AH155" s="64"/>
      <c r="AI155" s="64"/>
      <c r="AJ155" s="65"/>
      <c r="AK155" s="64"/>
      <c r="AL155" s="64"/>
      <c r="AM155" s="64"/>
      <c r="AN155" s="64"/>
      <c r="AO155" s="64"/>
      <c r="AP155" s="85"/>
    </row>
    <row r="156" spans="1:42" ht="18.75">
      <c r="A156" s="139">
        <v>155</v>
      </c>
      <c r="B156" s="66" t="s">
        <v>2201</v>
      </c>
      <c r="C156" s="66" t="s">
        <v>1835</v>
      </c>
      <c r="D156" s="66"/>
      <c r="E156" s="66" t="s">
        <v>1835</v>
      </c>
      <c r="F156" s="66" t="s">
        <v>1138</v>
      </c>
      <c r="G156" s="66" t="s">
        <v>611</v>
      </c>
      <c r="H156" s="66" t="s">
        <v>612</v>
      </c>
      <c r="I156" s="71">
        <v>15</v>
      </c>
      <c r="J15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6" s="71" t="s">
        <v>95</v>
      </c>
      <c r="L156" s="71" t="str">
        <f>IF(Table1[[#This Row],[LAST]]="","Unfilled","Filled")</f>
        <v>Filled</v>
      </c>
      <c r="M156" s="63" t="s">
        <v>517</v>
      </c>
      <c r="N156" s="63" t="s">
        <v>2202</v>
      </c>
      <c r="O156" s="63" t="s">
        <v>2203</v>
      </c>
      <c r="P156" s="63"/>
      <c r="Q156" s="64">
        <v>32821</v>
      </c>
      <c r="R156" s="64">
        <v>45383</v>
      </c>
      <c r="S156" s="64">
        <v>45383</v>
      </c>
      <c r="T156" s="64">
        <v>45383</v>
      </c>
      <c r="U156" s="64" t="s">
        <v>51</v>
      </c>
      <c r="V156" s="64" t="s">
        <v>52</v>
      </c>
      <c r="W156" s="66">
        <f t="shared" ref="W156:W179" ca="1" si="5">DATEDIF(Q156,TODAY(),"Y")</f>
        <v>36</v>
      </c>
      <c r="X15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6" s="64" t="s">
        <v>391</v>
      </c>
      <c r="Z156" s="65">
        <v>25</v>
      </c>
      <c r="AA156" s="65" t="s">
        <v>2204</v>
      </c>
      <c r="AB156" s="64" t="s">
        <v>102</v>
      </c>
      <c r="AC156" s="64" t="s">
        <v>103</v>
      </c>
      <c r="AD156" s="65" t="s">
        <v>1106</v>
      </c>
      <c r="AE156" s="64" t="s">
        <v>619</v>
      </c>
      <c r="AF156" s="64" t="s">
        <v>620</v>
      </c>
      <c r="AG156" s="64" t="s">
        <v>60</v>
      </c>
      <c r="AH156" s="156" t="s">
        <v>2205</v>
      </c>
      <c r="AI156" s="64">
        <v>46700</v>
      </c>
      <c r="AJ156" s="65" t="s">
        <v>2206</v>
      </c>
      <c r="AK156" s="64" t="s">
        <v>2207</v>
      </c>
      <c r="AL156" s="64" t="s">
        <v>2208</v>
      </c>
      <c r="AM156" s="64" t="s">
        <v>2209</v>
      </c>
      <c r="AN156" s="64" t="s">
        <v>2210</v>
      </c>
      <c r="AO156" s="64" t="s">
        <v>66</v>
      </c>
      <c r="AP156" s="85" t="s">
        <v>2211</v>
      </c>
    </row>
    <row r="157" spans="1:42" ht="18.75">
      <c r="A157" s="139">
        <v>156</v>
      </c>
      <c r="B157" s="66" t="s">
        <v>2212</v>
      </c>
      <c r="C157" s="66" t="s">
        <v>1835</v>
      </c>
      <c r="D157" s="66"/>
      <c r="E157" s="66" t="s">
        <v>1835</v>
      </c>
      <c r="F157" s="66" t="s">
        <v>1138</v>
      </c>
      <c r="G157" s="66" t="s">
        <v>611</v>
      </c>
      <c r="H157" s="66" t="s">
        <v>612</v>
      </c>
      <c r="I157" s="71">
        <v>15</v>
      </c>
      <c r="J15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7" s="71" t="s">
        <v>95</v>
      </c>
      <c r="L157" s="71" t="str">
        <f>IF(Table1[[#This Row],[LAST]]="","Unfilled","Filled")</f>
        <v>Filled</v>
      </c>
      <c r="M157" s="66" t="s">
        <v>2213</v>
      </c>
      <c r="N157" s="66" t="s">
        <v>2214</v>
      </c>
      <c r="O157" s="151" t="s">
        <v>2215</v>
      </c>
      <c r="P157" s="63"/>
      <c r="Q157" s="64">
        <v>31475</v>
      </c>
      <c r="R157" s="64">
        <v>45233</v>
      </c>
      <c r="S157" s="64">
        <v>45233</v>
      </c>
      <c r="T157" s="64">
        <v>45233</v>
      </c>
      <c r="U157" s="64" t="s">
        <v>76</v>
      </c>
      <c r="V157" s="64" t="s">
        <v>77</v>
      </c>
      <c r="W157" s="66">
        <f t="shared" ca="1" si="5"/>
        <v>40</v>
      </c>
      <c r="X15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57" s="64" t="s">
        <v>78</v>
      </c>
      <c r="Z157" s="64" t="s">
        <v>2216</v>
      </c>
      <c r="AA157" s="65" t="s">
        <v>2217</v>
      </c>
      <c r="AB157" s="64" t="s">
        <v>102</v>
      </c>
      <c r="AC157" s="64" t="s">
        <v>103</v>
      </c>
      <c r="AD157" s="65">
        <v>4103</v>
      </c>
      <c r="AE157" s="64" t="s">
        <v>619</v>
      </c>
      <c r="AF157" s="64" t="s">
        <v>620</v>
      </c>
      <c r="AG157" s="64" t="s">
        <v>60</v>
      </c>
      <c r="AH157" s="64" t="s">
        <v>2218</v>
      </c>
      <c r="AI157" s="64">
        <v>46450</v>
      </c>
      <c r="AJ157" s="65" t="s">
        <v>2219</v>
      </c>
      <c r="AK157" s="64" t="s">
        <v>2220</v>
      </c>
      <c r="AL157" s="64" t="s">
        <v>2221</v>
      </c>
      <c r="AM157" s="64" t="s">
        <v>2222</v>
      </c>
      <c r="AN157" s="64" t="s">
        <v>2223</v>
      </c>
      <c r="AO157" s="64" t="s">
        <v>2224</v>
      </c>
      <c r="AP157" s="64" t="s">
        <v>2225</v>
      </c>
    </row>
    <row r="158" spans="1:42" ht="18.75">
      <c r="A158" s="139">
        <v>157</v>
      </c>
      <c r="B158" s="66" t="s">
        <v>2226</v>
      </c>
      <c r="C158" s="66" t="s">
        <v>1835</v>
      </c>
      <c r="D158" s="77"/>
      <c r="E158" s="66" t="s">
        <v>1835</v>
      </c>
      <c r="F158" s="66" t="s">
        <v>1138</v>
      </c>
      <c r="G158" s="66" t="s">
        <v>611</v>
      </c>
      <c r="H158" s="66" t="s">
        <v>612</v>
      </c>
      <c r="I158" s="71">
        <v>15</v>
      </c>
      <c r="J15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8" s="71" t="s">
        <v>95</v>
      </c>
      <c r="L158" s="71" t="str">
        <f>IF(Table1[[#This Row],[LAST]]="","Unfilled","Filled")</f>
        <v>Filled</v>
      </c>
      <c r="M158" s="66" t="s">
        <v>2227</v>
      </c>
      <c r="N158" s="63" t="s">
        <v>2228</v>
      </c>
      <c r="O158" s="63" t="s">
        <v>1736</v>
      </c>
      <c r="P158" s="63"/>
      <c r="Q158" s="64">
        <v>32008</v>
      </c>
      <c r="R158" s="64">
        <v>45334</v>
      </c>
      <c r="S158" s="64">
        <v>45334</v>
      </c>
      <c r="T158" s="64">
        <v>45334</v>
      </c>
      <c r="U158" s="64" t="s">
        <v>51</v>
      </c>
      <c r="V158" s="64" t="s">
        <v>77</v>
      </c>
      <c r="W158" s="66">
        <f t="shared" ca="1" si="5"/>
        <v>38</v>
      </c>
      <c r="X15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8" s="64" t="s">
        <v>2229</v>
      </c>
      <c r="Z158" s="64" t="s">
        <v>2230</v>
      </c>
      <c r="AA158" s="65" t="s">
        <v>2231</v>
      </c>
      <c r="AB158" s="64" t="s">
        <v>237</v>
      </c>
      <c r="AC158" s="64" t="s">
        <v>103</v>
      </c>
      <c r="AD158" s="65" t="s">
        <v>700</v>
      </c>
      <c r="AE158" s="64" t="s">
        <v>619</v>
      </c>
      <c r="AF158" s="64" t="s">
        <v>620</v>
      </c>
      <c r="AG158" s="64" t="s">
        <v>60</v>
      </c>
      <c r="AH158" s="156" t="s">
        <v>2232</v>
      </c>
      <c r="AI158" s="64">
        <v>46618</v>
      </c>
      <c r="AJ158" s="65" t="s">
        <v>2233</v>
      </c>
      <c r="AK158" s="64" t="s">
        <v>2234</v>
      </c>
      <c r="AL158" s="64" t="s">
        <v>2235</v>
      </c>
      <c r="AM158" s="64" t="s">
        <v>2236</v>
      </c>
      <c r="AN158" s="64" t="s">
        <v>2237</v>
      </c>
      <c r="AO158" s="64" t="s">
        <v>2238</v>
      </c>
      <c r="AP158" s="85" t="s">
        <v>2239</v>
      </c>
    </row>
    <row r="159" spans="1:42" ht="18.75">
      <c r="A159" s="139">
        <v>158</v>
      </c>
      <c r="B159" s="66" t="s">
        <v>2240</v>
      </c>
      <c r="C159" s="66" t="s">
        <v>1835</v>
      </c>
      <c r="D159" s="77"/>
      <c r="E159" s="66" t="s">
        <v>1835</v>
      </c>
      <c r="F159" s="66" t="s">
        <v>1138</v>
      </c>
      <c r="G159" s="66" t="s">
        <v>611</v>
      </c>
      <c r="H159" s="66" t="s">
        <v>612</v>
      </c>
      <c r="I159" s="71">
        <v>15</v>
      </c>
      <c r="J15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59" s="71" t="s">
        <v>95</v>
      </c>
      <c r="L159" s="71" t="str">
        <f>IF(Table1[[#This Row],[LAST]]="","Unfilled","Filled")</f>
        <v>Filled</v>
      </c>
      <c r="M159" s="63" t="s">
        <v>2241</v>
      </c>
      <c r="N159" s="63" t="s">
        <v>2242</v>
      </c>
      <c r="O159" s="63" t="s">
        <v>519</v>
      </c>
      <c r="P159" s="63"/>
      <c r="Q159" s="64">
        <v>35123</v>
      </c>
      <c r="R159" s="64">
        <v>45342</v>
      </c>
      <c r="S159" s="64">
        <v>45342</v>
      </c>
      <c r="T159" s="64">
        <v>45342</v>
      </c>
      <c r="U159" s="64" t="s">
        <v>76</v>
      </c>
      <c r="V159" s="64" t="s">
        <v>77</v>
      </c>
      <c r="W159" s="66">
        <f t="shared" ca="1" si="5"/>
        <v>30</v>
      </c>
      <c r="X15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59" s="64" t="s">
        <v>154</v>
      </c>
      <c r="Z159" s="64" t="s">
        <v>2243</v>
      </c>
      <c r="AA159" s="65" t="s">
        <v>2244</v>
      </c>
      <c r="AB159" s="64" t="s">
        <v>2245</v>
      </c>
      <c r="AC159" s="64" t="s">
        <v>103</v>
      </c>
      <c r="AD159" s="65" t="s">
        <v>1106</v>
      </c>
      <c r="AE159" s="64" t="s">
        <v>619</v>
      </c>
      <c r="AF159" s="64" t="s">
        <v>620</v>
      </c>
      <c r="AG159" s="64" t="s">
        <v>60</v>
      </c>
      <c r="AH159" s="156" t="s">
        <v>2246</v>
      </c>
      <c r="AI159" s="64">
        <v>45716</v>
      </c>
      <c r="AJ159" s="65" t="s">
        <v>2247</v>
      </c>
      <c r="AK159" s="64" t="s">
        <v>2248</v>
      </c>
      <c r="AL159" s="64" t="s">
        <v>2249</v>
      </c>
      <c r="AM159" s="64" t="s">
        <v>2250</v>
      </c>
      <c r="AN159" s="64" t="s">
        <v>2251</v>
      </c>
      <c r="AO159" s="64" t="s">
        <v>66</v>
      </c>
      <c r="AP159" s="85" t="s">
        <v>2252</v>
      </c>
    </row>
    <row r="160" spans="1:42" ht="18.75">
      <c r="A160" s="139">
        <v>159</v>
      </c>
      <c r="B160" s="66" t="s">
        <v>2253</v>
      </c>
      <c r="C160" s="66" t="s">
        <v>1835</v>
      </c>
      <c r="D160" s="66"/>
      <c r="E160" s="66" t="s">
        <v>1835</v>
      </c>
      <c r="F160" s="66" t="s">
        <v>1138</v>
      </c>
      <c r="G160" s="66" t="s">
        <v>611</v>
      </c>
      <c r="H160" s="66" t="s">
        <v>612</v>
      </c>
      <c r="I160" s="71">
        <v>15</v>
      </c>
      <c r="J16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0" s="71" t="s">
        <v>95</v>
      </c>
      <c r="L160" s="71" t="str">
        <f>IF(Table1[[#This Row],[LAST]]="","Unfilled","Filled")</f>
        <v>Filled</v>
      </c>
      <c r="M160" s="77" t="s">
        <v>2254</v>
      </c>
      <c r="N160" s="77" t="s">
        <v>2255</v>
      </c>
      <c r="O160" s="77" t="s">
        <v>2256</v>
      </c>
      <c r="P160" s="63"/>
      <c r="Q160" s="64">
        <v>32846</v>
      </c>
      <c r="R160" s="64">
        <v>46128</v>
      </c>
      <c r="S160" s="64">
        <v>46128</v>
      </c>
      <c r="T160" s="64">
        <v>46128</v>
      </c>
      <c r="U160" s="64" t="s">
        <v>51</v>
      </c>
      <c r="V160" s="64" t="s">
        <v>52</v>
      </c>
      <c r="W160" s="66">
        <f t="shared" ca="1" si="5"/>
        <v>36</v>
      </c>
      <c r="X16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0" s="64" t="s">
        <v>2257</v>
      </c>
      <c r="Z160" s="64" t="s">
        <v>2258</v>
      </c>
      <c r="AA160" s="65" t="s">
        <v>2259</v>
      </c>
      <c r="AB160" s="64" t="s">
        <v>190</v>
      </c>
      <c r="AC160" s="64" t="s">
        <v>103</v>
      </c>
      <c r="AD160" s="65" t="s">
        <v>656</v>
      </c>
      <c r="AE160" s="64" t="s">
        <v>619</v>
      </c>
      <c r="AF160" s="64" t="s">
        <v>620</v>
      </c>
      <c r="AG160" s="64" t="s">
        <v>60</v>
      </c>
      <c r="AH160" s="156" t="s">
        <v>2260</v>
      </c>
      <c r="AI160" s="64">
        <v>46725</v>
      </c>
      <c r="AJ160" s="65" t="s">
        <v>66</v>
      </c>
      <c r="AK160" s="64" t="s">
        <v>2261</v>
      </c>
      <c r="AL160" s="64" t="s">
        <v>2262</v>
      </c>
      <c r="AM160" s="64" t="s">
        <v>2263</v>
      </c>
      <c r="AN160" s="64" t="s">
        <v>2264</v>
      </c>
      <c r="AO160" s="64" t="s">
        <v>66</v>
      </c>
      <c r="AP160" s="85" t="s">
        <v>2265</v>
      </c>
    </row>
    <row r="161" spans="1:42" ht="18.75">
      <c r="A161" s="139">
        <v>160</v>
      </c>
      <c r="B161" s="66" t="s">
        <v>2266</v>
      </c>
      <c r="C161" s="66" t="s">
        <v>1835</v>
      </c>
      <c r="D161" s="66"/>
      <c r="E161" s="66" t="s">
        <v>1835</v>
      </c>
      <c r="F161" s="66" t="s">
        <v>1138</v>
      </c>
      <c r="G161" s="66" t="s">
        <v>611</v>
      </c>
      <c r="H161" s="66" t="s">
        <v>612</v>
      </c>
      <c r="I161" s="71">
        <v>15</v>
      </c>
      <c r="J1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1" s="71" t="s">
        <v>95</v>
      </c>
      <c r="L161" s="71" t="str">
        <f>IF(Table1[[#This Row],[LAST]]="","Unfilled","Filled")</f>
        <v>Filled</v>
      </c>
      <c r="M161" s="66" t="s">
        <v>2267</v>
      </c>
      <c r="N161" s="66" t="s">
        <v>2268</v>
      </c>
      <c r="O161" s="66" t="s">
        <v>2269</v>
      </c>
      <c r="P161" s="63"/>
      <c r="Q161" s="64">
        <v>31585</v>
      </c>
      <c r="R161" s="64">
        <v>44334</v>
      </c>
      <c r="S161" s="64">
        <v>44334</v>
      </c>
      <c r="T161" s="64">
        <v>44334</v>
      </c>
      <c r="U161" s="64" t="s">
        <v>76</v>
      </c>
      <c r="V161" s="64" t="s">
        <v>52</v>
      </c>
      <c r="W161" s="66">
        <f t="shared" ca="1" si="5"/>
        <v>40</v>
      </c>
      <c r="X1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1" s="64" t="s">
        <v>445</v>
      </c>
      <c r="Z161" s="64" t="s">
        <v>2270</v>
      </c>
      <c r="AA161" s="65" t="s">
        <v>2271</v>
      </c>
      <c r="AB161" s="64" t="s">
        <v>138</v>
      </c>
      <c r="AC161" s="64" t="s">
        <v>103</v>
      </c>
      <c r="AD161" s="65">
        <v>4114</v>
      </c>
      <c r="AE161" s="64" t="s">
        <v>619</v>
      </c>
      <c r="AF161" s="64" t="s">
        <v>620</v>
      </c>
      <c r="AG161" s="64" t="s">
        <v>60</v>
      </c>
      <c r="AH161" s="64" t="s">
        <v>2272</v>
      </c>
      <c r="AI161" s="64">
        <v>46195</v>
      </c>
      <c r="AJ161" s="65" t="s">
        <v>2273</v>
      </c>
      <c r="AK161" s="64" t="s">
        <v>2274</v>
      </c>
      <c r="AL161" s="64" t="s">
        <v>2275</v>
      </c>
      <c r="AM161" s="64" t="s">
        <v>2276</v>
      </c>
      <c r="AN161" s="64" t="s">
        <v>2277</v>
      </c>
      <c r="AO161" s="64" t="s">
        <v>66</v>
      </c>
      <c r="AP161" s="64" t="s">
        <v>2278</v>
      </c>
    </row>
    <row r="162" spans="1:42" ht="18.75">
      <c r="A162" s="139">
        <v>161</v>
      </c>
      <c r="B162" s="66" t="s">
        <v>2279</v>
      </c>
      <c r="C162" s="66" t="s">
        <v>1835</v>
      </c>
      <c r="D162" s="66"/>
      <c r="E162" s="66" t="s">
        <v>1835</v>
      </c>
      <c r="F162" s="66" t="s">
        <v>1138</v>
      </c>
      <c r="G162" s="66" t="s">
        <v>611</v>
      </c>
      <c r="H162" s="66" t="s">
        <v>612</v>
      </c>
      <c r="I162" s="71">
        <v>15</v>
      </c>
      <c r="J16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2" s="71" t="s">
        <v>95</v>
      </c>
      <c r="L162" s="71" t="str">
        <f>IF(Table1[[#This Row],[LAST]]="","Unfilled","Filled")</f>
        <v>Filled</v>
      </c>
      <c r="M162" s="66" t="s">
        <v>2241</v>
      </c>
      <c r="N162" s="66" t="s">
        <v>2280</v>
      </c>
      <c r="O162" s="66" t="s">
        <v>2281</v>
      </c>
      <c r="P162" s="63"/>
      <c r="Q162" s="64">
        <v>34238</v>
      </c>
      <c r="R162" s="64">
        <v>44336</v>
      </c>
      <c r="S162" s="64">
        <v>44336</v>
      </c>
      <c r="T162" s="64">
        <v>44336</v>
      </c>
      <c r="U162" s="64" t="s">
        <v>76</v>
      </c>
      <c r="V162" s="64" t="s">
        <v>77</v>
      </c>
      <c r="W162" s="66">
        <f t="shared" ca="1" si="5"/>
        <v>32</v>
      </c>
      <c r="X16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2" s="64" t="s">
        <v>56</v>
      </c>
      <c r="Z162" s="64" t="s">
        <v>2282</v>
      </c>
      <c r="AA162" s="65" t="s">
        <v>302</v>
      </c>
      <c r="AB162" s="64" t="s">
        <v>237</v>
      </c>
      <c r="AC162" s="64" t="s">
        <v>103</v>
      </c>
      <c r="AD162" s="65">
        <v>4107</v>
      </c>
      <c r="AE162" s="64" t="s">
        <v>619</v>
      </c>
      <c r="AF162" s="64" t="s">
        <v>620</v>
      </c>
      <c r="AG162" s="64" t="s">
        <v>60</v>
      </c>
      <c r="AH162" s="64" t="s">
        <v>2283</v>
      </c>
      <c r="AI162" s="64">
        <v>46656</v>
      </c>
      <c r="AJ162" s="65" t="s">
        <v>2284</v>
      </c>
      <c r="AK162" s="64" t="s">
        <v>2285</v>
      </c>
      <c r="AL162" s="64" t="s">
        <v>2286</v>
      </c>
      <c r="AM162" s="64" t="s">
        <v>2287</v>
      </c>
      <c r="AN162" s="64" t="s">
        <v>2288</v>
      </c>
      <c r="AO162" s="64" t="s">
        <v>66</v>
      </c>
      <c r="AP162" s="64" t="s">
        <v>2289</v>
      </c>
    </row>
    <row r="163" spans="1:42" ht="18.75">
      <c r="A163" s="139">
        <v>162</v>
      </c>
      <c r="B163" s="66" t="s">
        <v>2290</v>
      </c>
      <c r="C163" s="66" t="s">
        <v>1835</v>
      </c>
      <c r="D163" s="66"/>
      <c r="E163" s="66" t="s">
        <v>1835</v>
      </c>
      <c r="F163" s="66" t="s">
        <v>1138</v>
      </c>
      <c r="G163" s="66" t="s">
        <v>611</v>
      </c>
      <c r="H163" s="66" t="s">
        <v>612</v>
      </c>
      <c r="I163" s="71">
        <v>15</v>
      </c>
      <c r="J16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3" s="71" t="s">
        <v>95</v>
      </c>
      <c r="L163" s="71" t="str">
        <f>IF(Table1[[#This Row],[LAST]]="","Unfilled","Filled")</f>
        <v>Filled</v>
      </c>
      <c r="M163" s="66" t="s">
        <v>2291</v>
      </c>
      <c r="N163" s="66" t="s">
        <v>2292</v>
      </c>
      <c r="O163" s="66" t="s">
        <v>2293</v>
      </c>
      <c r="P163" s="63"/>
      <c r="Q163" s="64">
        <v>31651</v>
      </c>
      <c r="R163" s="64">
        <v>45019</v>
      </c>
      <c r="S163" s="64">
        <v>45019</v>
      </c>
      <c r="T163" s="64">
        <v>45019</v>
      </c>
      <c r="U163" s="64" t="s">
        <v>51</v>
      </c>
      <c r="V163" s="64" t="s">
        <v>77</v>
      </c>
      <c r="W163" s="66">
        <f t="shared" ca="1" si="5"/>
        <v>39</v>
      </c>
      <c r="X16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3" s="64" t="s">
        <v>988</v>
      </c>
      <c r="Z163" s="64" t="s">
        <v>2294</v>
      </c>
      <c r="AA163" s="65" t="s">
        <v>2295</v>
      </c>
      <c r="AB163" s="64" t="s">
        <v>991</v>
      </c>
      <c r="AC163" s="64" t="s">
        <v>103</v>
      </c>
      <c r="AD163" s="65">
        <v>4109</v>
      </c>
      <c r="AE163" s="64" t="s">
        <v>619</v>
      </c>
      <c r="AF163" s="64" t="s">
        <v>620</v>
      </c>
      <c r="AG163" s="64" t="s">
        <v>60</v>
      </c>
      <c r="AH163" s="64" t="s">
        <v>2296</v>
      </c>
      <c r="AI163" s="64">
        <v>45896</v>
      </c>
      <c r="AJ163" s="65">
        <v>2004312915</v>
      </c>
      <c r="AK163" s="64" t="s">
        <v>2297</v>
      </c>
      <c r="AL163" s="64" t="s">
        <v>2298</v>
      </c>
      <c r="AM163" s="64" t="s">
        <v>2299</v>
      </c>
      <c r="AN163" s="64" t="s">
        <v>2300</v>
      </c>
      <c r="AO163" s="64" t="s">
        <v>2301</v>
      </c>
      <c r="AP163" s="64" t="s">
        <v>2302</v>
      </c>
    </row>
    <row r="164" spans="1:42" ht="18.75">
      <c r="A164" s="139">
        <v>163</v>
      </c>
      <c r="B164" s="66" t="s">
        <v>2303</v>
      </c>
      <c r="C164" s="66" t="s">
        <v>1835</v>
      </c>
      <c r="D164" s="77"/>
      <c r="E164" s="66" t="s">
        <v>1835</v>
      </c>
      <c r="F164" s="66" t="s">
        <v>1138</v>
      </c>
      <c r="G164" s="66" t="s">
        <v>611</v>
      </c>
      <c r="H164" s="66" t="s">
        <v>612</v>
      </c>
      <c r="I164" s="71">
        <v>15</v>
      </c>
      <c r="J16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4" s="71" t="s">
        <v>95</v>
      </c>
      <c r="L164" s="71" t="str">
        <f>IF(Table1[[#This Row],[LAST]]="","Unfilled","Filled")</f>
        <v>Filled</v>
      </c>
      <c r="M164" s="63" t="s">
        <v>2304</v>
      </c>
      <c r="N164" s="63" t="s">
        <v>2305</v>
      </c>
      <c r="O164" s="63" t="s">
        <v>2306</v>
      </c>
      <c r="P164" s="63"/>
      <c r="Q164" s="64">
        <v>33322</v>
      </c>
      <c r="R164" s="64">
        <v>45448</v>
      </c>
      <c r="S164" s="64">
        <v>45448</v>
      </c>
      <c r="T164" s="64">
        <v>45448</v>
      </c>
      <c r="U164" s="64" t="s">
        <v>76</v>
      </c>
      <c r="V164" s="64" t="s">
        <v>77</v>
      </c>
      <c r="W164" s="66">
        <f t="shared" ca="1" si="5"/>
        <v>35</v>
      </c>
      <c r="X16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4" s="64" t="s">
        <v>81</v>
      </c>
      <c r="Z164" s="64" t="s">
        <v>2307</v>
      </c>
      <c r="AA164" s="65" t="s">
        <v>2308</v>
      </c>
      <c r="AB164" s="64" t="s">
        <v>190</v>
      </c>
      <c r="AC164" s="64" t="s">
        <v>103</v>
      </c>
      <c r="AD164" s="65" t="s">
        <v>656</v>
      </c>
      <c r="AE164" s="64" t="s">
        <v>619</v>
      </c>
      <c r="AF164" s="64" t="s">
        <v>620</v>
      </c>
      <c r="AG164" s="64" t="s">
        <v>60</v>
      </c>
      <c r="AH164" s="156" t="s">
        <v>2309</v>
      </c>
      <c r="AI164" s="64">
        <v>46106</v>
      </c>
      <c r="AJ164" s="65" t="s">
        <v>2310</v>
      </c>
      <c r="AK164" s="64" t="s">
        <v>2311</v>
      </c>
      <c r="AL164" s="64" t="s">
        <v>2312</v>
      </c>
      <c r="AM164" s="64" t="s">
        <v>2313</v>
      </c>
      <c r="AN164" s="64" t="s">
        <v>2314</v>
      </c>
      <c r="AO164" s="64" t="s">
        <v>66</v>
      </c>
      <c r="AP164" s="85" t="s">
        <v>2315</v>
      </c>
    </row>
    <row r="165" spans="1:42" ht="18.75">
      <c r="A165" s="139">
        <v>164</v>
      </c>
      <c r="B165" s="66" t="s">
        <v>2316</v>
      </c>
      <c r="C165" s="66" t="s">
        <v>1835</v>
      </c>
      <c r="D165" s="66"/>
      <c r="E165" s="66" t="s">
        <v>1835</v>
      </c>
      <c r="F165" s="66" t="s">
        <v>1138</v>
      </c>
      <c r="G165" s="66" t="s">
        <v>611</v>
      </c>
      <c r="H165" s="66" t="s">
        <v>612</v>
      </c>
      <c r="I165" s="71">
        <v>15</v>
      </c>
      <c r="J16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5" s="71" t="s">
        <v>95</v>
      </c>
      <c r="L165" s="71" t="str">
        <f>IF(Table1[[#This Row],[LAST]]="","Unfilled","Filled")</f>
        <v>Filled</v>
      </c>
      <c r="M165" s="63" t="s">
        <v>2317</v>
      </c>
      <c r="N165" s="63" t="s">
        <v>2318</v>
      </c>
      <c r="O165" s="63" t="s">
        <v>2319</v>
      </c>
      <c r="P165" s="63"/>
      <c r="Q165" s="64">
        <v>31592</v>
      </c>
      <c r="R165" s="64">
        <v>45601</v>
      </c>
      <c r="S165" s="64">
        <v>45601</v>
      </c>
      <c r="T165" s="64">
        <v>45601</v>
      </c>
      <c r="U165" s="64" t="s">
        <v>51</v>
      </c>
      <c r="V165" s="64" t="s">
        <v>77</v>
      </c>
      <c r="W165" s="66">
        <f t="shared" ca="1" si="5"/>
        <v>40</v>
      </c>
      <c r="X16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5" s="64" t="s">
        <v>2320</v>
      </c>
      <c r="Z165" s="64" t="s">
        <v>2321</v>
      </c>
      <c r="AA165" s="65" t="s">
        <v>2322</v>
      </c>
      <c r="AB165" s="64" t="s">
        <v>190</v>
      </c>
      <c r="AC165" s="64" t="s">
        <v>103</v>
      </c>
      <c r="AD165" s="65" t="s">
        <v>656</v>
      </c>
      <c r="AE165" s="64" t="s">
        <v>619</v>
      </c>
      <c r="AF165" s="64" t="s">
        <v>620</v>
      </c>
      <c r="AG165" s="64" t="s">
        <v>60</v>
      </c>
      <c r="AH165" s="156" t="s">
        <v>2323</v>
      </c>
      <c r="AI165" s="64">
        <v>46567</v>
      </c>
      <c r="AJ165" s="65" t="s">
        <v>2324</v>
      </c>
      <c r="AK165" s="64" t="s">
        <v>2325</v>
      </c>
      <c r="AL165" s="64" t="s">
        <v>2326</v>
      </c>
      <c r="AM165" s="64" t="s">
        <v>2327</v>
      </c>
      <c r="AN165" s="64" t="s">
        <v>2328</v>
      </c>
      <c r="AO165" s="64" t="s">
        <v>66</v>
      </c>
      <c r="AP165" s="85" t="s">
        <v>2329</v>
      </c>
    </row>
    <row r="166" spans="1:42" ht="18.75">
      <c r="A166" s="139">
        <v>165</v>
      </c>
      <c r="B166" s="66" t="s">
        <v>2330</v>
      </c>
      <c r="C166" s="66" t="s">
        <v>1835</v>
      </c>
      <c r="D166" s="66"/>
      <c r="E166" s="66" t="s">
        <v>1835</v>
      </c>
      <c r="F166" s="66" t="s">
        <v>1138</v>
      </c>
      <c r="G166" s="66" t="s">
        <v>611</v>
      </c>
      <c r="H166" s="66" t="s">
        <v>612</v>
      </c>
      <c r="I166" s="71">
        <v>15</v>
      </c>
      <c r="J16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6" s="71" t="s">
        <v>95</v>
      </c>
      <c r="L166" s="71" t="str">
        <f>IF(Table1[[#This Row],[LAST]]="","Unfilled","Filled")</f>
        <v>Filled</v>
      </c>
      <c r="M166" s="66" t="s">
        <v>2331</v>
      </c>
      <c r="N166" s="66" t="s">
        <v>2332</v>
      </c>
      <c r="O166" s="66" t="s">
        <v>2333</v>
      </c>
      <c r="P166" s="63"/>
      <c r="Q166" s="64">
        <v>31885</v>
      </c>
      <c r="R166" s="64">
        <v>45233</v>
      </c>
      <c r="S166" s="64">
        <v>45233</v>
      </c>
      <c r="T166" s="64">
        <v>45233</v>
      </c>
      <c r="U166" s="64" t="s">
        <v>76</v>
      </c>
      <c r="V166" s="64" t="s">
        <v>77</v>
      </c>
      <c r="W166" s="66">
        <f t="shared" ca="1" si="5"/>
        <v>39</v>
      </c>
      <c r="X16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66" s="64" t="s">
        <v>697</v>
      </c>
      <c r="Z166" s="65">
        <v>102</v>
      </c>
      <c r="AA166" s="65" t="s">
        <v>2334</v>
      </c>
      <c r="AB166" s="64" t="s">
        <v>102</v>
      </c>
      <c r="AC166" s="64" t="s">
        <v>103</v>
      </c>
      <c r="AD166" s="65">
        <v>4103</v>
      </c>
      <c r="AE166" s="64" t="s">
        <v>619</v>
      </c>
      <c r="AF166" s="64" t="s">
        <v>620</v>
      </c>
      <c r="AG166" s="64" t="s">
        <v>60</v>
      </c>
      <c r="AH166" s="64" t="s">
        <v>2335</v>
      </c>
      <c r="AI166" s="64">
        <v>46130</v>
      </c>
      <c r="AJ166" s="65" t="s">
        <v>2336</v>
      </c>
      <c r="AK166" s="64" t="s">
        <v>2337</v>
      </c>
      <c r="AL166" s="64" t="s">
        <v>2338</v>
      </c>
      <c r="AM166" s="64" t="s">
        <v>2339</v>
      </c>
      <c r="AN166" s="64" t="s">
        <v>2340</v>
      </c>
      <c r="AO166" s="64" t="s">
        <v>66</v>
      </c>
      <c r="AP166" s="64" t="s">
        <v>2341</v>
      </c>
    </row>
    <row r="167" spans="1:42" ht="18.75">
      <c r="A167" s="139">
        <v>166</v>
      </c>
      <c r="B167" s="66" t="s">
        <v>2342</v>
      </c>
      <c r="C167" s="66" t="s">
        <v>1835</v>
      </c>
      <c r="D167" s="77"/>
      <c r="E167" s="66" t="s">
        <v>1835</v>
      </c>
      <c r="F167" s="66" t="s">
        <v>1138</v>
      </c>
      <c r="G167" s="66" t="s">
        <v>611</v>
      </c>
      <c r="H167" s="66" t="s">
        <v>612</v>
      </c>
      <c r="I167" s="71">
        <v>15</v>
      </c>
      <c r="J16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7" s="71" t="s">
        <v>95</v>
      </c>
      <c r="L167" s="71" t="str">
        <f>IF(Table1[[#This Row],[LAST]]="","Unfilled","Filled")</f>
        <v>Filled</v>
      </c>
      <c r="M167" s="63" t="s">
        <v>2343</v>
      </c>
      <c r="N167" s="63" t="s">
        <v>2344</v>
      </c>
      <c r="O167" s="63" t="s">
        <v>2029</v>
      </c>
      <c r="P167" s="63"/>
      <c r="Q167" s="64">
        <v>30870</v>
      </c>
      <c r="R167" s="64">
        <v>45579</v>
      </c>
      <c r="S167" s="64">
        <v>45579</v>
      </c>
      <c r="T167" s="64">
        <v>45579</v>
      </c>
      <c r="U167" s="64" t="s">
        <v>51</v>
      </c>
      <c r="V167" s="64" t="s">
        <v>77</v>
      </c>
      <c r="W167" s="66">
        <f t="shared" ca="1" si="5"/>
        <v>42</v>
      </c>
      <c r="X16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7" s="64" t="s">
        <v>154</v>
      </c>
      <c r="Z167" s="64" t="s">
        <v>2345</v>
      </c>
      <c r="AA167" s="65" t="s">
        <v>2346</v>
      </c>
      <c r="AB167" s="64" t="s">
        <v>2347</v>
      </c>
      <c r="AC167" s="64" t="s">
        <v>103</v>
      </c>
      <c r="AD167" s="65" t="s">
        <v>2348</v>
      </c>
      <c r="AE167" s="64" t="s">
        <v>619</v>
      </c>
      <c r="AF167" s="64" t="s">
        <v>620</v>
      </c>
      <c r="AG167" s="64" t="s">
        <v>60</v>
      </c>
      <c r="AH167" s="156" t="s">
        <v>2349</v>
      </c>
      <c r="AI167" s="64">
        <v>46575</v>
      </c>
      <c r="AJ167" s="65" t="s">
        <v>2350</v>
      </c>
      <c r="AK167" s="64" t="s">
        <v>2351</v>
      </c>
      <c r="AL167" s="64" t="s">
        <v>2352</v>
      </c>
      <c r="AM167" s="64" t="s">
        <v>2353</v>
      </c>
      <c r="AN167" s="64" t="s">
        <v>2354</v>
      </c>
      <c r="AO167" s="64" t="s">
        <v>66</v>
      </c>
      <c r="AP167" s="85" t="s">
        <v>2355</v>
      </c>
    </row>
    <row r="168" spans="1:42" ht="18.75">
      <c r="A168" s="139">
        <v>167</v>
      </c>
      <c r="B168" s="66" t="s">
        <v>2356</v>
      </c>
      <c r="C168" s="66" t="s">
        <v>1835</v>
      </c>
      <c r="D168" s="66"/>
      <c r="E168" s="66" t="s">
        <v>1835</v>
      </c>
      <c r="F168" s="66" t="s">
        <v>1138</v>
      </c>
      <c r="G168" s="66" t="s">
        <v>611</v>
      </c>
      <c r="H168" s="66" t="s">
        <v>612</v>
      </c>
      <c r="I168" s="71">
        <v>15</v>
      </c>
      <c r="J16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8" s="71" t="s">
        <v>95</v>
      </c>
      <c r="L168" s="71" t="str">
        <f>IF(Table1[[#This Row],[LAST]]="","Unfilled","Filled")</f>
        <v>Filled</v>
      </c>
      <c r="M168" s="66" t="s">
        <v>342</v>
      </c>
      <c r="N168" s="66" t="s">
        <v>2357</v>
      </c>
      <c r="O168" s="66" t="s">
        <v>590</v>
      </c>
      <c r="P168" s="63"/>
      <c r="Q168" s="64">
        <v>31332</v>
      </c>
      <c r="R168" s="64">
        <v>45233</v>
      </c>
      <c r="S168" s="64">
        <v>45233</v>
      </c>
      <c r="T168" s="64">
        <v>45233</v>
      </c>
      <c r="U168" s="64" t="s">
        <v>76</v>
      </c>
      <c r="V168" s="64" t="s">
        <v>77</v>
      </c>
      <c r="W168" s="66">
        <f t="shared" ca="1" si="5"/>
        <v>40</v>
      </c>
      <c r="X16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8" s="64" t="s">
        <v>2358</v>
      </c>
      <c r="Z168" s="64" t="s">
        <v>2359</v>
      </c>
      <c r="AA168" s="65" t="s">
        <v>2217</v>
      </c>
      <c r="AB168" s="64" t="s">
        <v>102</v>
      </c>
      <c r="AC168" s="64" t="s">
        <v>103</v>
      </c>
      <c r="AD168" s="65">
        <v>4103</v>
      </c>
      <c r="AE168" s="64" t="s">
        <v>619</v>
      </c>
      <c r="AF168" s="64" t="s">
        <v>620</v>
      </c>
      <c r="AG168" s="64" t="s">
        <v>60</v>
      </c>
      <c r="AH168" s="64" t="s">
        <v>2360</v>
      </c>
      <c r="AI168" s="64">
        <v>46672</v>
      </c>
      <c r="AJ168" s="65" t="s">
        <v>2361</v>
      </c>
      <c r="AK168" s="64" t="s">
        <v>2362</v>
      </c>
      <c r="AL168" s="64" t="s">
        <v>2363</v>
      </c>
      <c r="AM168" s="64" t="s">
        <v>2364</v>
      </c>
      <c r="AN168" s="64" t="s">
        <v>2365</v>
      </c>
      <c r="AO168" s="64" t="s">
        <v>2366</v>
      </c>
      <c r="AP168" s="64" t="s">
        <v>2367</v>
      </c>
    </row>
    <row r="169" spans="1:42" ht="18.75">
      <c r="A169" s="139">
        <v>168</v>
      </c>
      <c r="B169" s="66" t="s">
        <v>2368</v>
      </c>
      <c r="C169" s="66" t="s">
        <v>1835</v>
      </c>
      <c r="D169" s="66"/>
      <c r="E169" s="66" t="s">
        <v>1835</v>
      </c>
      <c r="F169" s="66" t="s">
        <v>1138</v>
      </c>
      <c r="G169" s="66" t="s">
        <v>611</v>
      </c>
      <c r="H169" s="66" t="s">
        <v>612</v>
      </c>
      <c r="I169" s="71">
        <v>15</v>
      </c>
      <c r="J16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69" s="71" t="s">
        <v>95</v>
      </c>
      <c r="L169" s="71" t="str">
        <f>IF(Table1[[#This Row],[LAST]]="","Unfilled","Filled")</f>
        <v>Filled</v>
      </c>
      <c r="M169" s="66" t="s">
        <v>2369</v>
      </c>
      <c r="N169" s="66" t="s">
        <v>2370</v>
      </c>
      <c r="O169" s="66" t="s">
        <v>2371</v>
      </c>
      <c r="P169" s="63"/>
      <c r="Q169" s="64">
        <v>31352</v>
      </c>
      <c r="R169" s="64">
        <v>45155</v>
      </c>
      <c r="S169" s="64">
        <v>45155</v>
      </c>
      <c r="T169" s="64">
        <v>45155</v>
      </c>
      <c r="U169" s="64" t="s">
        <v>51</v>
      </c>
      <c r="V169" s="64" t="s">
        <v>77</v>
      </c>
      <c r="W169" s="66">
        <f t="shared" ca="1" si="5"/>
        <v>40</v>
      </c>
      <c r="X16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69" s="64" t="s">
        <v>2372</v>
      </c>
      <c r="Z169" s="64" t="s">
        <v>2373</v>
      </c>
      <c r="AA169" s="65" t="s">
        <v>1799</v>
      </c>
      <c r="AB169" s="64" t="s">
        <v>102</v>
      </c>
      <c r="AC169" s="64" t="s">
        <v>103</v>
      </c>
      <c r="AD169" s="65">
        <v>4103</v>
      </c>
      <c r="AE169" s="64" t="s">
        <v>619</v>
      </c>
      <c r="AF169" s="64" t="s">
        <v>620</v>
      </c>
      <c r="AG169" s="64" t="s">
        <v>60</v>
      </c>
      <c r="AH169" s="64" t="s">
        <v>2374</v>
      </c>
      <c r="AI169" s="64">
        <v>46692</v>
      </c>
      <c r="AJ169" s="65" t="s">
        <v>2375</v>
      </c>
      <c r="AK169" s="64" t="s">
        <v>2376</v>
      </c>
      <c r="AL169" s="64" t="s">
        <v>2377</v>
      </c>
      <c r="AM169" s="64" t="s">
        <v>2378</v>
      </c>
      <c r="AN169" s="64" t="s">
        <v>2379</v>
      </c>
      <c r="AO169" s="64" t="s">
        <v>66</v>
      </c>
      <c r="AP169" s="64" t="s">
        <v>2380</v>
      </c>
    </row>
    <row r="170" spans="1:42" ht="18.75">
      <c r="A170" s="139">
        <v>169</v>
      </c>
      <c r="B170" s="66" t="s">
        <v>2381</v>
      </c>
      <c r="C170" s="66" t="s">
        <v>1835</v>
      </c>
      <c r="D170" s="77"/>
      <c r="E170" s="66" t="s">
        <v>1835</v>
      </c>
      <c r="F170" s="66" t="s">
        <v>1138</v>
      </c>
      <c r="G170" s="66" t="s">
        <v>611</v>
      </c>
      <c r="H170" s="66" t="s">
        <v>612</v>
      </c>
      <c r="I170" s="71">
        <v>15</v>
      </c>
      <c r="J17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0" s="71" t="s">
        <v>95</v>
      </c>
      <c r="L170" s="71" t="str">
        <f>IF(Table1[[#This Row],[LAST]]="","Unfilled","Filled")</f>
        <v>Filled</v>
      </c>
      <c r="M170" s="63" t="s">
        <v>2382</v>
      </c>
      <c r="N170" s="63" t="s">
        <v>2383</v>
      </c>
      <c r="O170" s="63" t="s">
        <v>2384</v>
      </c>
      <c r="P170" s="63"/>
      <c r="Q170" s="64">
        <v>33366</v>
      </c>
      <c r="R170" s="64">
        <v>45572</v>
      </c>
      <c r="S170" s="64">
        <v>45572</v>
      </c>
      <c r="T170" s="64">
        <v>45572</v>
      </c>
      <c r="U170" s="64" t="s">
        <v>51</v>
      </c>
      <c r="V170" s="64" t="s">
        <v>52</v>
      </c>
      <c r="W170" s="66">
        <f t="shared" ca="1" si="5"/>
        <v>35</v>
      </c>
      <c r="X17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0" s="64" t="s">
        <v>2385</v>
      </c>
      <c r="Z170" s="64" t="s">
        <v>2386</v>
      </c>
      <c r="AA170" s="65" t="s">
        <v>1520</v>
      </c>
      <c r="AB170" s="64" t="s">
        <v>1184</v>
      </c>
      <c r="AC170" s="64" t="s">
        <v>103</v>
      </c>
      <c r="AD170" s="65" t="s">
        <v>2045</v>
      </c>
      <c r="AE170" s="64" t="s">
        <v>619</v>
      </c>
      <c r="AF170" s="64" t="s">
        <v>620</v>
      </c>
      <c r="AG170" s="64" t="s">
        <v>60</v>
      </c>
      <c r="AH170" s="156" t="s">
        <v>2387</v>
      </c>
      <c r="AI170" s="64">
        <v>46515</v>
      </c>
      <c r="AJ170" s="65" t="s">
        <v>2388</v>
      </c>
      <c r="AK170" s="64" t="s">
        <v>2389</v>
      </c>
      <c r="AL170" s="64" t="s">
        <v>2390</v>
      </c>
      <c r="AM170" s="64" t="s">
        <v>2391</v>
      </c>
      <c r="AN170" s="64" t="s">
        <v>2392</v>
      </c>
      <c r="AO170" s="64" t="s">
        <v>66</v>
      </c>
      <c r="AP170" s="85" t="s">
        <v>2393</v>
      </c>
    </row>
    <row r="171" spans="1:42" ht="18.75">
      <c r="A171" s="139">
        <v>170</v>
      </c>
      <c r="B171" s="66" t="s">
        <v>2394</v>
      </c>
      <c r="C171" s="66" t="s">
        <v>1835</v>
      </c>
      <c r="D171" s="77"/>
      <c r="E171" s="66" t="s">
        <v>1835</v>
      </c>
      <c r="F171" s="66" t="s">
        <v>1138</v>
      </c>
      <c r="G171" s="66" t="s">
        <v>611</v>
      </c>
      <c r="H171" s="66" t="s">
        <v>612</v>
      </c>
      <c r="I171" s="71">
        <v>15</v>
      </c>
      <c r="J17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1" s="71" t="s">
        <v>95</v>
      </c>
      <c r="L171" s="71" t="str">
        <f>IF(Table1[[#This Row],[LAST]]="","Unfilled","Filled")</f>
        <v>Filled</v>
      </c>
      <c r="M171" s="63" t="s">
        <v>819</v>
      </c>
      <c r="N171" s="63" t="s">
        <v>2395</v>
      </c>
      <c r="O171" s="63" t="s">
        <v>2396</v>
      </c>
      <c r="P171" s="63"/>
      <c r="Q171" s="64">
        <v>31989</v>
      </c>
      <c r="R171" s="64">
        <v>45453</v>
      </c>
      <c r="S171" s="64">
        <v>45453</v>
      </c>
      <c r="T171" s="64">
        <v>45453</v>
      </c>
      <c r="U171" s="64" t="s">
        <v>76</v>
      </c>
      <c r="V171" s="64" t="s">
        <v>77</v>
      </c>
      <c r="W171" s="66">
        <f t="shared" ca="1" si="5"/>
        <v>39</v>
      </c>
      <c r="X17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1" s="64" t="s">
        <v>154</v>
      </c>
      <c r="Z171" s="64" t="s">
        <v>2397</v>
      </c>
      <c r="AA171" s="65" t="s">
        <v>2072</v>
      </c>
      <c r="AB171" s="64" t="s">
        <v>237</v>
      </c>
      <c r="AC171" s="64" t="s">
        <v>103</v>
      </c>
      <c r="AD171" s="65" t="s">
        <v>700</v>
      </c>
      <c r="AE171" s="64" t="s">
        <v>619</v>
      </c>
      <c r="AF171" s="64" t="s">
        <v>620</v>
      </c>
      <c r="AG171" s="64" t="s">
        <v>60</v>
      </c>
      <c r="AH171" s="156" t="s">
        <v>2398</v>
      </c>
      <c r="AI171" s="64">
        <v>45869</v>
      </c>
      <c r="AJ171" s="65" t="s">
        <v>2399</v>
      </c>
      <c r="AK171" s="64" t="s">
        <v>2400</v>
      </c>
      <c r="AL171" s="64" t="s">
        <v>2401</v>
      </c>
      <c r="AM171" s="64" t="s">
        <v>2402</v>
      </c>
      <c r="AN171" s="64" t="s">
        <v>2403</v>
      </c>
      <c r="AO171" s="64" t="s">
        <v>66</v>
      </c>
      <c r="AP171" s="85" t="s">
        <v>2404</v>
      </c>
    </row>
    <row r="172" spans="1:42" ht="18.75">
      <c r="A172" s="139">
        <v>171</v>
      </c>
      <c r="B172" s="66" t="s">
        <v>2405</v>
      </c>
      <c r="C172" s="66" t="s">
        <v>1835</v>
      </c>
      <c r="D172" s="66"/>
      <c r="E172" s="66" t="s">
        <v>1835</v>
      </c>
      <c r="F172" s="66" t="s">
        <v>1138</v>
      </c>
      <c r="G172" s="66" t="s">
        <v>611</v>
      </c>
      <c r="H172" s="66" t="s">
        <v>612</v>
      </c>
      <c r="I172" s="71">
        <v>15</v>
      </c>
      <c r="J17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2" s="71" t="s">
        <v>95</v>
      </c>
      <c r="L172" s="71" t="str">
        <f>IF(Table1[[#This Row],[LAST]]="","Unfilled","Filled")</f>
        <v>Filled</v>
      </c>
      <c r="M172" s="63" t="s">
        <v>2406</v>
      </c>
      <c r="N172" s="63" t="s">
        <v>2228</v>
      </c>
      <c r="O172" s="63" t="s">
        <v>2406</v>
      </c>
      <c r="P172" s="63"/>
      <c r="Q172" s="64">
        <v>32109</v>
      </c>
      <c r="R172" s="64">
        <v>45097</v>
      </c>
      <c r="S172" s="64">
        <v>45393</v>
      </c>
      <c r="T172" s="64">
        <v>45393</v>
      </c>
      <c r="U172" s="64" t="s">
        <v>51</v>
      </c>
      <c r="V172" s="64" t="s">
        <v>77</v>
      </c>
      <c r="W172" s="66">
        <f t="shared" ca="1" si="5"/>
        <v>38</v>
      </c>
      <c r="X17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2" s="64" t="s">
        <v>697</v>
      </c>
      <c r="Z172" s="64" t="s">
        <v>2407</v>
      </c>
      <c r="AA172" s="65" t="s">
        <v>2408</v>
      </c>
      <c r="AB172" s="64" t="s">
        <v>102</v>
      </c>
      <c r="AC172" s="64" t="s">
        <v>103</v>
      </c>
      <c r="AD172" s="65" t="s">
        <v>1106</v>
      </c>
      <c r="AE172" s="64" t="s">
        <v>639</v>
      </c>
      <c r="AF172" s="64" t="s">
        <v>2409</v>
      </c>
      <c r="AG172" s="64" t="s">
        <v>60</v>
      </c>
      <c r="AH172" s="156" t="s">
        <v>2410</v>
      </c>
      <c r="AI172" s="64">
        <v>46719</v>
      </c>
      <c r="AJ172" s="65" t="s">
        <v>2411</v>
      </c>
      <c r="AK172" s="64" t="s">
        <v>2412</v>
      </c>
      <c r="AL172" s="64" t="s">
        <v>2413</v>
      </c>
      <c r="AM172" s="64" t="s">
        <v>2414</v>
      </c>
      <c r="AN172" s="64" t="s">
        <v>2415</v>
      </c>
      <c r="AO172" s="64" t="s">
        <v>66</v>
      </c>
      <c r="AP172" s="85" t="s">
        <v>2416</v>
      </c>
    </row>
    <row r="173" spans="1:42" ht="18.75">
      <c r="A173" s="139">
        <v>172</v>
      </c>
      <c r="B173" s="66" t="s">
        <v>2417</v>
      </c>
      <c r="C173" s="66" t="s">
        <v>1835</v>
      </c>
      <c r="D173" s="66"/>
      <c r="E173" s="66" t="s">
        <v>1835</v>
      </c>
      <c r="F173" s="66" t="s">
        <v>1138</v>
      </c>
      <c r="G173" s="66" t="s">
        <v>611</v>
      </c>
      <c r="H173" s="66" t="s">
        <v>612</v>
      </c>
      <c r="I173" s="71">
        <v>15</v>
      </c>
      <c r="J17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3" s="71" t="s">
        <v>95</v>
      </c>
      <c r="L173" s="71" t="str">
        <f>IF(Table1[[#This Row],[LAST]]="","Unfilled","Filled")</f>
        <v>Filled</v>
      </c>
      <c r="M173" s="66" t="s">
        <v>2418</v>
      </c>
      <c r="N173" s="66" t="s">
        <v>2419</v>
      </c>
      <c r="O173" s="66" t="s">
        <v>2420</v>
      </c>
      <c r="P173" s="63"/>
      <c r="Q173" s="64">
        <v>32821</v>
      </c>
      <c r="R173" s="64">
        <v>46034</v>
      </c>
      <c r="S173" s="64">
        <v>46034</v>
      </c>
      <c r="T173" s="64">
        <v>46034</v>
      </c>
      <c r="U173" s="64" t="s">
        <v>51</v>
      </c>
      <c r="V173" s="64" t="s">
        <v>77</v>
      </c>
      <c r="W173" s="66">
        <f t="shared" ca="1" si="5"/>
        <v>36</v>
      </c>
      <c r="X17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3" s="64" t="s">
        <v>1465</v>
      </c>
      <c r="Z173" s="64" t="s">
        <v>2421</v>
      </c>
      <c r="AA173" s="65" t="s">
        <v>655</v>
      </c>
      <c r="AB173" s="64" t="s">
        <v>190</v>
      </c>
      <c r="AC173" s="64" t="s">
        <v>103</v>
      </c>
      <c r="AD173" s="65" t="s">
        <v>1106</v>
      </c>
      <c r="AE173" s="64" t="s">
        <v>619</v>
      </c>
      <c r="AF173" s="64" t="s">
        <v>620</v>
      </c>
      <c r="AG173" s="64" t="s">
        <v>60</v>
      </c>
      <c r="AH173" s="156" t="s">
        <v>2422</v>
      </c>
      <c r="AI173" s="64">
        <v>47007</v>
      </c>
      <c r="AJ173" s="65" t="s">
        <v>66</v>
      </c>
      <c r="AK173" s="64" t="s">
        <v>2423</v>
      </c>
      <c r="AL173" s="64" t="s">
        <v>2424</v>
      </c>
      <c r="AM173" s="64" t="s">
        <v>2425</v>
      </c>
      <c r="AN173" s="64" t="s">
        <v>2426</v>
      </c>
      <c r="AO173" s="64" t="s">
        <v>66</v>
      </c>
      <c r="AP173" s="85" t="s">
        <v>2427</v>
      </c>
    </row>
    <row r="174" spans="1:42" ht="18.75">
      <c r="A174" s="139">
        <v>173</v>
      </c>
      <c r="B174" s="66" t="s">
        <v>2428</v>
      </c>
      <c r="C174" s="66" t="s">
        <v>1835</v>
      </c>
      <c r="D174" s="66"/>
      <c r="E174" s="66" t="s">
        <v>1835</v>
      </c>
      <c r="F174" s="66" t="s">
        <v>1138</v>
      </c>
      <c r="G174" s="66" t="s">
        <v>611</v>
      </c>
      <c r="H174" s="66" t="s">
        <v>612</v>
      </c>
      <c r="I174" s="71">
        <v>15</v>
      </c>
      <c r="J17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4" s="71" t="s">
        <v>95</v>
      </c>
      <c r="L174" s="71" t="str">
        <f>IF(Table1[[#This Row],[LAST]]="","Unfilled","Filled")</f>
        <v>Filled</v>
      </c>
      <c r="M174" s="66" t="s">
        <v>2429</v>
      </c>
      <c r="N174" s="66" t="s">
        <v>2430</v>
      </c>
      <c r="O174" s="66" t="s">
        <v>2056</v>
      </c>
      <c r="P174" s="63"/>
      <c r="Q174" s="64">
        <v>33307</v>
      </c>
      <c r="R174" s="64">
        <v>46034</v>
      </c>
      <c r="S174" s="64">
        <v>46034</v>
      </c>
      <c r="T174" s="64">
        <v>46034</v>
      </c>
      <c r="U174" s="64" t="s">
        <v>76</v>
      </c>
      <c r="V174" s="64" t="s">
        <v>77</v>
      </c>
      <c r="W174" s="66">
        <f t="shared" ca="1" si="5"/>
        <v>35</v>
      </c>
      <c r="X17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4" s="64" t="s">
        <v>697</v>
      </c>
      <c r="Z174" s="64" t="s">
        <v>2431</v>
      </c>
      <c r="AA174" s="65" t="s">
        <v>2432</v>
      </c>
      <c r="AB174" s="64" t="s">
        <v>102</v>
      </c>
      <c r="AC174" s="64" t="s">
        <v>103</v>
      </c>
      <c r="AD174" s="65" t="s">
        <v>1106</v>
      </c>
      <c r="AE174" s="64" t="s">
        <v>639</v>
      </c>
      <c r="AF174" s="64" t="s">
        <v>620</v>
      </c>
      <c r="AG174" s="64" t="s">
        <v>60</v>
      </c>
      <c r="AH174" s="156" t="s">
        <v>2433</v>
      </c>
      <c r="AI174" s="64">
        <v>46091</v>
      </c>
      <c r="AJ174" s="65" t="s">
        <v>66</v>
      </c>
      <c r="AK174" s="64" t="s">
        <v>2434</v>
      </c>
      <c r="AL174" s="64" t="s">
        <v>2435</v>
      </c>
      <c r="AM174" s="64" t="s">
        <v>2436</v>
      </c>
      <c r="AN174" s="64" t="s">
        <v>2437</v>
      </c>
      <c r="AO174" s="64" t="s">
        <v>66</v>
      </c>
      <c r="AP174" s="85" t="s">
        <v>2438</v>
      </c>
    </row>
    <row r="175" spans="1:42" ht="18.75">
      <c r="A175" s="139">
        <v>174</v>
      </c>
      <c r="B175" s="66" t="s">
        <v>2439</v>
      </c>
      <c r="C175" s="66" t="s">
        <v>1835</v>
      </c>
      <c r="D175" s="66"/>
      <c r="E175" s="66" t="s">
        <v>1835</v>
      </c>
      <c r="F175" s="66" t="s">
        <v>1138</v>
      </c>
      <c r="G175" s="66" t="s">
        <v>611</v>
      </c>
      <c r="H175" s="66" t="s">
        <v>612</v>
      </c>
      <c r="I175" s="71">
        <v>15</v>
      </c>
      <c r="J17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5" s="71" t="s">
        <v>95</v>
      </c>
      <c r="L175" s="71" t="str">
        <f>IF(Table1[[#This Row],[LAST]]="","Unfilled","Filled")</f>
        <v>Filled</v>
      </c>
      <c r="M175" s="66" t="s">
        <v>2440</v>
      </c>
      <c r="N175" s="66" t="s">
        <v>2441</v>
      </c>
      <c r="O175" s="66" t="s">
        <v>2442</v>
      </c>
      <c r="P175" s="63"/>
      <c r="Q175" s="64">
        <v>31910</v>
      </c>
      <c r="R175" s="64">
        <v>46027</v>
      </c>
      <c r="S175" s="64">
        <v>46027</v>
      </c>
      <c r="T175" s="64">
        <v>46027</v>
      </c>
      <c r="U175" s="64" t="s">
        <v>76</v>
      </c>
      <c r="V175" s="64" t="s">
        <v>77</v>
      </c>
      <c r="W175" s="66">
        <f t="shared" ca="1" si="5"/>
        <v>39</v>
      </c>
      <c r="X17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5" s="64" t="s">
        <v>653</v>
      </c>
      <c r="Z175" s="64" t="s">
        <v>2443</v>
      </c>
      <c r="AA175" s="65" t="s">
        <v>1799</v>
      </c>
      <c r="AB175" s="64" t="s">
        <v>102</v>
      </c>
      <c r="AC175" s="64" t="s">
        <v>103</v>
      </c>
      <c r="AD175" s="65" t="s">
        <v>1106</v>
      </c>
      <c r="AE175" s="64" t="s">
        <v>619</v>
      </c>
      <c r="AF175" s="64" t="s">
        <v>620</v>
      </c>
      <c r="AG175" s="64" t="s">
        <v>60</v>
      </c>
      <c r="AH175" s="156" t="s">
        <v>2444</v>
      </c>
      <c r="AI175" s="64">
        <v>47251</v>
      </c>
      <c r="AJ175" s="65" t="s">
        <v>66</v>
      </c>
      <c r="AK175" s="64" t="s">
        <v>2445</v>
      </c>
      <c r="AL175" s="64" t="s">
        <v>2446</v>
      </c>
      <c r="AM175" s="64" t="s">
        <v>2447</v>
      </c>
      <c r="AN175" s="64" t="s">
        <v>2448</v>
      </c>
      <c r="AO175" s="64" t="s">
        <v>2449</v>
      </c>
      <c r="AP175" s="85" t="s">
        <v>2450</v>
      </c>
    </row>
    <row r="176" spans="1:42" ht="18.75">
      <c r="A176" s="139">
        <v>175</v>
      </c>
      <c r="B176" s="66" t="s">
        <v>2451</v>
      </c>
      <c r="C176" s="66" t="s">
        <v>1835</v>
      </c>
      <c r="D176" s="66"/>
      <c r="E176" s="66" t="s">
        <v>1835</v>
      </c>
      <c r="F176" s="66" t="s">
        <v>1138</v>
      </c>
      <c r="G176" s="66" t="s">
        <v>611</v>
      </c>
      <c r="H176" s="66" t="s">
        <v>612</v>
      </c>
      <c r="I176" s="71">
        <v>15</v>
      </c>
      <c r="J17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6" s="71" t="s">
        <v>95</v>
      </c>
      <c r="L176" s="71" t="str">
        <f>IF(Table1[[#This Row],[LAST]]="","Unfilled","Filled")</f>
        <v>Filled</v>
      </c>
      <c r="M176" s="66" t="s">
        <v>1725</v>
      </c>
      <c r="N176" s="66" t="s">
        <v>2452</v>
      </c>
      <c r="O176" s="66" t="s">
        <v>1490</v>
      </c>
      <c r="P176" s="63"/>
      <c r="Q176" s="64">
        <v>33819</v>
      </c>
      <c r="R176" s="64">
        <v>46028</v>
      </c>
      <c r="S176" s="64">
        <v>46028</v>
      </c>
      <c r="T176" s="64">
        <v>46028</v>
      </c>
      <c r="U176" s="64" t="s">
        <v>76</v>
      </c>
      <c r="V176" s="64" t="s">
        <v>77</v>
      </c>
      <c r="W176" s="66">
        <f t="shared" ca="1" si="5"/>
        <v>34</v>
      </c>
      <c r="X17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6" s="64" t="s">
        <v>391</v>
      </c>
      <c r="Z176" s="64" t="s">
        <v>2453</v>
      </c>
      <c r="AA176" s="65" t="s">
        <v>2271</v>
      </c>
      <c r="AB176" s="64" t="s">
        <v>138</v>
      </c>
      <c r="AC176" s="64" t="s">
        <v>103</v>
      </c>
      <c r="AD176" s="65" t="s">
        <v>1752</v>
      </c>
      <c r="AE176" s="64" t="s">
        <v>619</v>
      </c>
      <c r="AF176" s="64" t="s">
        <v>620</v>
      </c>
      <c r="AG176" s="64" t="s">
        <v>60</v>
      </c>
      <c r="AH176" s="156" t="s">
        <v>2454</v>
      </c>
      <c r="AI176" s="64">
        <v>46237</v>
      </c>
      <c r="AJ176" s="65" t="s">
        <v>66</v>
      </c>
      <c r="AK176" s="64" t="s">
        <v>2455</v>
      </c>
      <c r="AL176" s="64" t="s">
        <v>2456</v>
      </c>
      <c r="AM176" s="64" t="s">
        <v>2457</v>
      </c>
      <c r="AN176" s="64" t="s">
        <v>2458</v>
      </c>
      <c r="AO176" s="64" t="s">
        <v>2459</v>
      </c>
      <c r="AP176" s="85" t="s">
        <v>2460</v>
      </c>
    </row>
    <row r="177" spans="1:42" ht="18.75">
      <c r="A177" s="139">
        <v>176</v>
      </c>
      <c r="B177" s="66" t="s">
        <v>2461</v>
      </c>
      <c r="C177" s="66" t="s">
        <v>1835</v>
      </c>
      <c r="D177" s="66"/>
      <c r="E177" s="66" t="s">
        <v>1835</v>
      </c>
      <c r="F177" s="66" t="s">
        <v>1138</v>
      </c>
      <c r="G177" s="66" t="s">
        <v>611</v>
      </c>
      <c r="H177" s="66" t="s">
        <v>612</v>
      </c>
      <c r="I177" s="71">
        <v>15</v>
      </c>
      <c r="J17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7" s="71" t="s">
        <v>95</v>
      </c>
      <c r="L177" s="71" t="str">
        <f>IF(Table1[[#This Row],[LAST]]="","Unfilled","Filled")</f>
        <v>Filled</v>
      </c>
      <c r="M177" s="66" t="s">
        <v>2462</v>
      </c>
      <c r="N177" s="66" t="s">
        <v>2463</v>
      </c>
      <c r="O177" s="66" t="s">
        <v>2464</v>
      </c>
      <c r="P177" s="63"/>
      <c r="Q177" s="64">
        <v>31693</v>
      </c>
      <c r="R177" s="64">
        <v>46028</v>
      </c>
      <c r="S177" s="64">
        <v>46028</v>
      </c>
      <c r="T177" s="64">
        <v>46028</v>
      </c>
      <c r="U177" s="64" t="s">
        <v>76</v>
      </c>
      <c r="V177" s="64" t="s">
        <v>52</v>
      </c>
      <c r="W177" s="66">
        <f t="shared" ca="1" si="5"/>
        <v>39</v>
      </c>
      <c r="X17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7" s="64" t="s">
        <v>520</v>
      </c>
      <c r="Z177" s="64" t="s">
        <v>2465</v>
      </c>
      <c r="AA177" s="65" t="s">
        <v>2466</v>
      </c>
      <c r="AB177" s="64" t="s">
        <v>102</v>
      </c>
      <c r="AC177" s="64" t="s">
        <v>103</v>
      </c>
      <c r="AD177" s="65" t="s">
        <v>1106</v>
      </c>
      <c r="AE177" s="64" t="s">
        <v>619</v>
      </c>
      <c r="AF177" s="64" t="s">
        <v>620</v>
      </c>
      <c r="AG177" s="64" t="s">
        <v>60</v>
      </c>
      <c r="AH177" s="156" t="s">
        <v>2467</v>
      </c>
      <c r="AI177" s="64">
        <v>46303</v>
      </c>
      <c r="AJ177" s="65" t="s">
        <v>66</v>
      </c>
      <c r="AK177" s="64" t="s">
        <v>2468</v>
      </c>
      <c r="AL177" s="64" t="s">
        <v>2469</v>
      </c>
      <c r="AM177" s="64" t="s">
        <v>2470</v>
      </c>
      <c r="AN177" s="64" t="s">
        <v>2471</v>
      </c>
      <c r="AO177" s="64" t="s">
        <v>66</v>
      </c>
      <c r="AP177" s="85" t="s">
        <v>2472</v>
      </c>
    </row>
    <row r="178" spans="1:42" ht="18.75">
      <c r="A178" s="139">
        <v>177</v>
      </c>
      <c r="B178" s="66" t="s">
        <v>2473</v>
      </c>
      <c r="C178" s="66" t="s">
        <v>1835</v>
      </c>
      <c r="D178" s="66"/>
      <c r="E178" s="66" t="s">
        <v>1835</v>
      </c>
      <c r="F178" s="66" t="s">
        <v>1138</v>
      </c>
      <c r="G178" s="66" t="s">
        <v>611</v>
      </c>
      <c r="H178" s="66" t="s">
        <v>612</v>
      </c>
      <c r="I178" s="71">
        <v>15</v>
      </c>
      <c r="J17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78" s="71" t="s">
        <v>95</v>
      </c>
      <c r="L178" s="71" t="str">
        <f>IF(Table1[[#This Row],[LAST]]="","Unfilled","Filled")</f>
        <v>Filled</v>
      </c>
      <c r="M178" s="66" t="s">
        <v>2474</v>
      </c>
      <c r="N178" s="66" t="s">
        <v>2475</v>
      </c>
      <c r="O178" s="66" t="s">
        <v>2476</v>
      </c>
      <c r="P178" s="63"/>
      <c r="Q178" s="64">
        <v>33322</v>
      </c>
      <c r="R178" s="64">
        <v>46028</v>
      </c>
      <c r="S178" s="64">
        <v>46028</v>
      </c>
      <c r="T178" s="64">
        <v>46028</v>
      </c>
      <c r="U178" s="64" t="s">
        <v>76</v>
      </c>
      <c r="V178" s="64" t="s">
        <v>77</v>
      </c>
      <c r="W178" s="66">
        <f t="shared" ca="1" si="5"/>
        <v>35</v>
      </c>
      <c r="X17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8" s="64" t="s">
        <v>445</v>
      </c>
      <c r="Z178" s="64" t="s">
        <v>2477</v>
      </c>
      <c r="AA178" s="65" t="s">
        <v>101</v>
      </c>
      <c r="AB178" s="64" t="s">
        <v>102</v>
      </c>
      <c r="AC178" s="64" t="s">
        <v>103</v>
      </c>
      <c r="AD178" s="65" t="s">
        <v>1106</v>
      </c>
      <c r="AE178" s="64" t="s">
        <v>619</v>
      </c>
      <c r="AF178" s="64" t="s">
        <v>620</v>
      </c>
      <c r="AG178" s="64" t="s">
        <v>60</v>
      </c>
      <c r="AH178" s="156" t="s">
        <v>2478</v>
      </c>
      <c r="AI178" s="64">
        <v>46837</v>
      </c>
      <c r="AJ178" s="65" t="s">
        <v>66</v>
      </c>
      <c r="AK178" s="64" t="s">
        <v>2479</v>
      </c>
      <c r="AL178" s="64" t="s">
        <v>2480</v>
      </c>
      <c r="AM178" s="64" t="s">
        <v>2481</v>
      </c>
      <c r="AN178" s="64" t="s">
        <v>2482</v>
      </c>
      <c r="AO178" s="64" t="s">
        <v>66</v>
      </c>
      <c r="AP178" s="85" t="s">
        <v>2483</v>
      </c>
    </row>
    <row r="179" spans="1:42" ht="18.75">
      <c r="A179" s="139">
        <v>178</v>
      </c>
      <c r="B179" s="66" t="s">
        <v>2484</v>
      </c>
      <c r="C179" s="66" t="s">
        <v>2485</v>
      </c>
      <c r="D179" s="140"/>
      <c r="E179" s="66" t="s">
        <v>2485</v>
      </c>
      <c r="F179" s="66" t="s">
        <v>605</v>
      </c>
      <c r="G179" s="66" t="s">
        <v>2486</v>
      </c>
      <c r="H179" s="66" t="s">
        <v>46</v>
      </c>
      <c r="I179" s="71">
        <v>18</v>
      </c>
      <c r="J17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K179" s="71" t="s">
        <v>95</v>
      </c>
      <c r="L179" s="71" t="str">
        <f>IF(Table1[[#This Row],[LAST]]="","Unfilled","Filled")</f>
        <v>Filled</v>
      </c>
      <c r="M179" s="63" t="s">
        <v>2487</v>
      </c>
      <c r="N179" s="63" t="s">
        <v>2488</v>
      </c>
      <c r="O179" s="63" t="s">
        <v>2489</v>
      </c>
      <c r="P179" s="63"/>
      <c r="Q179" s="64">
        <v>35002</v>
      </c>
      <c r="R179" s="64">
        <v>45600</v>
      </c>
      <c r="S179" s="64">
        <v>45600</v>
      </c>
      <c r="T179" s="64">
        <v>45600</v>
      </c>
      <c r="U179" s="64" t="s">
        <v>76</v>
      </c>
      <c r="V179" s="64" t="s">
        <v>77</v>
      </c>
      <c r="W179" s="66">
        <f t="shared" ca="1" si="5"/>
        <v>30</v>
      </c>
      <c r="X17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79" s="64" t="s">
        <v>697</v>
      </c>
      <c r="Z179" s="156" t="s">
        <v>2490</v>
      </c>
      <c r="AA179" s="65" t="s">
        <v>2491</v>
      </c>
      <c r="AB179" s="64" t="s">
        <v>102</v>
      </c>
      <c r="AC179" s="64" t="s">
        <v>103</v>
      </c>
      <c r="AD179" s="65" t="s">
        <v>1106</v>
      </c>
      <c r="AE179" s="64" t="s">
        <v>639</v>
      </c>
      <c r="AF179" s="64" t="s">
        <v>2492</v>
      </c>
      <c r="AG179" s="64" t="s">
        <v>2493</v>
      </c>
      <c r="AH179" s="156" t="s">
        <v>2494</v>
      </c>
      <c r="AI179" s="64">
        <v>46325</v>
      </c>
      <c r="AJ179" s="65" t="s">
        <v>2495</v>
      </c>
      <c r="AK179" s="64" t="s">
        <v>2496</v>
      </c>
      <c r="AL179" s="64" t="s">
        <v>2497</v>
      </c>
      <c r="AM179" s="64" t="s">
        <v>2498</v>
      </c>
      <c r="AN179" s="64" t="s">
        <v>2499</v>
      </c>
      <c r="AO179" s="64" t="s">
        <v>2500</v>
      </c>
      <c r="AP179" s="85" t="s">
        <v>2501</v>
      </c>
    </row>
    <row r="180" spans="1:42" ht="18.75">
      <c r="A180" s="139">
        <v>179</v>
      </c>
      <c r="B180" s="66" t="s">
        <v>2502</v>
      </c>
      <c r="C180" s="66" t="s">
        <v>2503</v>
      </c>
      <c r="D180" s="77"/>
      <c r="E180" s="66" t="s">
        <v>2503</v>
      </c>
      <c r="F180" s="66" t="s">
        <v>473</v>
      </c>
      <c r="G180" s="66" t="s">
        <v>1100</v>
      </c>
      <c r="H180" s="66" t="s">
        <v>46</v>
      </c>
      <c r="I180" s="71">
        <v>15</v>
      </c>
      <c r="J18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0" s="71" t="s">
        <v>95</v>
      </c>
      <c r="L180" s="71" t="str">
        <f>IF(Table1[[#This Row],[LAST]]="","Unfilled","Filled")</f>
        <v>Unfilled</v>
      </c>
      <c r="M180" s="152"/>
      <c r="N180" s="152"/>
      <c r="O180" s="152" t="s">
        <v>2504</v>
      </c>
      <c r="P180" s="63"/>
      <c r="Q180" s="64"/>
      <c r="R180" s="64"/>
      <c r="S180" s="64"/>
      <c r="T180" s="64"/>
      <c r="U180" s="64"/>
      <c r="V180" s="64"/>
      <c r="W180" s="66"/>
      <c r="X180" s="66"/>
      <c r="Y180" s="64"/>
      <c r="Z180" s="64"/>
      <c r="AA180" s="65"/>
      <c r="AB180" s="64"/>
      <c r="AC180" s="64"/>
      <c r="AD180" s="65"/>
      <c r="AE180" s="64"/>
      <c r="AF180" s="64"/>
      <c r="AG180" s="64"/>
      <c r="AH180" s="64"/>
      <c r="AI180" s="64"/>
      <c r="AJ180" s="65"/>
      <c r="AK180" s="64"/>
      <c r="AL180" s="64"/>
      <c r="AM180" s="64"/>
      <c r="AN180" s="64"/>
      <c r="AO180" s="64"/>
      <c r="AP180" s="85"/>
    </row>
    <row r="181" spans="1:42" ht="18.75">
      <c r="A181" s="139">
        <v>180</v>
      </c>
      <c r="B181" s="66" t="s">
        <v>2505</v>
      </c>
      <c r="C181" s="66" t="s">
        <v>2503</v>
      </c>
      <c r="D181" s="140"/>
      <c r="E181" s="66" t="s">
        <v>2503</v>
      </c>
      <c r="F181" s="66" t="s">
        <v>473</v>
      </c>
      <c r="G181" s="66" t="s">
        <v>1100</v>
      </c>
      <c r="H181" s="66" t="s">
        <v>46</v>
      </c>
      <c r="I181" s="71">
        <v>15</v>
      </c>
      <c r="J18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1" s="71" t="s">
        <v>95</v>
      </c>
      <c r="L181" s="71" t="str">
        <f>IF(Table1[[#This Row],[LAST]]="","Unfilled","Filled")</f>
        <v>Filled</v>
      </c>
      <c r="M181" s="77" t="s">
        <v>2506</v>
      </c>
      <c r="N181" s="77" t="s">
        <v>2507</v>
      </c>
      <c r="O181" s="77" t="s">
        <v>2508</v>
      </c>
      <c r="P181" s="63"/>
      <c r="Q181" s="64">
        <v>28120</v>
      </c>
      <c r="R181" s="64">
        <v>45663</v>
      </c>
      <c r="S181" s="64">
        <v>45663</v>
      </c>
      <c r="T181" s="64">
        <v>45663</v>
      </c>
      <c r="U181" s="64" t="s">
        <v>51</v>
      </c>
      <c r="V181" s="64" t="s">
        <v>77</v>
      </c>
      <c r="W181" s="66">
        <f t="shared" ref="W181:W197" ca="1" si="6">DATEDIF(Q181,TODAY(),"Y")</f>
        <v>49</v>
      </c>
      <c r="X18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181" s="64" t="s">
        <v>154</v>
      </c>
      <c r="Z181" s="65" t="s">
        <v>2509</v>
      </c>
      <c r="AA181" s="65" t="s">
        <v>2510</v>
      </c>
      <c r="AB181" s="64" t="s">
        <v>138</v>
      </c>
      <c r="AC181" s="64" t="s">
        <v>103</v>
      </c>
      <c r="AD181" s="65" t="s">
        <v>1752</v>
      </c>
      <c r="AE181" s="64" t="s">
        <v>619</v>
      </c>
      <c r="AF181" s="64" t="s">
        <v>1107</v>
      </c>
      <c r="AG181" s="64" t="s">
        <v>60</v>
      </c>
      <c r="AH181" s="156" t="s">
        <v>2511</v>
      </c>
      <c r="AI181" s="64">
        <v>47113</v>
      </c>
      <c r="AJ181" s="65" t="s">
        <v>66</v>
      </c>
      <c r="AK181" s="64" t="s">
        <v>2512</v>
      </c>
      <c r="AL181" s="64" t="s">
        <v>2513</v>
      </c>
      <c r="AM181" s="64" t="s">
        <v>2514</v>
      </c>
      <c r="AN181" s="64" t="s">
        <v>2515</v>
      </c>
      <c r="AO181" s="64" t="s">
        <v>66</v>
      </c>
      <c r="AP181" s="85" t="s">
        <v>2516</v>
      </c>
    </row>
    <row r="182" spans="1:42" ht="18.75">
      <c r="A182" s="139">
        <v>181</v>
      </c>
      <c r="B182" s="66" t="s">
        <v>2517</v>
      </c>
      <c r="C182" s="66" t="s">
        <v>2518</v>
      </c>
      <c r="D182" s="66"/>
      <c r="E182" s="66" t="s">
        <v>2518</v>
      </c>
      <c r="F182" s="66" t="s">
        <v>938</v>
      </c>
      <c r="G182" s="66" t="s">
        <v>2519</v>
      </c>
      <c r="H182" s="66" t="s">
        <v>46</v>
      </c>
      <c r="I182" s="71">
        <v>15</v>
      </c>
      <c r="J18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2" s="71" t="s">
        <v>95</v>
      </c>
      <c r="L182" s="71" t="str">
        <f>IF(Table1[[#This Row],[LAST]]="","Unfilled","Filled")</f>
        <v>Filled</v>
      </c>
      <c r="M182" s="66" t="s">
        <v>2520</v>
      </c>
      <c r="N182" s="66" t="s">
        <v>215</v>
      </c>
      <c r="O182" s="66" t="s">
        <v>2521</v>
      </c>
      <c r="P182" s="63"/>
      <c r="Q182" s="64">
        <v>31922</v>
      </c>
      <c r="R182" s="64">
        <v>45278</v>
      </c>
      <c r="S182" s="64">
        <v>45278</v>
      </c>
      <c r="T182" s="64">
        <v>45278</v>
      </c>
      <c r="U182" s="64" t="s">
        <v>76</v>
      </c>
      <c r="V182" s="64" t="s">
        <v>52</v>
      </c>
      <c r="W182" s="66">
        <f t="shared" ca="1" si="6"/>
        <v>39</v>
      </c>
      <c r="X18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2" s="64" t="s">
        <v>154</v>
      </c>
      <c r="Z182" s="64" t="s">
        <v>2522</v>
      </c>
      <c r="AA182" s="65" t="s">
        <v>2523</v>
      </c>
      <c r="AB182" s="64" t="s">
        <v>190</v>
      </c>
      <c r="AC182" s="64" t="s">
        <v>103</v>
      </c>
      <c r="AD182" s="65">
        <v>4102</v>
      </c>
      <c r="AE182" s="64" t="s">
        <v>639</v>
      </c>
      <c r="AF182" s="64" t="s">
        <v>2524</v>
      </c>
      <c r="AG182" s="64" t="s">
        <v>641</v>
      </c>
      <c r="AH182" s="64" t="s">
        <v>66</v>
      </c>
      <c r="AI182" s="64" t="s">
        <v>66</v>
      </c>
      <c r="AJ182" s="65" t="s">
        <v>2525</v>
      </c>
      <c r="AK182" s="64" t="s">
        <v>2526</v>
      </c>
      <c r="AL182" s="64" t="s">
        <v>2527</v>
      </c>
      <c r="AM182" s="64" t="s">
        <v>2528</v>
      </c>
      <c r="AN182" s="64" t="s">
        <v>2529</v>
      </c>
      <c r="AO182" s="64" t="s">
        <v>2530</v>
      </c>
      <c r="AP182" s="64" t="s">
        <v>2531</v>
      </c>
    </row>
    <row r="183" spans="1:42" ht="18.75">
      <c r="A183" s="139">
        <v>182</v>
      </c>
      <c r="B183" s="66" t="s">
        <v>2532</v>
      </c>
      <c r="C183" s="66" t="s">
        <v>2533</v>
      </c>
      <c r="D183" s="66"/>
      <c r="E183" s="66" t="s">
        <v>2533</v>
      </c>
      <c r="F183" s="153" t="s">
        <v>2534</v>
      </c>
      <c r="G183" s="66" t="s">
        <v>2535</v>
      </c>
      <c r="H183" s="66" t="s">
        <v>632</v>
      </c>
      <c r="I183" s="71">
        <v>15</v>
      </c>
      <c r="J18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42178</v>
      </c>
      <c r="K183" s="71" t="s">
        <v>95</v>
      </c>
      <c r="L183" s="71" t="str">
        <f>IF(Table1[[#This Row],[LAST]]="","Unfilled","Filled")</f>
        <v>Filled</v>
      </c>
      <c r="M183" s="63" t="s">
        <v>1166</v>
      </c>
      <c r="N183" s="63" t="s">
        <v>2536</v>
      </c>
      <c r="O183" s="63" t="s">
        <v>2537</v>
      </c>
      <c r="P183" s="63"/>
      <c r="Q183" s="64">
        <v>33254</v>
      </c>
      <c r="R183" s="64">
        <v>44872</v>
      </c>
      <c r="S183" s="64">
        <v>44872</v>
      </c>
      <c r="T183" s="64">
        <v>45908</v>
      </c>
      <c r="U183" s="64" t="s">
        <v>51</v>
      </c>
      <c r="V183" s="64" t="s">
        <v>52</v>
      </c>
      <c r="W183" s="66">
        <f t="shared" ca="1" si="6"/>
        <v>35</v>
      </c>
      <c r="X18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3" s="64" t="s">
        <v>1557</v>
      </c>
      <c r="Z183" s="64" t="s">
        <v>2538</v>
      </c>
      <c r="AA183" s="65" t="s">
        <v>2539</v>
      </c>
      <c r="AB183" s="64" t="s">
        <v>102</v>
      </c>
      <c r="AC183" s="64" t="s">
        <v>103</v>
      </c>
      <c r="AD183" s="65">
        <v>4103</v>
      </c>
      <c r="AE183" s="64" t="s">
        <v>619</v>
      </c>
      <c r="AF183" s="64" t="s">
        <v>2540</v>
      </c>
      <c r="AG183" s="64" t="s">
        <v>641</v>
      </c>
      <c r="AH183" s="64" t="s">
        <v>66</v>
      </c>
      <c r="AI183" s="64" t="s">
        <v>66</v>
      </c>
      <c r="AJ183" s="65" t="s">
        <v>2541</v>
      </c>
      <c r="AK183" s="64" t="s">
        <v>2542</v>
      </c>
      <c r="AL183" s="64" t="s">
        <v>2543</v>
      </c>
      <c r="AM183" s="64" t="s">
        <v>2544</v>
      </c>
      <c r="AN183" s="64" t="s">
        <v>2545</v>
      </c>
      <c r="AO183" s="64" t="s">
        <v>66</v>
      </c>
      <c r="AP183" s="64" t="s">
        <v>2546</v>
      </c>
    </row>
    <row r="184" spans="1:42" ht="18.75">
      <c r="A184" s="139">
        <v>183</v>
      </c>
      <c r="B184" s="66" t="s">
        <v>2547</v>
      </c>
      <c r="C184" s="66" t="s">
        <v>2548</v>
      </c>
      <c r="D184" s="77"/>
      <c r="E184" s="66" t="s">
        <v>2549</v>
      </c>
      <c r="F184" s="66" t="s">
        <v>984</v>
      </c>
      <c r="G184" s="66" t="s">
        <v>631</v>
      </c>
      <c r="H184" s="66" t="s">
        <v>632</v>
      </c>
      <c r="I184" s="71">
        <v>14</v>
      </c>
      <c r="J18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38764</v>
      </c>
      <c r="K184" s="71" t="s">
        <v>95</v>
      </c>
      <c r="L184" s="71" t="str">
        <f>IF(Table1[[#This Row],[LAST]]="","Unfilled","Filled")</f>
        <v>Filled</v>
      </c>
      <c r="M184" s="66" t="s">
        <v>2550</v>
      </c>
      <c r="N184" s="66" t="s">
        <v>2551</v>
      </c>
      <c r="O184" s="66" t="s">
        <v>2552</v>
      </c>
      <c r="P184" s="63"/>
      <c r="Q184" s="64">
        <v>32309</v>
      </c>
      <c r="R184" s="64">
        <v>44697</v>
      </c>
      <c r="S184" s="64">
        <v>44697</v>
      </c>
      <c r="T184" s="64">
        <v>45453</v>
      </c>
      <c r="U184" s="64" t="s">
        <v>51</v>
      </c>
      <c r="V184" s="64" t="s">
        <v>77</v>
      </c>
      <c r="W184" s="66">
        <f t="shared" ca="1" si="6"/>
        <v>38</v>
      </c>
      <c r="X18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4" s="64" t="s">
        <v>1632</v>
      </c>
      <c r="Z184" s="64" t="s">
        <v>2553</v>
      </c>
      <c r="AA184" s="65" t="s">
        <v>2554</v>
      </c>
      <c r="AB184" s="64" t="s">
        <v>102</v>
      </c>
      <c r="AC184" s="64" t="s">
        <v>103</v>
      </c>
      <c r="AD184" s="65">
        <v>4103</v>
      </c>
      <c r="AE184" s="64" t="s">
        <v>619</v>
      </c>
      <c r="AF184" s="64" t="s">
        <v>2555</v>
      </c>
      <c r="AG184" s="64" t="s">
        <v>641</v>
      </c>
      <c r="AH184" s="64" t="s">
        <v>66</v>
      </c>
      <c r="AI184" s="64" t="s">
        <v>66</v>
      </c>
      <c r="AJ184" s="65" t="s">
        <v>2556</v>
      </c>
      <c r="AK184" s="64" t="s">
        <v>2557</v>
      </c>
      <c r="AL184" s="64" t="s">
        <v>2558</v>
      </c>
      <c r="AM184" s="64" t="s">
        <v>2559</v>
      </c>
      <c r="AN184" s="64" t="s">
        <v>2560</v>
      </c>
      <c r="AO184" s="64" t="s">
        <v>66</v>
      </c>
      <c r="AP184" s="64" t="s">
        <v>2561</v>
      </c>
    </row>
    <row r="185" spans="1:42" ht="18.75">
      <c r="A185" s="139">
        <v>184</v>
      </c>
      <c r="B185" s="66" t="s">
        <v>2562</v>
      </c>
      <c r="C185" s="66" t="s">
        <v>2563</v>
      </c>
      <c r="D185" s="66"/>
      <c r="E185" s="66" t="s">
        <v>2563</v>
      </c>
      <c r="F185" s="66" t="s">
        <v>605</v>
      </c>
      <c r="G185" s="66" t="s">
        <v>2564</v>
      </c>
      <c r="H185" s="66" t="s">
        <v>46</v>
      </c>
      <c r="I185" s="71">
        <v>14</v>
      </c>
      <c r="J18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38764</v>
      </c>
      <c r="K185" s="71" t="s">
        <v>95</v>
      </c>
      <c r="L185" s="71" t="str">
        <f>IF(Table1[[#This Row],[LAST]]="","Unfilled","Filled")</f>
        <v>Filled</v>
      </c>
      <c r="M185" s="63" t="s">
        <v>2565</v>
      </c>
      <c r="N185" s="63" t="s">
        <v>2566</v>
      </c>
      <c r="O185" s="63" t="s">
        <v>2567</v>
      </c>
      <c r="P185" s="63"/>
      <c r="Q185" s="64">
        <v>33187</v>
      </c>
      <c r="R185" s="64">
        <v>44874</v>
      </c>
      <c r="S185" s="64">
        <v>44874</v>
      </c>
      <c r="T185" s="64">
        <v>44874</v>
      </c>
      <c r="U185" s="64" t="s">
        <v>51</v>
      </c>
      <c r="V185" s="64" t="s">
        <v>52</v>
      </c>
      <c r="W185" s="66">
        <f t="shared" ca="1" si="6"/>
        <v>35</v>
      </c>
      <c r="X18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5" s="64" t="s">
        <v>1465</v>
      </c>
      <c r="Z185" s="64" t="s">
        <v>2568</v>
      </c>
      <c r="AA185" s="65" t="s">
        <v>1799</v>
      </c>
      <c r="AB185" s="64" t="s">
        <v>102</v>
      </c>
      <c r="AC185" s="64" t="s">
        <v>103</v>
      </c>
      <c r="AD185" s="65">
        <v>4104</v>
      </c>
      <c r="AE185" s="64" t="s">
        <v>619</v>
      </c>
      <c r="AF185" s="64" t="s">
        <v>2569</v>
      </c>
      <c r="AG185" s="64" t="s">
        <v>60</v>
      </c>
      <c r="AH185" s="64" t="s">
        <v>2570</v>
      </c>
      <c r="AI185" s="64">
        <v>46306</v>
      </c>
      <c r="AJ185" s="65" t="s">
        <v>2571</v>
      </c>
      <c r="AK185" s="64" t="s">
        <v>2572</v>
      </c>
      <c r="AL185" s="64" t="s">
        <v>2573</v>
      </c>
      <c r="AM185" s="64" t="s">
        <v>2574</v>
      </c>
      <c r="AN185" s="64" t="s">
        <v>2575</v>
      </c>
      <c r="AO185" s="64" t="s">
        <v>2576</v>
      </c>
      <c r="AP185" s="64" t="s">
        <v>2577</v>
      </c>
    </row>
    <row r="186" spans="1:42" ht="18.75">
      <c r="A186" s="139">
        <v>185</v>
      </c>
      <c r="B186" s="66" t="s">
        <v>2578</v>
      </c>
      <c r="C186" s="66" t="s">
        <v>2579</v>
      </c>
      <c r="D186" s="66"/>
      <c r="E186" s="66" t="s">
        <v>2579</v>
      </c>
      <c r="F186" s="66" t="s">
        <v>2580</v>
      </c>
      <c r="G186" s="66" t="s">
        <v>2581</v>
      </c>
      <c r="H186" s="66" t="s">
        <v>46</v>
      </c>
      <c r="I186" s="71">
        <v>14</v>
      </c>
      <c r="J18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38764</v>
      </c>
      <c r="K186" s="71" t="s">
        <v>95</v>
      </c>
      <c r="L186" s="71" t="str">
        <f>IF(Table1[[#This Row],[LAST]]="","Unfilled","Filled")</f>
        <v>Filled</v>
      </c>
      <c r="M186" s="63" t="s">
        <v>2582</v>
      </c>
      <c r="N186" s="63" t="s">
        <v>2583</v>
      </c>
      <c r="O186" s="63" t="s">
        <v>2584</v>
      </c>
      <c r="P186" s="63"/>
      <c r="Q186" s="64">
        <v>27224</v>
      </c>
      <c r="R186" s="64">
        <v>44874</v>
      </c>
      <c r="S186" s="64">
        <v>44874</v>
      </c>
      <c r="T186" s="64">
        <v>44874</v>
      </c>
      <c r="U186" s="64" t="s">
        <v>51</v>
      </c>
      <c r="V186" s="64" t="s">
        <v>52</v>
      </c>
      <c r="W186" s="66">
        <f t="shared" ca="1" si="6"/>
        <v>52</v>
      </c>
      <c r="X18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186" s="64" t="s">
        <v>2585</v>
      </c>
      <c r="Z186" s="64" t="s">
        <v>2586</v>
      </c>
      <c r="AA186" s="65" t="s">
        <v>684</v>
      </c>
      <c r="AB186" s="64" t="s">
        <v>81</v>
      </c>
      <c r="AC186" s="64" t="s">
        <v>82</v>
      </c>
      <c r="AD186" s="65">
        <v>1740</v>
      </c>
      <c r="AE186" s="64" t="s">
        <v>619</v>
      </c>
      <c r="AF186" s="64" t="s">
        <v>2587</v>
      </c>
      <c r="AG186" s="64" t="s">
        <v>60</v>
      </c>
      <c r="AH186" s="64" t="s">
        <v>2588</v>
      </c>
      <c r="AI186" s="64">
        <v>45852</v>
      </c>
      <c r="AJ186" s="65" t="s">
        <v>2589</v>
      </c>
      <c r="AK186" s="64" t="s">
        <v>2590</v>
      </c>
      <c r="AL186" s="64" t="s">
        <v>2591</v>
      </c>
      <c r="AM186" s="64" t="s">
        <v>2592</v>
      </c>
      <c r="AN186" s="64" t="s">
        <v>2593</v>
      </c>
      <c r="AO186" s="64" t="s">
        <v>66</v>
      </c>
      <c r="AP186" s="64" t="s">
        <v>2594</v>
      </c>
    </row>
    <row r="187" spans="1:42" ht="18.75">
      <c r="A187" s="139">
        <v>186</v>
      </c>
      <c r="B187" s="66" t="s">
        <v>2595</v>
      </c>
      <c r="C187" s="66" t="s">
        <v>2596</v>
      </c>
      <c r="D187" s="66"/>
      <c r="E187" s="66" t="s">
        <v>2597</v>
      </c>
      <c r="F187" s="66" t="s">
        <v>1017</v>
      </c>
      <c r="G187" s="66" t="s">
        <v>631</v>
      </c>
      <c r="H187" s="66" t="s">
        <v>632</v>
      </c>
      <c r="I187" s="71">
        <v>11</v>
      </c>
      <c r="J18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87" s="71" t="s">
        <v>95</v>
      </c>
      <c r="L187" s="71" t="str">
        <f>IF(Table1[[#This Row],[LAST]]="","Unfilled","Filled")</f>
        <v>Filled</v>
      </c>
      <c r="M187" s="66" t="s">
        <v>117</v>
      </c>
      <c r="N187" s="66" t="s">
        <v>2598</v>
      </c>
      <c r="O187" s="66" t="s">
        <v>2599</v>
      </c>
      <c r="P187" s="63"/>
      <c r="Q187" s="64">
        <v>35003</v>
      </c>
      <c r="R187" s="64">
        <v>44319</v>
      </c>
      <c r="S187" s="64">
        <v>44319</v>
      </c>
      <c r="T187" s="64">
        <v>45079</v>
      </c>
      <c r="U187" s="64" t="s">
        <v>51</v>
      </c>
      <c r="V187" s="64" t="s">
        <v>52</v>
      </c>
      <c r="W187" s="66">
        <f t="shared" ca="1" si="6"/>
        <v>30</v>
      </c>
      <c r="X18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7" s="64" t="s">
        <v>2600</v>
      </c>
      <c r="Z187" s="64" t="s">
        <v>2601</v>
      </c>
      <c r="AA187" s="65" t="s">
        <v>492</v>
      </c>
      <c r="AB187" s="64" t="s">
        <v>190</v>
      </c>
      <c r="AC187" s="64" t="s">
        <v>103</v>
      </c>
      <c r="AD187" s="65">
        <v>4102</v>
      </c>
      <c r="AE187" s="64" t="s">
        <v>619</v>
      </c>
      <c r="AF187" s="64" t="s">
        <v>2602</v>
      </c>
      <c r="AG187" s="64" t="s">
        <v>60</v>
      </c>
      <c r="AH187" s="64" t="s">
        <v>2603</v>
      </c>
      <c r="AI187" s="64">
        <v>46326</v>
      </c>
      <c r="AJ187" s="65" t="s">
        <v>2604</v>
      </c>
      <c r="AK187" s="64" t="s">
        <v>2605</v>
      </c>
      <c r="AL187" s="64" t="s">
        <v>2606</v>
      </c>
      <c r="AM187" s="64" t="s">
        <v>2607</v>
      </c>
      <c r="AN187" s="64" t="s">
        <v>2608</v>
      </c>
      <c r="AO187" s="64" t="s">
        <v>66</v>
      </c>
      <c r="AP187" s="64" t="s">
        <v>2609</v>
      </c>
    </row>
    <row r="188" spans="1:42" ht="18.75">
      <c r="A188" s="139">
        <v>187</v>
      </c>
      <c r="B188" s="66" t="s">
        <v>2610</v>
      </c>
      <c r="C188" s="66" t="s">
        <v>2611</v>
      </c>
      <c r="D188" s="66"/>
      <c r="E188" s="66" t="s">
        <v>2597</v>
      </c>
      <c r="F188" s="66" t="s">
        <v>1017</v>
      </c>
      <c r="G188" s="66" t="s">
        <v>631</v>
      </c>
      <c r="H188" s="66" t="s">
        <v>632</v>
      </c>
      <c r="I188" s="71">
        <v>11</v>
      </c>
      <c r="J18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88" s="71" t="s">
        <v>95</v>
      </c>
      <c r="L188" s="71" t="str">
        <f>IF(Table1[[#This Row],[LAST]]="","Unfilled","Filled")</f>
        <v>Filled</v>
      </c>
      <c r="M188" s="66" t="s">
        <v>2612</v>
      </c>
      <c r="N188" s="66" t="s">
        <v>2613</v>
      </c>
      <c r="O188" s="66" t="s">
        <v>2614</v>
      </c>
      <c r="P188" s="63"/>
      <c r="Q188" s="64">
        <v>34255</v>
      </c>
      <c r="R188" s="64">
        <v>44644</v>
      </c>
      <c r="S188" s="64">
        <v>44655</v>
      </c>
      <c r="T188" s="64">
        <v>44655</v>
      </c>
      <c r="U188" s="64" t="s">
        <v>76</v>
      </c>
      <c r="V188" s="64" t="s">
        <v>77</v>
      </c>
      <c r="W188" s="66">
        <f t="shared" ca="1" si="6"/>
        <v>32</v>
      </c>
      <c r="X18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8" s="64" t="s">
        <v>154</v>
      </c>
      <c r="Z188" s="64" t="s">
        <v>2615</v>
      </c>
      <c r="AA188" s="65" t="s">
        <v>2616</v>
      </c>
      <c r="AB188" s="64" t="s">
        <v>377</v>
      </c>
      <c r="AC188" s="64" t="s">
        <v>82</v>
      </c>
      <c r="AD188" s="65">
        <v>1425</v>
      </c>
      <c r="AE188" s="64" t="s">
        <v>619</v>
      </c>
      <c r="AF188" s="64" t="s">
        <v>2602</v>
      </c>
      <c r="AG188" s="64" t="s">
        <v>60</v>
      </c>
      <c r="AH188" s="64" t="s">
        <v>2617</v>
      </c>
      <c r="AI188" s="64">
        <v>45943</v>
      </c>
      <c r="AJ188" s="65" t="s">
        <v>2618</v>
      </c>
      <c r="AK188" s="64" t="s">
        <v>2619</v>
      </c>
      <c r="AL188" s="64" t="s">
        <v>2620</v>
      </c>
      <c r="AM188" s="64" t="s">
        <v>2621</v>
      </c>
      <c r="AN188" s="64" t="s">
        <v>2622</v>
      </c>
      <c r="AO188" s="64" t="s">
        <v>66</v>
      </c>
      <c r="AP188" s="64" t="s">
        <v>2623</v>
      </c>
    </row>
    <row r="189" spans="1:42" ht="18.75">
      <c r="A189" s="139">
        <v>188</v>
      </c>
      <c r="B189" s="66" t="s">
        <v>2624</v>
      </c>
      <c r="C189" s="66" t="s">
        <v>2625</v>
      </c>
      <c r="D189" s="66"/>
      <c r="E189" s="66" t="s">
        <v>2597</v>
      </c>
      <c r="F189" s="66" t="s">
        <v>954</v>
      </c>
      <c r="G189" s="66" t="s">
        <v>631</v>
      </c>
      <c r="H189" s="66" t="s">
        <v>632</v>
      </c>
      <c r="I189" s="71">
        <v>11</v>
      </c>
      <c r="J18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89" s="71" t="s">
        <v>95</v>
      </c>
      <c r="L189" s="71" t="str">
        <f>IF(Table1[[#This Row],[LAST]]="","Unfilled","Filled")</f>
        <v>Filled</v>
      </c>
      <c r="M189" s="63" t="s">
        <v>2626</v>
      </c>
      <c r="N189" s="66" t="s">
        <v>2627</v>
      </c>
      <c r="O189" s="66" t="s">
        <v>2628</v>
      </c>
      <c r="P189" s="63"/>
      <c r="Q189" s="64">
        <v>33617</v>
      </c>
      <c r="R189" s="64">
        <v>45293</v>
      </c>
      <c r="S189" s="64">
        <v>45293</v>
      </c>
      <c r="T189" s="64">
        <v>45293</v>
      </c>
      <c r="U189" s="64" t="s">
        <v>76</v>
      </c>
      <c r="V189" s="64" t="s">
        <v>77</v>
      </c>
      <c r="W189" s="66">
        <f t="shared" ca="1" si="6"/>
        <v>34</v>
      </c>
      <c r="X18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89" s="64" t="s">
        <v>2629</v>
      </c>
      <c r="Z189" s="64" t="s">
        <v>2630</v>
      </c>
      <c r="AA189" s="65" t="s">
        <v>2204</v>
      </c>
      <c r="AB189" s="64" t="s">
        <v>102</v>
      </c>
      <c r="AC189" s="64" t="s">
        <v>103</v>
      </c>
      <c r="AD189" s="65" t="s">
        <v>1106</v>
      </c>
      <c r="AE189" s="64" t="s">
        <v>639</v>
      </c>
      <c r="AF189" s="64" t="s">
        <v>2631</v>
      </c>
      <c r="AG189" s="64" t="s">
        <v>641</v>
      </c>
      <c r="AH189" s="64" t="s">
        <v>66</v>
      </c>
      <c r="AI189" s="64" t="s">
        <v>66</v>
      </c>
      <c r="AJ189" s="65" t="s">
        <v>2632</v>
      </c>
      <c r="AK189" s="64" t="s">
        <v>2633</v>
      </c>
      <c r="AL189" s="64" t="s">
        <v>2634</v>
      </c>
      <c r="AM189" s="64" t="s">
        <v>2635</v>
      </c>
      <c r="AN189" s="64" t="s">
        <v>2636</v>
      </c>
      <c r="AO189" s="64" t="s">
        <v>66</v>
      </c>
      <c r="AP189" s="85" t="s">
        <v>2637</v>
      </c>
    </row>
    <row r="190" spans="1:42" ht="18.75">
      <c r="A190" s="139">
        <v>189</v>
      </c>
      <c r="B190" s="66" t="s">
        <v>2638</v>
      </c>
      <c r="C190" s="66" t="s">
        <v>2639</v>
      </c>
      <c r="D190" s="66"/>
      <c r="E190" s="66" t="s">
        <v>2639</v>
      </c>
      <c r="F190" s="66" t="s">
        <v>2534</v>
      </c>
      <c r="G190" s="66" t="s">
        <v>2535</v>
      </c>
      <c r="H190" s="66" t="s">
        <v>632</v>
      </c>
      <c r="I190" s="71">
        <v>11</v>
      </c>
      <c r="J19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0" s="71" t="s">
        <v>95</v>
      </c>
      <c r="L190" s="71" t="str">
        <f>IF(Table1[[#This Row],[LAST]]="","Unfilled","Filled")</f>
        <v>Filled</v>
      </c>
      <c r="M190" s="63" t="s">
        <v>2640</v>
      </c>
      <c r="N190" s="63" t="s">
        <v>2641</v>
      </c>
      <c r="O190" s="63" t="s">
        <v>2642</v>
      </c>
      <c r="P190" s="63"/>
      <c r="Q190" s="64">
        <v>32006</v>
      </c>
      <c r="R190" s="64">
        <v>43832</v>
      </c>
      <c r="S190" s="64">
        <v>46052</v>
      </c>
      <c r="T190" s="64">
        <v>46052</v>
      </c>
      <c r="U190" s="64" t="s">
        <v>51</v>
      </c>
      <c r="V190" s="64" t="s">
        <v>52</v>
      </c>
      <c r="W190" s="66">
        <f t="shared" ca="1" si="6"/>
        <v>39</v>
      </c>
      <c r="X19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0" s="64" t="s">
        <v>154</v>
      </c>
      <c r="Z190" s="64" t="s">
        <v>2643</v>
      </c>
      <c r="AA190" s="65" t="s">
        <v>2616</v>
      </c>
      <c r="AB190" s="64" t="s">
        <v>219</v>
      </c>
      <c r="AC190" s="64" t="s">
        <v>57</v>
      </c>
      <c r="AD190" s="65" t="s">
        <v>2644</v>
      </c>
      <c r="AE190" s="64" t="s">
        <v>619</v>
      </c>
      <c r="AF190" s="64" t="s">
        <v>2645</v>
      </c>
      <c r="AG190" s="64" t="s">
        <v>641</v>
      </c>
      <c r="AH190" s="64" t="s">
        <v>66</v>
      </c>
      <c r="AI190" s="64" t="s">
        <v>66</v>
      </c>
      <c r="AJ190" s="65" t="s">
        <v>2646</v>
      </c>
      <c r="AK190" s="64" t="s">
        <v>2647</v>
      </c>
      <c r="AL190" s="64" t="s">
        <v>2648</v>
      </c>
      <c r="AM190" s="64" t="s">
        <v>2649</v>
      </c>
      <c r="AN190" s="64" t="s">
        <v>2650</v>
      </c>
      <c r="AO190" s="64" t="s">
        <v>66</v>
      </c>
      <c r="AP190" s="85" t="s">
        <v>2651</v>
      </c>
    </row>
    <row r="191" spans="1:42" ht="18.75">
      <c r="A191" s="139">
        <v>190</v>
      </c>
      <c r="B191" s="66" t="s">
        <v>2652</v>
      </c>
      <c r="C191" s="66" t="s">
        <v>2653</v>
      </c>
      <c r="D191" s="66"/>
      <c r="E191" s="66" t="s">
        <v>2653</v>
      </c>
      <c r="F191" s="66" t="s">
        <v>165</v>
      </c>
      <c r="G191" s="66" t="s">
        <v>1035</v>
      </c>
      <c r="H191" s="66" t="s">
        <v>46</v>
      </c>
      <c r="I191" s="71">
        <v>11</v>
      </c>
      <c r="J19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1" s="71" t="s">
        <v>95</v>
      </c>
      <c r="L191" s="71" t="str">
        <f>IF(Table1[[#This Row],[LAST]]="","Unfilled","Filled")</f>
        <v>Filled</v>
      </c>
      <c r="M191" s="66" t="s">
        <v>2654</v>
      </c>
      <c r="N191" s="66" t="s">
        <v>2655</v>
      </c>
      <c r="O191" s="66" t="s">
        <v>1490</v>
      </c>
      <c r="P191" s="63"/>
      <c r="Q191" s="64">
        <v>35663</v>
      </c>
      <c r="R191" s="64">
        <v>45992</v>
      </c>
      <c r="S191" s="64">
        <v>45992</v>
      </c>
      <c r="T191" s="64">
        <v>45992</v>
      </c>
      <c r="U191" s="64" t="s">
        <v>76</v>
      </c>
      <c r="V191" s="64" t="s">
        <v>77</v>
      </c>
      <c r="W191" s="66">
        <f t="shared" ca="1" si="6"/>
        <v>28</v>
      </c>
      <c r="X19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1" s="64" t="s">
        <v>1557</v>
      </c>
      <c r="Z191" s="64" t="s">
        <v>2656</v>
      </c>
      <c r="AA191" s="65" t="s">
        <v>728</v>
      </c>
      <c r="AB191" s="64" t="s">
        <v>190</v>
      </c>
      <c r="AC191" s="64" t="s">
        <v>103</v>
      </c>
      <c r="AD191" s="65" t="s">
        <v>656</v>
      </c>
      <c r="AE191" s="64" t="s">
        <v>619</v>
      </c>
      <c r="AF191" s="64" t="s">
        <v>1040</v>
      </c>
      <c r="AG191" s="64" t="s">
        <v>60</v>
      </c>
      <c r="AH191" s="156" t="s">
        <v>2657</v>
      </c>
      <c r="AI191" s="64">
        <v>46986</v>
      </c>
      <c r="AJ191" s="65" t="s">
        <v>2658</v>
      </c>
      <c r="AK191" s="64" t="s">
        <v>2659</v>
      </c>
      <c r="AL191" s="64" t="s">
        <v>2660</v>
      </c>
      <c r="AM191" s="64" t="s">
        <v>2661</v>
      </c>
      <c r="AN191" s="156" t="s">
        <v>2662</v>
      </c>
      <c r="AO191" s="64" t="s">
        <v>66</v>
      </c>
      <c r="AP191" s="85" t="s">
        <v>2663</v>
      </c>
    </row>
    <row r="192" spans="1:42" ht="18.75">
      <c r="A192" s="139">
        <v>191</v>
      </c>
      <c r="B192" s="66" t="s">
        <v>2664</v>
      </c>
      <c r="C192" s="66" t="s">
        <v>2653</v>
      </c>
      <c r="D192" s="66"/>
      <c r="E192" s="66" t="s">
        <v>2653</v>
      </c>
      <c r="F192" s="66" t="s">
        <v>165</v>
      </c>
      <c r="G192" s="66" t="s">
        <v>1035</v>
      </c>
      <c r="H192" s="66" t="s">
        <v>46</v>
      </c>
      <c r="I192" s="71">
        <v>11</v>
      </c>
      <c r="J19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2" s="71" t="s">
        <v>95</v>
      </c>
      <c r="L192" s="71" t="str">
        <f>IF(Table1[[#This Row],[LAST]]="","Unfilled","Filled")</f>
        <v>Filled</v>
      </c>
      <c r="M192" s="66" t="s">
        <v>2665</v>
      </c>
      <c r="N192" s="66" t="s">
        <v>2666</v>
      </c>
      <c r="O192" s="66" t="s">
        <v>2667</v>
      </c>
      <c r="P192" s="63"/>
      <c r="Q192" s="64">
        <v>36020</v>
      </c>
      <c r="R192" s="64">
        <v>45992</v>
      </c>
      <c r="S192" s="64">
        <v>45992</v>
      </c>
      <c r="T192" s="64">
        <v>45992</v>
      </c>
      <c r="U192" s="64" t="s">
        <v>76</v>
      </c>
      <c r="V192" s="64" t="s">
        <v>77</v>
      </c>
      <c r="W192" s="66">
        <f t="shared" ca="1" si="6"/>
        <v>28</v>
      </c>
      <c r="X19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2" s="64" t="s">
        <v>616</v>
      </c>
      <c r="Z192" s="64" t="s">
        <v>2668</v>
      </c>
      <c r="AA192" s="65" t="s">
        <v>2669</v>
      </c>
      <c r="AB192" s="64" t="s">
        <v>2347</v>
      </c>
      <c r="AC192" s="64" t="s">
        <v>103</v>
      </c>
      <c r="AD192" s="65" t="s">
        <v>2348</v>
      </c>
      <c r="AE192" s="64" t="s">
        <v>619</v>
      </c>
      <c r="AF192" s="64" t="s">
        <v>1040</v>
      </c>
      <c r="AG192" s="64" t="s">
        <v>60</v>
      </c>
      <c r="AH192" s="156" t="s">
        <v>2670</v>
      </c>
      <c r="AI192" s="64">
        <v>46978</v>
      </c>
      <c r="AJ192" s="65" t="s">
        <v>2671</v>
      </c>
      <c r="AK192" s="64" t="s">
        <v>2672</v>
      </c>
      <c r="AL192" s="64" t="s">
        <v>2673</v>
      </c>
      <c r="AM192" s="64" t="s">
        <v>2674</v>
      </c>
      <c r="AN192" s="64" t="s">
        <v>2675</v>
      </c>
      <c r="AO192" s="156" t="s">
        <v>66</v>
      </c>
      <c r="AP192" s="85" t="s">
        <v>2676</v>
      </c>
    </row>
    <row r="193" spans="1:42" ht="18.75">
      <c r="A193" s="139">
        <v>192</v>
      </c>
      <c r="B193" s="66" t="s">
        <v>2677</v>
      </c>
      <c r="C193" s="66" t="s">
        <v>2653</v>
      </c>
      <c r="D193" s="66"/>
      <c r="E193" s="66" t="s">
        <v>2653</v>
      </c>
      <c r="F193" s="66" t="s">
        <v>165</v>
      </c>
      <c r="G193" s="66" t="s">
        <v>1035</v>
      </c>
      <c r="H193" s="66" t="s">
        <v>46</v>
      </c>
      <c r="I193" s="71">
        <v>11</v>
      </c>
      <c r="J19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3" s="71" t="s">
        <v>95</v>
      </c>
      <c r="L193" s="71" t="str">
        <f>IF(Table1[[#This Row],[LAST]]="","Unfilled","Filled")</f>
        <v>Filled</v>
      </c>
      <c r="M193" s="66" t="s">
        <v>2678</v>
      </c>
      <c r="N193" s="66" t="s">
        <v>2679</v>
      </c>
      <c r="O193" s="66" t="s">
        <v>2680</v>
      </c>
      <c r="P193" s="63"/>
      <c r="Q193" s="64">
        <v>35551</v>
      </c>
      <c r="R193" s="64">
        <v>45992</v>
      </c>
      <c r="S193" s="64">
        <v>45992</v>
      </c>
      <c r="T193" s="64">
        <v>45992</v>
      </c>
      <c r="U193" s="64" t="s">
        <v>76</v>
      </c>
      <c r="V193" s="64" t="s">
        <v>77</v>
      </c>
      <c r="W193" s="66">
        <f t="shared" ca="1" si="6"/>
        <v>29</v>
      </c>
      <c r="X19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193" s="64" t="s">
        <v>284</v>
      </c>
      <c r="Z193" s="64" t="s">
        <v>2681</v>
      </c>
      <c r="AA193" s="65" t="s">
        <v>2682</v>
      </c>
      <c r="AB193" s="64" t="s">
        <v>190</v>
      </c>
      <c r="AC193" s="64" t="s">
        <v>103</v>
      </c>
      <c r="AD193" s="65" t="s">
        <v>656</v>
      </c>
      <c r="AE193" s="64" t="s">
        <v>619</v>
      </c>
      <c r="AF193" s="64" t="s">
        <v>1040</v>
      </c>
      <c r="AG193" s="64" t="s">
        <v>60</v>
      </c>
      <c r="AH193" s="156" t="s">
        <v>2683</v>
      </c>
      <c r="AI193" s="64">
        <v>46508</v>
      </c>
      <c r="AJ193" s="65" t="s">
        <v>2684</v>
      </c>
      <c r="AK193" s="64" t="s">
        <v>2685</v>
      </c>
      <c r="AL193" s="64" t="s">
        <v>2686</v>
      </c>
      <c r="AM193" s="64" t="s">
        <v>2687</v>
      </c>
      <c r="AN193" s="64" t="s">
        <v>2688</v>
      </c>
      <c r="AO193" s="64" t="s">
        <v>66</v>
      </c>
      <c r="AP193" s="85" t="s">
        <v>2689</v>
      </c>
    </row>
    <row r="194" spans="1:42" ht="18.75">
      <c r="A194" s="139">
        <v>193</v>
      </c>
      <c r="B194" s="66" t="s">
        <v>2690</v>
      </c>
      <c r="C194" s="66" t="s">
        <v>2653</v>
      </c>
      <c r="D194" s="66"/>
      <c r="E194" s="66" t="s">
        <v>2653</v>
      </c>
      <c r="F194" s="66" t="s">
        <v>165</v>
      </c>
      <c r="G194" s="66" t="s">
        <v>1035</v>
      </c>
      <c r="H194" s="66" t="s">
        <v>46</v>
      </c>
      <c r="I194" s="71">
        <v>11</v>
      </c>
      <c r="J19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4" s="71" t="s">
        <v>95</v>
      </c>
      <c r="L194" s="71" t="str">
        <f>IF(Table1[[#This Row],[LAST]]="","Unfilled","Filled")</f>
        <v>Filled</v>
      </c>
      <c r="M194" s="66" t="s">
        <v>2691</v>
      </c>
      <c r="N194" s="66" t="s">
        <v>2692</v>
      </c>
      <c r="O194" s="66" t="s">
        <v>2693</v>
      </c>
      <c r="P194" s="63"/>
      <c r="Q194" s="64">
        <v>34984</v>
      </c>
      <c r="R194" s="64">
        <v>45992</v>
      </c>
      <c r="S194" s="64">
        <v>45992</v>
      </c>
      <c r="T194" s="64">
        <v>45992</v>
      </c>
      <c r="U194" s="64" t="s">
        <v>76</v>
      </c>
      <c r="V194" s="64" t="s">
        <v>77</v>
      </c>
      <c r="W194" s="66">
        <f t="shared" ca="1" si="6"/>
        <v>30</v>
      </c>
      <c r="X19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4" s="64" t="s">
        <v>81</v>
      </c>
      <c r="Z194" s="64" t="s">
        <v>2694</v>
      </c>
      <c r="AA194" s="65" t="s">
        <v>1711</v>
      </c>
      <c r="AB194" s="64" t="s">
        <v>190</v>
      </c>
      <c r="AC194" s="64" t="s">
        <v>103</v>
      </c>
      <c r="AD194" s="65" t="s">
        <v>656</v>
      </c>
      <c r="AE194" s="64" t="s">
        <v>619</v>
      </c>
      <c r="AF194" s="64" t="s">
        <v>1040</v>
      </c>
      <c r="AG194" s="64" t="s">
        <v>60</v>
      </c>
      <c r="AH194" s="156" t="s">
        <v>2695</v>
      </c>
      <c r="AI194" s="64">
        <v>46307</v>
      </c>
      <c r="AJ194" s="65" t="s">
        <v>2696</v>
      </c>
      <c r="AK194" s="64" t="s">
        <v>2697</v>
      </c>
      <c r="AL194" s="64" t="s">
        <v>2698</v>
      </c>
      <c r="AM194" s="64" t="s">
        <v>2699</v>
      </c>
      <c r="AN194" s="64" t="s">
        <v>2700</v>
      </c>
      <c r="AO194" s="64" t="s">
        <v>2701</v>
      </c>
      <c r="AP194" s="85" t="s">
        <v>2702</v>
      </c>
    </row>
    <row r="195" spans="1:42" ht="18.75">
      <c r="A195" s="139">
        <v>194</v>
      </c>
      <c r="B195" s="66" t="s">
        <v>2703</v>
      </c>
      <c r="C195" s="66" t="s">
        <v>2653</v>
      </c>
      <c r="D195" s="66"/>
      <c r="E195" s="66" t="s">
        <v>2653</v>
      </c>
      <c r="F195" s="66" t="s">
        <v>165</v>
      </c>
      <c r="G195" s="66" t="s">
        <v>1035</v>
      </c>
      <c r="H195" s="66" t="s">
        <v>46</v>
      </c>
      <c r="I195" s="71">
        <v>11</v>
      </c>
      <c r="J19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5" s="71" t="s">
        <v>95</v>
      </c>
      <c r="L195" s="71" t="str">
        <f>IF(Table1[[#This Row],[LAST]]="","Unfilled","Filled")</f>
        <v>Filled</v>
      </c>
      <c r="M195" s="66" t="s">
        <v>2704</v>
      </c>
      <c r="N195" s="66" t="s">
        <v>2705</v>
      </c>
      <c r="O195" s="66" t="s">
        <v>2706</v>
      </c>
      <c r="P195" s="63"/>
      <c r="Q195" s="64">
        <v>35245</v>
      </c>
      <c r="R195" s="64">
        <v>46006</v>
      </c>
      <c r="S195" s="64">
        <v>46006</v>
      </c>
      <c r="T195" s="64">
        <v>46006</v>
      </c>
      <c r="U195" s="64" t="s">
        <v>76</v>
      </c>
      <c r="V195" s="64" t="s">
        <v>52</v>
      </c>
      <c r="W195" s="66">
        <f t="shared" ca="1" si="6"/>
        <v>30</v>
      </c>
      <c r="X19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5" s="64" t="s">
        <v>154</v>
      </c>
      <c r="Z195" s="64" t="s">
        <v>2707</v>
      </c>
      <c r="AA195" s="65" t="s">
        <v>2708</v>
      </c>
      <c r="AB195" s="64" t="s">
        <v>102</v>
      </c>
      <c r="AC195" s="64" t="s">
        <v>103</v>
      </c>
      <c r="AD195" s="65" t="s">
        <v>1106</v>
      </c>
      <c r="AE195" s="64" t="s">
        <v>619</v>
      </c>
      <c r="AF195" s="64" t="s">
        <v>1040</v>
      </c>
      <c r="AG195" s="64" t="s">
        <v>60</v>
      </c>
      <c r="AH195" s="156" t="s">
        <v>2709</v>
      </c>
      <c r="AI195" s="64">
        <v>46202</v>
      </c>
      <c r="AJ195" s="65" t="s">
        <v>2710</v>
      </c>
      <c r="AK195" s="64" t="s">
        <v>2711</v>
      </c>
      <c r="AL195" s="64" t="s">
        <v>2712</v>
      </c>
      <c r="AM195" s="64" t="s">
        <v>2713</v>
      </c>
      <c r="AN195" s="64" t="s">
        <v>2714</v>
      </c>
      <c r="AO195" s="64" t="s">
        <v>66</v>
      </c>
      <c r="AP195" s="85" t="s">
        <v>2715</v>
      </c>
    </row>
    <row r="196" spans="1:42" ht="18.75">
      <c r="A196" s="139">
        <v>195</v>
      </c>
      <c r="B196" s="66" t="s">
        <v>2716</v>
      </c>
      <c r="C196" s="66" t="s">
        <v>2653</v>
      </c>
      <c r="D196" s="77"/>
      <c r="E196" s="77" t="s">
        <v>2653</v>
      </c>
      <c r="F196" s="66" t="s">
        <v>165</v>
      </c>
      <c r="G196" s="66" t="s">
        <v>1035</v>
      </c>
      <c r="H196" s="66" t="s">
        <v>46</v>
      </c>
      <c r="I196" s="71">
        <v>11</v>
      </c>
      <c r="J19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6" s="71" t="s">
        <v>95</v>
      </c>
      <c r="L196" s="71" t="str">
        <f>IF(Table1[[#This Row],[LAST]]="","Unfilled","Filled")</f>
        <v>Filled</v>
      </c>
      <c r="M196" s="63" t="s">
        <v>2717</v>
      </c>
      <c r="N196" s="63" t="s">
        <v>2718</v>
      </c>
      <c r="O196" s="63" t="s">
        <v>324</v>
      </c>
      <c r="P196" s="63"/>
      <c r="Q196" s="64">
        <v>34997</v>
      </c>
      <c r="R196" s="64">
        <v>45482</v>
      </c>
      <c r="S196" s="64">
        <v>45482</v>
      </c>
      <c r="T196" s="64">
        <v>45482</v>
      </c>
      <c r="U196" s="64" t="s">
        <v>76</v>
      </c>
      <c r="V196" s="64" t="s">
        <v>77</v>
      </c>
      <c r="W196" s="66">
        <f t="shared" ca="1" si="6"/>
        <v>30</v>
      </c>
      <c r="X19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6" s="64" t="s">
        <v>2719</v>
      </c>
      <c r="Z196" s="64" t="s">
        <v>2720</v>
      </c>
      <c r="AA196" s="65" t="s">
        <v>2721</v>
      </c>
      <c r="AB196" s="64" t="s">
        <v>580</v>
      </c>
      <c r="AC196" s="64" t="s">
        <v>103</v>
      </c>
      <c r="AD196" s="65" t="s">
        <v>2722</v>
      </c>
      <c r="AE196" s="64" t="s">
        <v>619</v>
      </c>
      <c r="AF196" s="64" t="s">
        <v>2723</v>
      </c>
      <c r="AG196" s="64" t="s">
        <v>60</v>
      </c>
      <c r="AH196" s="156" t="s">
        <v>2724</v>
      </c>
      <c r="AI196" s="64">
        <v>46685</v>
      </c>
      <c r="AJ196" s="65" t="s">
        <v>2725</v>
      </c>
      <c r="AK196" s="64" t="s">
        <v>2726</v>
      </c>
      <c r="AL196" s="64" t="s">
        <v>2727</v>
      </c>
      <c r="AM196" s="64" t="s">
        <v>2728</v>
      </c>
      <c r="AN196" s="64" t="s">
        <v>2729</v>
      </c>
      <c r="AO196" s="64" t="s">
        <v>66</v>
      </c>
      <c r="AP196" s="85" t="s">
        <v>2730</v>
      </c>
    </row>
    <row r="197" spans="1:42" ht="18.75">
      <c r="A197" s="139">
        <v>196</v>
      </c>
      <c r="B197" s="66" t="s">
        <v>2731</v>
      </c>
      <c r="C197" s="66" t="s">
        <v>2653</v>
      </c>
      <c r="D197" s="66"/>
      <c r="E197" s="66" t="s">
        <v>2653</v>
      </c>
      <c r="F197" s="66" t="s">
        <v>165</v>
      </c>
      <c r="G197" s="66" t="s">
        <v>1035</v>
      </c>
      <c r="H197" s="66" t="s">
        <v>46</v>
      </c>
      <c r="I197" s="71">
        <v>11</v>
      </c>
      <c r="J19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7" s="71" t="s">
        <v>95</v>
      </c>
      <c r="L197" s="71" t="str">
        <f>IF(Table1[[#This Row],[LAST]]="","Unfilled","Filled")</f>
        <v>Filled</v>
      </c>
      <c r="M197" s="63" t="s">
        <v>2732</v>
      </c>
      <c r="N197" s="63" t="s">
        <v>2733</v>
      </c>
      <c r="O197" s="63" t="s">
        <v>2734</v>
      </c>
      <c r="P197" s="63"/>
      <c r="Q197" s="64">
        <v>34644</v>
      </c>
      <c r="R197" s="64">
        <v>45271</v>
      </c>
      <c r="S197" s="64">
        <v>45271</v>
      </c>
      <c r="T197" s="64">
        <v>45271</v>
      </c>
      <c r="U197" s="64" t="s">
        <v>76</v>
      </c>
      <c r="V197" s="64" t="s">
        <v>77</v>
      </c>
      <c r="W197" s="66">
        <f t="shared" ca="1" si="6"/>
        <v>31</v>
      </c>
      <c r="X19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7" s="64" t="s">
        <v>2719</v>
      </c>
      <c r="Z197" s="64" t="s">
        <v>2735</v>
      </c>
      <c r="AA197" s="65" t="s">
        <v>1826</v>
      </c>
      <c r="AB197" s="64" t="s">
        <v>190</v>
      </c>
      <c r="AC197" s="64" t="s">
        <v>103</v>
      </c>
      <c r="AD197" s="65">
        <v>4102</v>
      </c>
      <c r="AE197" s="64" t="s">
        <v>619</v>
      </c>
      <c r="AF197" s="64" t="s">
        <v>1040</v>
      </c>
      <c r="AG197" s="64" t="s">
        <v>60</v>
      </c>
      <c r="AH197" s="64" t="s">
        <v>2736</v>
      </c>
      <c r="AI197" s="64">
        <v>46697</v>
      </c>
      <c r="AJ197" s="65" t="s">
        <v>2737</v>
      </c>
      <c r="AK197" s="64" t="s">
        <v>2738</v>
      </c>
      <c r="AL197" s="64" t="s">
        <v>2739</v>
      </c>
      <c r="AM197" s="64" t="s">
        <v>2740</v>
      </c>
      <c r="AN197" s="64" t="s">
        <v>2741</v>
      </c>
      <c r="AO197" s="64" t="s">
        <v>66</v>
      </c>
      <c r="AP197" s="85" t="s">
        <v>2742</v>
      </c>
    </row>
    <row r="198" spans="1:42" ht="18.75">
      <c r="A198" s="139">
        <v>197</v>
      </c>
      <c r="B198" s="66" t="s">
        <v>2743</v>
      </c>
      <c r="C198" s="66" t="s">
        <v>2653</v>
      </c>
      <c r="D198" s="66"/>
      <c r="E198" s="66" t="s">
        <v>2653</v>
      </c>
      <c r="F198" s="66" t="s">
        <v>165</v>
      </c>
      <c r="G198" s="66" t="s">
        <v>1035</v>
      </c>
      <c r="H198" s="66" t="s">
        <v>46</v>
      </c>
      <c r="I198" s="71">
        <v>11</v>
      </c>
      <c r="J19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8" s="71" t="s">
        <v>95</v>
      </c>
      <c r="L198" s="71" t="str">
        <f>IF(Table1[[#This Row],[LAST]]="","Unfilled","Filled")</f>
        <v>Unfilled</v>
      </c>
      <c r="M198" s="152"/>
      <c r="N198" s="152"/>
      <c r="O198" s="152" t="s">
        <v>2744</v>
      </c>
      <c r="P198" s="63"/>
      <c r="Q198" s="64"/>
      <c r="R198" s="64"/>
      <c r="S198" s="64"/>
      <c r="T198" s="64"/>
      <c r="U198" s="64"/>
      <c r="V198" s="64"/>
      <c r="W198" s="66"/>
      <c r="X198" s="66"/>
      <c r="Y198" s="64"/>
      <c r="Z198" s="64"/>
      <c r="AA198" s="65"/>
      <c r="AB198" s="64"/>
      <c r="AC198" s="64"/>
      <c r="AD198" s="65"/>
      <c r="AE198" s="64"/>
      <c r="AF198" s="64"/>
      <c r="AG198" s="64"/>
      <c r="AH198" s="64"/>
      <c r="AI198" s="64"/>
      <c r="AJ198" s="65"/>
      <c r="AK198" s="64"/>
      <c r="AL198" s="64"/>
      <c r="AM198" s="64"/>
      <c r="AN198" s="64"/>
      <c r="AO198" s="64"/>
      <c r="AP198" s="85"/>
    </row>
    <row r="199" spans="1:42" ht="18.75">
      <c r="A199" s="139">
        <v>198</v>
      </c>
      <c r="B199" s="66" t="s">
        <v>2745</v>
      </c>
      <c r="C199" s="66" t="s">
        <v>2746</v>
      </c>
      <c r="D199" s="66"/>
      <c r="E199" s="66" t="s">
        <v>2746</v>
      </c>
      <c r="F199" s="66" t="s">
        <v>1065</v>
      </c>
      <c r="G199" s="66" t="s">
        <v>1066</v>
      </c>
      <c r="H199" s="66" t="s">
        <v>46</v>
      </c>
      <c r="I199" s="71">
        <v>11</v>
      </c>
      <c r="J19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199" s="71" t="s">
        <v>95</v>
      </c>
      <c r="L199" s="71" t="str">
        <f>IF(Table1[[#This Row],[LAST]]="","Unfilled","Filled")</f>
        <v>Filled</v>
      </c>
      <c r="M199" s="66" t="s">
        <v>2747</v>
      </c>
      <c r="N199" s="66" t="s">
        <v>2748</v>
      </c>
      <c r="O199" s="66" t="s">
        <v>2749</v>
      </c>
      <c r="P199" s="63"/>
      <c r="Q199" s="64">
        <v>35248</v>
      </c>
      <c r="R199" s="64">
        <v>45124</v>
      </c>
      <c r="S199" s="64">
        <v>45124</v>
      </c>
      <c r="T199" s="64">
        <v>45124</v>
      </c>
      <c r="U199" s="64" t="s">
        <v>76</v>
      </c>
      <c r="V199" s="64" t="s">
        <v>77</v>
      </c>
      <c r="W199" s="66">
        <f t="shared" ref="W199:W205" ca="1" si="7">DATEDIF(Q199,TODAY(),"Y")</f>
        <v>30</v>
      </c>
      <c r="X19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199" s="64" t="s">
        <v>154</v>
      </c>
      <c r="Z199" s="64" t="s">
        <v>2750</v>
      </c>
      <c r="AA199" s="65" t="s">
        <v>1585</v>
      </c>
      <c r="AB199" s="64" t="s">
        <v>102</v>
      </c>
      <c r="AC199" s="64" t="s">
        <v>103</v>
      </c>
      <c r="AD199" s="65">
        <v>4103</v>
      </c>
      <c r="AE199" s="64" t="s">
        <v>619</v>
      </c>
      <c r="AF199" s="64" t="s">
        <v>1073</v>
      </c>
      <c r="AG199" s="64" t="s">
        <v>60</v>
      </c>
      <c r="AH199" s="64" t="s">
        <v>2751</v>
      </c>
      <c r="AI199" s="64">
        <v>46205</v>
      </c>
      <c r="AJ199" s="65" t="s">
        <v>2752</v>
      </c>
      <c r="AK199" s="64" t="s">
        <v>2753</v>
      </c>
      <c r="AL199" s="64" t="s">
        <v>2754</v>
      </c>
      <c r="AM199" s="64" t="s">
        <v>2755</v>
      </c>
      <c r="AN199" s="64" t="s">
        <v>2756</v>
      </c>
      <c r="AO199" s="64" t="s">
        <v>2757</v>
      </c>
      <c r="AP199" s="64" t="s">
        <v>2758</v>
      </c>
    </row>
    <row r="200" spans="1:42" ht="18.75">
      <c r="A200" s="139">
        <v>199</v>
      </c>
      <c r="B200" s="66" t="s">
        <v>2759</v>
      </c>
      <c r="C200" s="66" t="s">
        <v>2760</v>
      </c>
      <c r="D200" s="66"/>
      <c r="E200" s="66" t="s">
        <v>2760</v>
      </c>
      <c r="F200" s="66" t="s">
        <v>1083</v>
      </c>
      <c r="G200" s="66" t="s">
        <v>1084</v>
      </c>
      <c r="H200" s="66" t="s">
        <v>46</v>
      </c>
      <c r="I200" s="71">
        <v>11</v>
      </c>
      <c r="J20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0" s="71" t="s">
        <v>95</v>
      </c>
      <c r="L200" s="71" t="str">
        <f>IF(Table1[[#This Row],[LAST]]="","Unfilled","Filled")</f>
        <v>Filled</v>
      </c>
      <c r="M200" s="66" t="s">
        <v>2761</v>
      </c>
      <c r="N200" s="66" t="s">
        <v>2762</v>
      </c>
      <c r="O200" s="66" t="s">
        <v>2763</v>
      </c>
      <c r="P200" s="63"/>
      <c r="Q200" s="64">
        <v>30619</v>
      </c>
      <c r="R200" s="64">
        <v>45019</v>
      </c>
      <c r="S200" s="64">
        <v>45019</v>
      </c>
      <c r="T200" s="64">
        <v>45019</v>
      </c>
      <c r="U200" s="64" t="s">
        <v>51</v>
      </c>
      <c r="V200" s="64" t="s">
        <v>77</v>
      </c>
      <c r="W200" s="66">
        <f t="shared" ca="1" si="7"/>
        <v>42</v>
      </c>
      <c r="X20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00" s="64" t="s">
        <v>2764</v>
      </c>
      <c r="Z200" s="64" t="s">
        <v>2765</v>
      </c>
      <c r="AA200" s="65" t="s">
        <v>2766</v>
      </c>
      <c r="AB200" s="64" t="s">
        <v>190</v>
      </c>
      <c r="AC200" s="64" t="s">
        <v>103</v>
      </c>
      <c r="AD200" s="65">
        <v>4102</v>
      </c>
      <c r="AE200" s="64" t="s">
        <v>619</v>
      </c>
      <c r="AF200" s="64" t="s">
        <v>1089</v>
      </c>
      <c r="AG200" s="64" t="s">
        <v>60</v>
      </c>
      <c r="AH200" s="64" t="s">
        <v>2767</v>
      </c>
      <c r="AI200" s="64">
        <v>46325</v>
      </c>
      <c r="AJ200" s="65" t="s">
        <v>2768</v>
      </c>
      <c r="AK200" s="64" t="s">
        <v>2769</v>
      </c>
      <c r="AL200" s="64" t="s">
        <v>2770</v>
      </c>
      <c r="AM200" s="64" t="s">
        <v>2771</v>
      </c>
      <c r="AN200" s="64" t="s">
        <v>2772</v>
      </c>
      <c r="AO200" s="64" t="s">
        <v>66</v>
      </c>
      <c r="AP200" s="64" t="s">
        <v>2773</v>
      </c>
    </row>
    <row r="201" spans="1:42" ht="18.75">
      <c r="A201" s="139">
        <v>200</v>
      </c>
      <c r="B201" s="66" t="s">
        <v>2774</v>
      </c>
      <c r="C201" s="66" t="s">
        <v>2760</v>
      </c>
      <c r="D201" s="66"/>
      <c r="E201" s="66" t="s">
        <v>2760</v>
      </c>
      <c r="F201" s="66" t="s">
        <v>1083</v>
      </c>
      <c r="G201" s="66" t="s">
        <v>1084</v>
      </c>
      <c r="H201" s="66" t="s">
        <v>46</v>
      </c>
      <c r="I201" s="71">
        <v>11</v>
      </c>
      <c r="J20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1" s="71" t="s">
        <v>95</v>
      </c>
      <c r="L201" s="71" t="str">
        <f>IF(Table1[[#This Row],[LAST]]="","Unfilled","Filled")</f>
        <v>Filled</v>
      </c>
      <c r="M201" s="66" t="s">
        <v>2775</v>
      </c>
      <c r="N201" s="66" t="s">
        <v>2776</v>
      </c>
      <c r="O201" s="66" t="s">
        <v>2777</v>
      </c>
      <c r="P201" s="63"/>
      <c r="Q201" s="64">
        <v>25956</v>
      </c>
      <c r="R201" s="64">
        <v>45019</v>
      </c>
      <c r="S201" s="64">
        <v>45019</v>
      </c>
      <c r="T201" s="64">
        <v>45019</v>
      </c>
      <c r="U201" s="64" t="s">
        <v>51</v>
      </c>
      <c r="V201" s="64" t="s">
        <v>77</v>
      </c>
      <c r="W201" s="66">
        <f t="shared" ca="1" si="7"/>
        <v>55</v>
      </c>
      <c r="X20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01" s="64" t="s">
        <v>154</v>
      </c>
      <c r="Z201" s="64" t="s">
        <v>2778</v>
      </c>
      <c r="AA201" s="65" t="s">
        <v>728</v>
      </c>
      <c r="AB201" s="64" t="s">
        <v>190</v>
      </c>
      <c r="AC201" s="64" t="s">
        <v>103</v>
      </c>
      <c r="AD201" s="65">
        <v>4102</v>
      </c>
      <c r="AE201" s="64" t="s">
        <v>619</v>
      </c>
      <c r="AF201" s="64" t="s">
        <v>1089</v>
      </c>
      <c r="AG201" s="64" t="s">
        <v>60</v>
      </c>
      <c r="AH201" s="64" t="s">
        <v>2779</v>
      </c>
      <c r="AI201" s="64">
        <v>46045</v>
      </c>
      <c r="AJ201" s="65" t="s">
        <v>2780</v>
      </c>
      <c r="AK201" s="64" t="s">
        <v>2781</v>
      </c>
      <c r="AL201" s="64" t="s">
        <v>2782</v>
      </c>
      <c r="AM201" s="64" t="s">
        <v>2783</v>
      </c>
      <c r="AN201" s="64" t="s">
        <v>2784</v>
      </c>
      <c r="AO201" s="64" t="s">
        <v>2785</v>
      </c>
      <c r="AP201" s="64" t="s">
        <v>2786</v>
      </c>
    </row>
    <row r="202" spans="1:42" ht="18.75">
      <c r="A202" s="139">
        <v>201</v>
      </c>
      <c r="B202" s="66" t="s">
        <v>2787</v>
      </c>
      <c r="C202" s="66" t="s">
        <v>2760</v>
      </c>
      <c r="D202" s="66"/>
      <c r="E202" s="66" t="s">
        <v>2760</v>
      </c>
      <c r="F202" s="66" t="s">
        <v>1083</v>
      </c>
      <c r="G202" s="66" t="s">
        <v>1084</v>
      </c>
      <c r="H202" s="66" t="s">
        <v>46</v>
      </c>
      <c r="I202" s="71">
        <v>11</v>
      </c>
      <c r="J20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2" s="71" t="s">
        <v>95</v>
      </c>
      <c r="L202" s="71" t="str">
        <f>IF(Table1[[#This Row],[LAST]]="","Unfilled","Filled")</f>
        <v>Filled</v>
      </c>
      <c r="M202" s="66" t="s">
        <v>2788</v>
      </c>
      <c r="N202" s="66" t="s">
        <v>2789</v>
      </c>
      <c r="O202" s="66" t="s">
        <v>2790</v>
      </c>
      <c r="P202" s="63"/>
      <c r="Q202" s="64">
        <v>27739</v>
      </c>
      <c r="R202" s="64">
        <v>45153</v>
      </c>
      <c r="S202" s="64">
        <v>45153</v>
      </c>
      <c r="T202" s="64">
        <v>45153</v>
      </c>
      <c r="U202" s="64" t="s">
        <v>76</v>
      </c>
      <c r="V202" s="64" t="s">
        <v>77</v>
      </c>
      <c r="W202" s="66">
        <f t="shared" ca="1" si="7"/>
        <v>50</v>
      </c>
      <c r="X20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02" s="64" t="s">
        <v>539</v>
      </c>
      <c r="Z202" s="64" t="s">
        <v>2791</v>
      </c>
      <c r="AA202" s="65" t="s">
        <v>2721</v>
      </c>
      <c r="AB202" s="64" t="s">
        <v>190</v>
      </c>
      <c r="AC202" s="64" t="s">
        <v>103</v>
      </c>
      <c r="AD202" s="65">
        <v>4102</v>
      </c>
      <c r="AE202" s="64" t="s">
        <v>619</v>
      </c>
      <c r="AF202" s="64" t="s">
        <v>1089</v>
      </c>
      <c r="AG202" s="64" t="s">
        <v>60</v>
      </c>
      <c r="AH202" s="64" t="s">
        <v>2792</v>
      </c>
      <c r="AI202" s="64">
        <v>46367</v>
      </c>
      <c r="AJ202" s="65" t="s">
        <v>2793</v>
      </c>
      <c r="AK202" s="64" t="s">
        <v>2794</v>
      </c>
      <c r="AL202" s="64" t="s">
        <v>2795</v>
      </c>
      <c r="AM202" s="64" t="s">
        <v>2796</v>
      </c>
      <c r="AN202" s="64" t="s">
        <v>2797</v>
      </c>
      <c r="AO202" s="64" t="s">
        <v>2798</v>
      </c>
      <c r="AP202" s="64" t="s">
        <v>2799</v>
      </c>
    </row>
    <row r="203" spans="1:42" ht="18.75">
      <c r="A203" s="139">
        <v>202</v>
      </c>
      <c r="B203" s="66" t="s">
        <v>2800</v>
      </c>
      <c r="C203" s="66" t="s">
        <v>2760</v>
      </c>
      <c r="D203" s="66"/>
      <c r="E203" s="66" t="s">
        <v>2760</v>
      </c>
      <c r="F203" s="66" t="s">
        <v>1083</v>
      </c>
      <c r="G203" s="66" t="s">
        <v>1084</v>
      </c>
      <c r="H203" s="66" t="s">
        <v>46</v>
      </c>
      <c r="I203" s="71">
        <v>11</v>
      </c>
      <c r="J20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3" s="71" t="s">
        <v>95</v>
      </c>
      <c r="L203" s="71" t="str">
        <f>IF(Table1[[#This Row],[LAST]]="","Unfilled","Filled")</f>
        <v>Filled</v>
      </c>
      <c r="M203" s="66" t="s">
        <v>2801</v>
      </c>
      <c r="N203" s="66" t="s">
        <v>2802</v>
      </c>
      <c r="O203" s="66" t="s">
        <v>1641</v>
      </c>
      <c r="P203" s="63"/>
      <c r="Q203" s="64">
        <v>32362</v>
      </c>
      <c r="R203" s="64">
        <v>43466</v>
      </c>
      <c r="S203" s="64">
        <v>44363</v>
      </c>
      <c r="T203" s="64">
        <v>44363</v>
      </c>
      <c r="U203" s="64" t="s">
        <v>76</v>
      </c>
      <c r="V203" s="64" t="s">
        <v>77</v>
      </c>
      <c r="W203" s="66">
        <f t="shared" ca="1" si="7"/>
        <v>38</v>
      </c>
      <c r="X20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3" s="64" t="s">
        <v>2803</v>
      </c>
      <c r="Z203" s="64" t="s">
        <v>2804</v>
      </c>
      <c r="AA203" s="65" t="s">
        <v>2322</v>
      </c>
      <c r="AB203" s="64" t="s">
        <v>190</v>
      </c>
      <c r="AC203" s="64" t="s">
        <v>103</v>
      </c>
      <c r="AD203" s="65">
        <v>4102</v>
      </c>
      <c r="AE203" s="64" t="s">
        <v>619</v>
      </c>
      <c r="AF203" s="64" t="s">
        <v>1089</v>
      </c>
      <c r="AG203" s="64" t="s">
        <v>60</v>
      </c>
      <c r="AH203" s="64" t="s">
        <v>2805</v>
      </c>
      <c r="AI203" s="64">
        <v>46606</v>
      </c>
      <c r="AJ203" s="65" t="s">
        <v>2806</v>
      </c>
      <c r="AK203" s="64" t="s">
        <v>2807</v>
      </c>
      <c r="AL203" s="64" t="s">
        <v>2808</v>
      </c>
      <c r="AM203" s="64" t="s">
        <v>2809</v>
      </c>
      <c r="AN203" s="64" t="s">
        <v>2810</v>
      </c>
      <c r="AO203" s="64" t="s">
        <v>66</v>
      </c>
      <c r="AP203" s="64" t="s">
        <v>2811</v>
      </c>
    </row>
    <row r="204" spans="1:42" ht="18.75">
      <c r="A204" s="139">
        <v>203</v>
      </c>
      <c r="B204" s="66" t="s">
        <v>2812</v>
      </c>
      <c r="C204" s="66" t="s">
        <v>2760</v>
      </c>
      <c r="D204" s="66"/>
      <c r="E204" s="66" t="s">
        <v>2760</v>
      </c>
      <c r="F204" s="66" t="s">
        <v>1083</v>
      </c>
      <c r="G204" s="66" t="s">
        <v>1084</v>
      </c>
      <c r="H204" s="66" t="s">
        <v>46</v>
      </c>
      <c r="I204" s="71">
        <v>11</v>
      </c>
      <c r="J20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4" s="71" t="s">
        <v>95</v>
      </c>
      <c r="L204" s="71" t="str">
        <f>IF(Table1[[#This Row],[LAST]]="","Unfilled","Filled")</f>
        <v>Filled</v>
      </c>
      <c r="M204" s="66" t="s">
        <v>2813</v>
      </c>
      <c r="N204" s="66" t="s">
        <v>2814</v>
      </c>
      <c r="O204" s="66" t="s">
        <v>2815</v>
      </c>
      <c r="P204" s="63"/>
      <c r="Q204" s="64">
        <v>24969</v>
      </c>
      <c r="R204" s="64">
        <v>44363</v>
      </c>
      <c r="S204" s="64">
        <v>44334</v>
      </c>
      <c r="T204" s="64">
        <v>44334</v>
      </c>
      <c r="U204" s="64" t="s">
        <v>51</v>
      </c>
      <c r="V204" s="64" t="s">
        <v>77</v>
      </c>
      <c r="W204" s="66">
        <f t="shared" ca="1" si="7"/>
        <v>58</v>
      </c>
      <c r="X20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04" s="64" t="s">
        <v>1465</v>
      </c>
      <c r="Z204" s="65">
        <v>38</v>
      </c>
      <c r="AA204" s="65" t="s">
        <v>2816</v>
      </c>
      <c r="AB204" s="64" t="s">
        <v>190</v>
      </c>
      <c r="AC204" s="64" t="s">
        <v>103</v>
      </c>
      <c r="AD204" s="65">
        <v>4102</v>
      </c>
      <c r="AE204" s="64" t="s">
        <v>619</v>
      </c>
      <c r="AF204" s="64" t="s">
        <v>1089</v>
      </c>
      <c r="AG204" s="64" t="s">
        <v>60</v>
      </c>
      <c r="AH204" s="64" t="s">
        <v>2817</v>
      </c>
      <c r="AI204" s="64">
        <v>46153</v>
      </c>
      <c r="AJ204" s="65" t="s">
        <v>2818</v>
      </c>
      <c r="AK204" s="64" t="s">
        <v>2819</v>
      </c>
      <c r="AL204" s="64" t="s">
        <v>2820</v>
      </c>
      <c r="AM204" s="64" t="s">
        <v>2821</v>
      </c>
      <c r="AN204" s="64" t="s">
        <v>2822</v>
      </c>
      <c r="AO204" s="64" t="s">
        <v>2823</v>
      </c>
      <c r="AP204" s="85" t="s">
        <v>2824</v>
      </c>
    </row>
    <row r="205" spans="1:42" ht="18.75">
      <c r="A205" s="139">
        <v>204</v>
      </c>
      <c r="B205" s="66" t="s">
        <v>2825</v>
      </c>
      <c r="C205" s="66" t="s">
        <v>2826</v>
      </c>
      <c r="D205" s="66"/>
      <c r="E205" s="66" t="s">
        <v>2826</v>
      </c>
      <c r="F205" s="66" t="s">
        <v>473</v>
      </c>
      <c r="G205" s="66" t="s">
        <v>1100</v>
      </c>
      <c r="H205" s="66" t="s">
        <v>46</v>
      </c>
      <c r="I205" s="71">
        <v>11</v>
      </c>
      <c r="J20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5" s="71" t="s">
        <v>95</v>
      </c>
      <c r="L205" s="71" t="str">
        <f>IF(Table1[[#This Row],[LAST]]="","Unfilled","Filled")</f>
        <v>Filled</v>
      </c>
      <c r="M205" s="66" t="s">
        <v>590</v>
      </c>
      <c r="N205" s="66" t="s">
        <v>2827</v>
      </c>
      <c r="O205" s="66" t="s">
        <v>2828</v>
      </c>
      <c r="P205" s="63"/>
      <c r="Q205" s="64">
        <v>34206</v>
      </c>
      <c r="R205" s="64">
        <v>45971</v>
      </c>
      <c r="S205" s="64">
        <v>45971</v>
      </c>
      <c r="T205" s="64">
        <v>45971</v>
      </c>
      <c r="U205" s="64" t="s">
        <v>51</v>
      </c>
      <c r="V205" s="64" t="s">
        <v>52</v>
      </c>
      <c r="W205" s="66">
        <f t="shared" ca="1" si="7"/>
        <v>32</v>
      </c>
      <c r="X20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5" s="64" t="s">
        <v>81</v>
      </c>
      <c r="Z205" s="64" t="s">
        <v>2829</v>
      </c>
      <c r="AA205" s="65" t="s">
        <v>1864</v>
      </c>
      <c r="AB205" s="64" t="s">
        <v>190</v>
      </c>
      <c r="AC205" s="64" t="s">
        <v>103</v>
      </c>
      <c r="AD205" s="65" t="s">
        <v>656</v>
      </c>
      <c r="AE205" s="64" t="s">
        <v>619</v>
      </c>
      <c r="AF205" s="64" t="s">
        <v>1107</v>
      </c>
      <c r="AG205" s="64" t="s">
        <v>60</v>
      </c>
      <c r="AH205" s="156" t="s">
        <v>2830</v>
      </c>
      <c r="AI205" s="64">
        <v>46259</v>
      </c>
      <c r="AJ205" s="65" t="s">
        <v>2831</v>
      </c>
      <c r="AK205" s="64" t="s">
        <v>2832</v>
      </c>
      <c r="AL205" s="64" t="s">
        <v>2833</v>
      </c>
      <c r="AM205" s="64" t="s">
        <v>2834</v>
      </c>
      <c r="AN205" s="64" t="s">
        <v>2835</v>
      </c>
      <c r="AO205" s="64" t="s">
        <v>2836</v>
      </c>
      <c r="AP205" s="85" t="s">
        <v>2837</v>
      </c>
    </row>
    <row r="206" spans="1:42" ht="18.75">
      <c r="A206" s="139">
        <v>205</v>
      </c>
      <c r="B206" s="66" t="s">
        <v>2838</v>
      </c>
      <c r="C206" s="66" t="s">
        <v>2826</v>
      </c>
      <c r="D206" s="66"/>
      <c r="E206" s="66" t="s">
        <v>2826</v>
      </c>
      <c r="F206" s="66" t="s">
        <v>473</v>
      </c>
      <c r="G206" s="66" t="s">
        <v>1100</v>
      </c>
      <c r="H206" s="66" t="s">
        <v>46</v>
      </c>
      <c r="I206" s="71">
        <v>11</v>
      </c>
      <c r="J20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6" s="71" t="s">
        <v>95</v>
      </c>
      <c r="L206" s="71" t="str">
        <f>IF(Table1[[#This Row],[LAST]]="","Unfilled","Filled")</f>
        <v>Unfilled</v>
      </c>
      <c r="M206" s="77"/>
      <c r="N206" s="77"/>
      <c r="O206" s="77" t="s">
        <v>2839</v>
      </c>
      <c r="P206" s="63"/>
      <c r="Q206" s="64"/>
      <c r="R206" s="64"/>
      <c r="S206" s="64"/>
      <c r="T206" s="64"/>
      <c r="U206" s="64"/>
      <c r="V206" s="64"/>
      <c r="W206" s="66"/>
      <c r="X206" s="66"/>
      <c r="Y206" s="64"/>
      <c r="Z206" s="65"/>
      <c r="AA206" s="65"/>
      <c r="AB206" s="64"/>
      <c r="AC206" s="64"/>
      <c r="AD206" s="65"/>
      <c r="AE206" s="64"/>
      <c r="AF206" s="64"/>
      <c r="AG206" s="64"/>
      <c r="AH206" s="64"/>
      <c r="AI206" s="64"/>
      <c r="AJ206" s="65"/>
      <c r="AK206" s="64"/>
      <c r="AL206" s="64"/>
      <c r="AM206" s="64"/>
      <c r="AN206" s="64"/>
      <c r="AO206" s="64"/>
      <c r="AP206" s="85"/>
    </row>
    <row r="207" spans="1:42" ht="18.75">
      <c r="A207" s="139">
        <v>206</v>
      </c>
      <c r="B207" s="66" t="s">
        <v>2840</v>
      </c>
      <c r="C207" s="66" t="s">
        <v>2841</v>
      </c>
      <c r="D207" s="66"/>
      <c r="E207" s="66" t="s">
        <v>2841</v>
      </c>
      <c r="F207" s="66" t="s">
        <v>1117</v>
      </c>
      <c r="G207" s="66" t="s">
        <v>1118</v>
      </c>
      <c r="H207" s="66" t="s">
        <v>46</v>
      </c>
      <c r="I207" s="71">
        <v>11</v>
      </c>
      <c r="J20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7" s="71" t="s">
        <v>95</v>
      </c>
      <c r="L207" s="71" t="str">
        <f>IF(Table1[[#This Row],[LAST]]="","Unfilled","Filled")</f>
        <v>Filled</v>
      </c>
      <c r="M207" s="63" t="s">
        <v>2842</v>
      </c>
      <c r="N207" s="63" t="s">
        <v>2843</v>
      </c>
      <c r="O207" s="63" t="s">
        <v>2844</v>
      </c>
      <c r="P207" s="63"/>
      <c r="Q207" s="64">
        <v>36243</v>
      </c>
      <c r="R207" s="64">
        <v>45278</v>
      </c>
      <c r="S207" s="64">
        <v>45278</v>
      </c>
      <c r="T207" s="64">
        <v>45278</v>
      </c>
      <c r="U207" s="64" t="s">
        <v>76</v>
      </c>
      <c r="V207" s="64" t="s">
        <v>77</v>
      </c>
      <c r="W207" s="66">
        <f t="shared" ref="W207:W223" ca="1" si="8">DATEDIF(Q207,TODAY(),"Y")</f>
        <v>27</v>
      </c>
      <c r="X20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07" s="64" t="s">
        <v>2845</v>
      </c>
      <c r="Z207" s="64" t="s">
        <v>2846</v>
      </c>
      <c r="AA207" s="65">
        <v>183</v>
      </c>
      <c r="AB207" s="64" t="s">
        <v>391</v>
      </c>
      <c r="AC207" s="64" t="s">
        <v>82</v>
      </c>
      <c r="AD207" s="65">
        <v>1709</v>
      </c>
      <c r="AE207" s="64" t="s">
        <v>619</v>
      </c>
      <c r="AF207" s="64" t="s">
        <v>1125</v>
      </c>
      <c r="AG207" s="64" t="s">
        <v>60</v>
      </c>
      <c r="AH207" s="64" t="s">
        <v>2847</v>
      </c>
      <c r="AI207" s="64">
        <v>45740</v>
      </c>
      <c r="AJ207" s="65" t="s">
        <v>2848</v>
      </c>
      <c r="AK207" s="64" t="s">
        <v>2849</v>
      </c>
      <c r="AL207" s="64" t="s">
        <v>2850</v>
      </c>
      <c r="AM207" s="64" t="s">
        <v>2851</v>
      </c>
      <c r="AN207" s="64" t="s">
        <v>2852</v>
      </c>
      <c r="AO207" s="64" t="s">
        <v>66</v>
      </c>
      <c r="AP207" s="64" t="s">
        <v>2853</v>
      </c>
    </row>
    <row r="208" spans="1:42" ht="18.75">
      <c r="A208" s="139">
        <v>207</v>
      </c>
      <c r="B208" s="66" t="s">
        <v>2854</v>
      </c>
      <c r="C208" s="66" t="s">
        <v>2841</v>
      </c>
      <c r="D208" s="66"/>
      <c r="E208" s="66" t="s">
        <v>2841</v>
      </c>
      <c r="F208" s="66" t="s">
        <v>1117</v>
      </c>
      <c r="G208" s="66" t="s">
        <v>1118</v>
      </c>
      <c r="H208" s="66" t="s">
        <v>46</v>
      </c>
      <c r="I208" s="71">
        <v>11</v>
      </c>
      <c r="J20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31705</v>
      </c>
      <c r="K208" s="71" t="s">
        <v>95</v>
      </c>
      <c r="L208" s="71" t="str">
        <f>IF(Table1[[#This Row],[LAST]]="","Unfilled","Filled")</f>
        <v>Filled</v>
      </c>
      <c r="M208" s="63" t="s">
        <v>2855</v>
      </c>
      <c r="N208" s="63" t="s">
        <v>2856</v>
      </c>
      <c r="O208" s="63" t="s">
        <v>2857</v>
      </c>
      <c r="P208" s="63"/>
      <c r="Q208" s="64">
        <v>34575</v>
      </c>
      <c r="R208" s="64">
        <v>44644</v>
      </c>
      <c r="S208" s="64">
        <v>44644</v>
      </c>
      <c r="T208" s="64">
        <v>45099</v>
      </c>
      <c r="U208" s="64" t="s">
        <v>76</v>
      </c>
      <c r="V208" s="64" t="s">
        <v>52</v>
      </c>
      <c r="W208" s="66">
        <f t="shared" ca="1" si="8"/>
        <v>31</v>
      </c>
      <c r="X20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08" s="64" t="s">
        <v>616</v>
      </c>
      <c r="Z208" s="64" t="s">
        <v>2858</v>
      </c>
      <c r="AA208" s="65" t="s">
        <v>2859</v>
      </c>
      <c r="AB208" s="64" t="s">
        <v>138</v>
      </c>
      <c r="AC208" s="64" t="s">
        <v>103</v>
      </c>
      <c r="AD208" s="65">
        <v>4114</v>
      </c>
      <c r="AE208" s="64" t="s">
        <v>619</v>
      </c>
      <c r="AF208" s="64" t="s">
        <v>1125</v>
      </c>
      <c r="AG208" s="64" t="s">
        <v>60</v>
      </c>
      <c r="AH208" s="64" t="s">
        <v>2860</v>
      </c>
      <c r="AI208" s="64">
        <v>45898</v>
      </c>
      <c r="AJ208" s="65" t="s">
        <v>2861</v>
      </c>
      <c r="AK208" s="64" t="s">
        <v>2862</v>
      </c>
      <c r="AL208" s="64" t="s">
        <v>2863</v>
      </c>
      <c r="AM208" s="64" t="s">
        <v>2864</v>
      </c>
      <c r="AN208" s="64" t="s">
        <v>2865</v>
      </c>
      <c r="AO208" s="64" t="s">
        <v>66</v>
      </c>
      <c r="AP208" s="64" t="s">
        <v>2866</v>
      </c>
    </row>
    <row r="209" spans="1:42" ht="29.25" customHeight="1">
      <c r="A209" s="139">
        <v>208</v>
      </c>
      <c r="B209" s="66" t="s">
        <v>2867</v>
      </c>
      <c r="C209" s="66" t="s">
        <v>2868</v>
      </c>
      <c r="D209" s="66"/>
      <c r="E209" s="66" t="s">
        <v>2869</v>
      </c>
      <c r="F209" s="66" t="s">
        <v>1001</v>
      </c>
      <c r="G209" s="66" t="s">
        <v>631</v>
      </c>
      <c r="H209" s="66" t="s">
        <v>632</v>
      </c>
      <c r="I209" s="71">
        <v>10</v>
      </c>
      <c r="J20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09" s="71" t="s">
        <v>95</v>
      </c>
      <c r="L209" s="71" t="str">
        <f>IF(Table1[[#This Row],[LAST]]="","Unfilled","Filled")</f>
        <v>Filled</v>
      </c>
      <c r="M209" s="63" t="s">
        <v>2870</v>
      </c>
      <c r="N209" s="63" t="s">
        <v>2871</v>
      </c>
      <c r="O209" s="63" t="s">
        <v>2872</v>
      </c>
      <c r="P209" s="63"/>
      <c r="Q209" s="64">
        <v>30782</v>
      </c>
      <c r="R209" s="64">
        <v>42738</v>
      </c>
      <c r="S209" s="64">
        <v>44851</v>
      </c>
      <c r="T209" s="64">
        <v>45261</v>
      </c>
      <c r="U209" s="64" t="s">
        <v>76</v>
      </c>
      <c r="V209" s="64" t="s">
        <v>77</v>
      </c>
      <c r="W209" s="66">
        <f t="shared" ca="1" si="8"/>
        <v>42</v>
      </c>
      <c r="X20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09" s="64" t="s">
        <v>394</v>
      </c>
      <c r="Z209" s="64" t="s">
        <v>2873</v>
      </c>
      <c r="AA209" s="65" t="s">
        <v>1295</v>
      </c>
      <c r="AB209" s="64" t="s">
        <v>102</v>
      </c>
      <c r="AC209" s="64" t="s">
        <v>103</v>
      </c>
      <c r="AD209" s="65">
        <v>4103</v>
      </c>
      <c r="AE209" s="64" t="s">
        <v>619</v>
      </c>
      <c r="AF209" s="64" t="s">
        <v>2874</v>
      </c>
      <c r="AG209" s="64" t="s">
        <v>641</v>
      </c>
      <c r="AH209" s="64" t="s">
        <v>66</v>
      </c>
      <c r="AI209" s="64" t="s">
        <v>66</v>
      </c>
      <c r="AJ209" s="65" t="s">
        <v>2875</v>
      </c>
      <c r="AK209" s="64" t="s">
        <v>2876</v>
      </c>
      <c r="AL209" s="64" t="s">
        <v>2877</v>
      </c>
      <c r="AM209" s="64" t="s">
        <v>2878</v>
      </c>
      <c r="AN209" s="64" t="s">
        <v>2879</v>
      </c>
      <c r="AO209" s="64" t="s">
        <v>66</v>
      </c>
      <c r="AP209" s="64" t="s">
        <v>2880</v>
      </c>
    </row>
    <row r="210" spans="1:42" ht="18.75">
      <c r="A210" s="139">
        <v>209</v>
      </c>
      <c r="B210" s="66" t="s">
        <v>2881</v>
      </c>
      <c r="C210" s="66" t="s">
        <v>2868</v>
      </c>
      <c r="D210" s="66"/>
      <c r="E210" s="66" t="s">
        <v>2869</v>
      </c>
      <c r="F210" s="66" t="s">
        <v>1734</v>
      </c>
      <c r="G210" s="66" t="s">
        <v>631</v>
      </c>
      <c r="H210" s="66" t="s">
        <v>632</v>
      </c>
      <c r="I210" s="71">
        <v>10</v>
      </c>
      <c r="J21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0" s="71" t="s">
        <v>95</v>
      </c>
      <c r="L210" s="71" t="str">
        <f>IF(Table1[[#This Row],[LAST]]="","Unfilled","Filled")</f>
        <v>Filled</v>
      </c>
      <c r="M210" s="66" t="s">
        <v>985</v>
      </c>
      <c r="N210" s="66" t="s">
        <v>2882</v>
      </c>
      <c r="O210" s="66" t="s">
        <v>2883</v>
      </c>
      <c r="P210" s="63"/>
      <c r="Q210" s="64">
        <v>36005</v>
      </c>
      <c r="R210" s="64">
        <v>44319</v>
      </c>
      <c r="S210" s="64">
        <v>44319</v>
      </c>
      <c r="T210" s="64">
        <v>45362</v>
      </c>
      <c r="U210" s="64" t="s">
        <v>51</v>
      </c>
      <c r="V210" s="64" t="s">
        <v>77</v>
      </c>
      <c r="W210" s="66">
        <f t="shared" ca="1" si="8"/>
        <v>28</v>
      </c>
      <c r="X21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10" s="64" t="s">
        <v>2719</v>
      </c>
      <c r="Z210" s="64" t="s">
        <v>2884</v>
      </c>
      <c r="AA210" s="65" t="s">
        <v>2885</v>
      </c>
      <c r="AB210" s="64" t="s">
        <v>991</v>
      </c>
      <c r="AC210" s="64" t="s">
        <v>103</v>
      </c>
      <c r="AD210" s="65">
        <v>4109</v>
      </c>
      <c r="AE210" s="64" t="s">
        <v>619</v>
      </c>
      <c r="AF210" s="64" t="s">
        <v>2886</v>
      </c>
      <c r="AG210" s="64" t="s">
        <v>2887</v>
      </c>
      <c r="AH210" s="64" t="s">
        <v>66</v>
      </c>
      <c r="AI210" s="64" t="s">
        <v>66</v>
      </c>
      <c r="AJ210" s="65" t="s">
        <v>2888</v>
      </c>
      <c r="AK210" s="64" t="s">
        <v>2889</v>
      </c>
      <c r="AL210" s="64" t="s">
        <v>2890</v>
      </c>
      <c r="AM210" s="64" t="s">
        <v>2891</v>
      </c>
      <c r="AN210" s="64" t="s">
        <v>2892</v>
      </c>
      <c r="AO210" s="64" t="s">
        <v>2893</v>
      </c>
      <c r="AP210" s="64" t="s">
        <v>2894</v>
      </c>
    </row>
    <row r="211" spans="1:42" ht="18.75">
      <c r="A211" s="139">
        <v>210</v>
      </c>
      <c r="B211" s="66" t="s">
        <v>2895</v>
      </c>
      <c r="C211" s="66" t="s">
        <v>2868</v>
      </c>
      <c r="D211" s="66"/>
      <c r="E211" s="66" t="s">
        <v>2869</v>
      </c>
      <c r="F211" s="66" t="s">
        <v>968</v>
      </c>
      <c r="G211" s="66" t="s">
        <v>631</v>
      </c>
      <c r="H211" s="66" t="s">
        <v>632</v>
      </c>
      <c r="I211" s="71">
        <v>10</v>
      </c>
      <c r="J21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1" s="71" t="s">
        <v>95</v>
      </c>
      <c r="L211" s="71" t="str">
        <f>IF(Table1[[#This Row],[LAST]]="","Unfilled","Filled")</f>
        <v>Filled</v>
      </c>
      <c r="M211" s="63" t="s">
        <v>2896</v>
      </c>
      <c r="N211" s="63" t="s">
        <v>2897</v>
      </c>
      <c r="O211" s="63" t="s">
        <v>2898</v>
      </c>
      <c r="P211" s="63"/>
      <c r="Q211" s="64">
        <v>33857</v>
      </c>
      <c r="R211" s="64">
        <v>44846</v>
      </c>
      <c r="S211" s="64">
        <v>44846</v>
      </c>
      <c r="T211" s="64">
        <v>44846</v>
      </c>
      <c r="U211" s="64" t="s">
        <v>51</v>
      </c>
      <c r="V211" s="64" t="s">
        <v>77</v>
      </c>
      <c r="W211" s="66">
        <f t="shared" ca="1" si="8"/>
        <v>33</v>
      </c>
      <c r="X21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1" s="64" t="s">
        <v>2899</v>
      </c>
      <c r="Z211" s="64" t="s">
        <v>2900</v>
      </c>
      <c r="AA211" s="65" t="s">
        <v>2901</v>
      </c>
      <c r="AB211" s="64" t="s">
        <v>618</v>
      </c>
      <c r="AC211" s="64" t="s">
        <v>2902</v>
      </c>
      <c r="AD211" s="65">
        <v>4227</v>
      </c>
      <c r="AE211" s="64" t="s">
        <v>619</v>
      </c>
      <c r="AF211" s="64" t="s">
        <v>2903</v>
      </c>
      <c r="AG211" s="64" t="s">
        <v>641</v>
      </c>
      <c r="AH211" s="64" t="s">
        <v>66</v>
      </c>
      <c r="AI211" s="64" t="s">
        <v>66</v>
      </c>
      <c r="AJ211" s="65" t="s">
        <v>2904</v>
      </c>
      <c r="AK211" s="64" t="s">
        <v>2905</v>
      </c>
      <c r="AL211" s="64" t="s">
        <v>2906</v>
      </c>
      <c r="AM211" s="64" t="s">
        <v>2907</v>
      </c>
      <c r="AN211" s="64" t="s">
        <v>2908</v>
      </c>
      <c r="AO211" s="64" t="s">
        <v>66</v>
      </c>
      <c r="AP211" s="64" t="s">
        <v>2909</v>
      </c>
    </row>
    <row r="212" spans="1:42" ht="18.75">
      <c r="A212" s="139">
        <v>211</v>
      </c>
      <c r="B212" s="66" t="s">
        <v>2910</v>
      </c>
      <c r="C212" s="66" t="s">
        <v>2911</v>
      </c>
      <c r="D212" s="66"/>
      <c r="E212" s="66" t="s">
        <v>2869</v>
      </c>
      <c r="F212" s="66" t="s">
        <v>938</v>
      </c>
      <c r="G212" s="66" t="s">
        <v>631</v>
      </c>
      <c r="H212" s="66" t="s">
        <v>46</v>
      </c>
      <c r="I212" s="71">
        <v>10</v>
      </c>
      <c r="J21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2" s="71" t="s">
        <v>95</v>
      </c>
      <c r="L212" s="71" t="str">
        <f>IF(Table1[[#This Row],[LAST]]="","Unfilled","Filled")</f>
        <v>Filled</v>
      </c>
      <c r="M212" s="66" t="s">
        <v>561</v>
      </c>
      <c r="N212" s="66" t="s">
        <v>2912</v>
      </c>
      <c r="O212" s="66" t="s">
        <v>2913</v>
      </c>
      <c r="P212" s="63"/>
      <c r="Q212" s="64">
        <v>32966</v>
      </c>
      <c r="R212" s="64">
        <v>41743</v>
      </c>
      <c r="S212" s="64">
        <v>44410</v>
      </c>
      <c r="T212" s="64">
        <v>44410</v>
      </c>
      <c r="U212" s="64" t="s">
        <v>51</v>
      </c>
      <c r="V212" s="64" t="s">
        <v>77</v>
      </c>
      <c r="W212" s="66">
        <f t="shared" ca="1" si="8"/>
        <v>36</v>
      </c>
      <c r="X21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2" s="64" t="s">
        <v>616</v>
      </c>
      <c r="Z212" s="64" t="s">
        <v>2914</v>
      </c>
      <c r="AA212" s="65" t="s">
        <v>2915</v>
      </c>
      <c r="AB212" s="64" t="s">
        <v>2916</v>
      </c>
      <c r="AC212" s="64" t="s">
        <v>103</v>
      </c>
      <c r="AD212" s="65">
        <v>4119</v>
      </c>
      <c r="AE212" s="64" t="s">
        <v>619</v>
      </c>
      <c r="AF212" s="64" t="s">
        <v>2917</v>
      </c>
      <c r="AG212" s="64" t="s">
        <v>641</v>
      </c>
      <c r="AH212" s="64" t="s">
        <v>66</v>
      </c>
      <c r="AI212" s="64" t="s">
        <v>66</v>
      </c>
      <c r="AJ212" s="65" t="s">
        <v>2918</v>
      </c>
      <c r="AK212" s="64" t="s">
        <v>2919</v>
      </c>
      <c r="AL212" s="64" t="s">
        <v>2920</v>
      </c>
      <c r="AM212" s="64" t="s">
        <v>2921</v>
      </c>
      <c r="AN212" s="64" t="s">
        <v>2922</v>
      </c>
      <c r="AO212" s="64" t="s">
        <v>66</v>
      </c>
      <c r="AP212" s="64" t="s">
        <v>2923</v>
      </c>
    </row>
    <row r="213" spans="1:42" ht="18.75">
      <c r="A213" s="139">
        <v>212</v>
      </c>
      <c r="B213" s="66" t="s">
        <v>2924</v>
      </c>
      <c r="C213" s="157" t="s">
        <v>2925</v>
      </c>
      <c r="D213" s="154"/>
      <c r="E213" s="157" t="s">
        <v>2925</v>
      </c>
      <c r="F213" s="66" t="s">
        <v>2580</v>
      </c>
      <c r="G213" s="66" t="s">
        <v>2581</v>
      </c>
      <c r="H213" s="66" t="s">
        <v>46</v>
      </c>
      <c r="I213" s="71">
        <v>10</v>
      </c>
      <c r="J21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3" s="71" t="s">
        <v>95</v>
      </c>
      <c r="L213" s="71" t="str">
        <f>IF(Table1[[#This Row],[LAST]]="","Unfilled","Filled")</f>
        <v>Filled</v>
      </c>
      <c r="M213" s="66" t="s">
        <v>2926</v>
      </c>
      <c r="N213" s="66" t="s">
        <v>2927</v>
      </c>
      <c r="O213" s="66" t="s">
        <v>2928</v>
      </c>
      <c r="P213" s="63"/>
      <c r="Q213" s="64">
        <v>34118</v>
      </c>
      <c r="R213" s="64">
        <v>44907</v>
      </c>
      <c r="S213" s="64">
        <v>44907</v>
      </c>
      <c r="T213" s="64">
        <v>44907</v>
      </c>
      <c r="U213" s="64" t="s">
        <v>76</v>
      </c>
      <c r="V213" s="64" t="s">
        <v>52</v>
      </c>
      <c r="W213" s="66">
        <f t="shared" ca="1" si="8"/>
        <v>33</v>
      </c>
      <c r="X21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3" s="64" t="s">
        <v>284</v>
      </c>
      <c r="Z213" s="64" t="s">
        <v>2929</v>
      </c>
      <c r="AA213" s="65" t="s">
        <v>2930</v>
      </c>
      <c r="AB213" s="64" t="s">
        <v>1965</v>
      </c>
      <c r="AC213" s="64" t="s">
        <v>103</v>
      </c>
      <c r="AD213" s="65">
        <v>4106</v>
      </c>
      <c r="AE213" s="64" t="s">
        <v>619</v>
      </c>
      <c r="AF213" s="64" t="s">
        <v>2587</v>
      </c>
      <c r="AG213" s="64" t="s">
        <v>60</v>
      </c>
      <c r="AH213" s="64" t="s">
        <v>2931</v>
      </c>
      <c r="AI213" s="64">
        <v>46902</v>
      </c>
      <c r="AJ213" s="65" t="s">
        <v>2932</v>
      </c>
      <c r="AK213" s="64" t="s">
        <v>2933</v>
      </c>
      <c r="AL213" s="64" t="s">
        <v>2934</v>
      </c>
      <c r="AM213" s="64" t="s">
        <v>2935</v>
      </c>
      <c r="AN213" s="64" t="s">
        <v>2936</v>
      </c>
      <c r="AO213" s="64" t="s">
        <v>2937</v>
      </c>
      <c r="AP213" s="64" t="s">
        <v>2938</v>
      </c>
    </row>
    <row r="214" spans="1:42" ht="18.75">
      <c r="A214" s="139">
        <v>213</v>
      </c>
      <c r="B214" s="66" t="s">
        <v>2939</v>
      </c>
      <c r="C214" s="157" t="s">
        <v>2925</v>
      </c>
      <c r="D214" s="154"/>
      <c r="E214" s="157" t="s">
        <v>2925</v>
      </c>
      <c r="F214" s="66" t="s">
        <v>2580</v>
      </c>
      <c r="G214" s="66" t="s">
        <v>2581</v>
      </c>
      <c r="H214" s="66" t="s">
        <v>46</v>
      </c>
      <c r="I214" s="71">
        <v>10</v>
      </c>
      <c r="J21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26917</v>
      </c>
      <c r="K214" s="71" t="s">
        <v>95</v>
      </c>
      <c r="L214" s="71" t="str">
        <f>IF(Table1[[#This Row],[LAST]]="","Unfilled","Filled")</f>
        <v>Filled</v>
      </c>
      <c r="M214" s="66" t="s">
        <v>2940</v>
      </c>
      <c r="N214" s="66" t="s">
        <v>2941</v>
      </c>
      <c r="O214" s="66" t="s">
        <v>2942</v>
      </c>
      <c r="P214" s="63"/>
      <c r="Q214" s="64">
        <v>34161</v>
      </c>
      <c r="R214" s="64">
        <v>45106</v>
      </c>
      <c r="S214" s="64">
        <v>45106</v>
      </c>
      <c r="T214" s="64">
        <v>45106</v>
      </c>
      <c r="U214" s="64" t="s">
        <v>51</v>
      </c>
      <c r="V214" s="64" t="s">
        <v>77</v>
      </c>
      <c r="W214" s="66">
        <f t="shared" ca="1" si="8"/>
        <v>33</v>
      </c>
      <c r="X21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4" s="64" t="s">
        <v>154</v>
      </c>
      <c r="Z214" s="65">
        <v>196</v>
      </c>
      <c r="AA214" s="65" t="s">
        <v>2943</v>
      </c>
      <c r="AB214" s="64" t="s">
        <v>1184</v>
      </c>
      <c r="AC214" s="64" t="s">
        <v>103</v>
      </c>
      <c r="AD214" s="65">
        <v>4104</v>
      </c>
      <c r="AE214" s="64" t="s">
        <v>619</v>
      </c>
      <c r="AF214" s="64" t="s">
        <v>2587</v>
      </c>
      <c r="AG214" s="64" t="s">
        <v>60</v>
      </c>
      <c r="AH214" s="64" t="s">
        <v>2944</v>
      </c>
      <c r="AI214" s="64">
        <v>46214</v>
      </c>
      <c r="AJ214" s="65" t="s">
        <v>2945</v>
      </c>
      <c r="AK214" s="64" t="s">
        <v>2946</v>
      </c>
      <c r="AL214" s="64" t="s">
        <v>2947</v>
      </c>
      <c r="AM214" s="64" t="s">
        <v>2948</v>
      </c>
      <c r="AN214" s="64" t="s">
        <v>2949</v>
      </c>
      <c r="AO214" s="64" t="s">
        <v>2950</v>
      </c>
      <c r="AP214" s="64" t="s">
        <v>2951</v>
      </c>
    </row>
    <row r="215" spans="1:42" ht="18.75">
      <c r="A215" s="139">
        <v>214</v>
      </c>
      <c r="B215" s="66" t="s">
        <v>2952</v>
      </c>
      <c r="C215" s="66" t="s">
        <v>2953</v>
      </c>
      <c r="D215" s="140"/>
      <c r="E215" s="140" t="s">
        <v>2954</v>
      </c>
      <c r="F215" s="140" t="s">
        <v>44</v>
      </c>
      <c r="G215" s="66" t="s">
        <v>2955</v>
      </c>
      <c r="H215" s="66" t="s">
        <v>632</v>
      </c>
      <c r="I215" s="71">
        <v>9</v>
      </c>
      <c r="J21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5" s="71" t="s">
        <v>2956</v>
      </c>
      <c r="L215" s="71" t="str">
        <f>IF(Table1[[#This Row],[LAST]]="","Unfilled","Filled")</f>
        <v>Filled</v>
      </c>
      <c r="M215" s="63" t="s">
        <v>2957</v>
      </c>
      <c r="N215" s="63" t="s">
        <v>2958</v>
      </c>
      <c r="O215" s="63" t="s">
        <v>2959</v>
      </c>
      <c r="P215" s="63"/>
      <c r="Q215" s="64">
        <v>34287</v>
      </c>
      <c r="R215" s="64">
        <v>45726</v>
      </c>
      <c r="S215" s="64">
        <v>45726</v>
      </c>
      <c r="T215" s="64">
        <v>45726</v>
      </c>
      <c r="U215" s="64" t="s">
        <v>76</v>
      </c>
      <c r="V215" s="64" t="s">
        <v>77</v>
      </c>
      <c r="W215" s="66">
        <f t="shared" ca="1" si="8"/>
        <v>32</v>
      </c>
      <c r="X21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15" s="64" t="s">
        <v>2629</v>
      </c>
      <c r="Z215" s="64" t="s">
        <v>2960</v>
      </c>
      <c r="AA215" s="65" t="s">
        <v>101</v>
      </c>
      <c r="AB215" s="64" t="s">
        <v>102</v>
      </c>
      <c r="AC215" s="64" t="s">
        <v>103</v>
      </c>
      <c r="AD215" s="65" t="s">
        <v>1106</v>
      </c>
      <c r="AE215" s="64" t="s">
        <v>619</v>
      </c>
      <c r="AF215" s="64" t="s">
        <v>2961</v>
      </c>
      <c r="AG215" s="64" t="s">
        <v>2887</v>
      </c>
      <c r="AH215" s="64" t="s">
        <v>66</v>
      </c>
      <c r="AI215" s="64" t="s">
        <v>66</v>
      </c>
      <c r="AJ215" s="65" t="s">
        <v>2962</v>
      </c>
      <c r="AK215" s="64" t="s">
        <v>2963</v>
      </c>
      <c r="AL215" s="64" t="s">
        <v>2964</v>
      </c>
      <c r="AM215" s="64" t="s">
        <v>2965</v>
      </c>
      <c r="AN215" s="64" t="s">
        <v>2966</v>
      </c>
      <c r="AO215" s="64" t="s">
        <v>2967</v>
      </c>
      <c r="AP215" s="64" t="s">
        <v>2968</v>
      </c>
    </row>
    <row r="216" spans="1:42" ht="18.75">
      <c r="A216" s="139">
        <v>215</v>
      </c>
      <c r="B216" s="66" t="s">
        <v>2969</v>
      </c>
      <c r="C216" s="66" t="s">
        <v>2970</v>
      </c>
      <c r="D216" s="66"/>
      <c r="E216" s="66" t="s">
        <v>2954</v>
      </c>
      <c r="F216" s="66" t="s">
        <v>1001</v>
      </c>
      <c r="G216" s="66" t="s">
        <v>2955</v>
      </c>
      <c r="H216" s="66" t="s">
        <v>632</v>
      </c>
      <c r="I216" s="71">
        <v>9</v>
      </c>
      <c r="J21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6" s="71" t="s">
        <v>2956</v>
      </c>
      <c r="L216" s="71" t="str">
        <f>IF(Table1[[#This Row],[LAST]]="","Unfilled","Filled")</f>
        <v>Filled</v>
      </c>
      <c r="M216" s="66" t="s">
        <v>2971</v>
      </c>
      <c r="N216" s="66" t="s">
        <v>2972</v>
      </c>
      <c r="O216" s="66" t="s">
        <v>2973</v>
      </c>
      <c r="P216" s="63"/>
      <c r="Q216" s="64">
        <v>29322</v>
      </c>
      <c r="R216" s="64">
        <v>45614</v>
      </c>
      <c r="S216" s="64">
        <v>45614</v>
      </c>
      <c r="T216" s="64">
        <v>45614</v>
      </c>
      <c r="U216" s="64" t="s">
        <v>51</v>
      </c>
      <c r="V216" s="64" t="s">
        <v>77</v>
      </c>
      <c r="W216" s="66">
        <f t="shared" ca="1" si="8"/>
        <v>46</v>
      </c>
      <c r="X21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16" s="64" t="s">
        <v>2974</v>
      </c>
      <c r="Z216" s="64" t="s">
        <v>2975</v>
      </c>
      <c r="AA216" s="65" t="s">
        <v>286</v>
      </c>
      <c r="AB216" s="64" t="s">
        <v>190</v>
      </c>
      <c r="AC216" s="64" t="s">
        <v>103</v>
      </c>
      <c r="AD216" s="65" t="s">
        <v>656</v>
      </c>
      <c r="AE216" s="64" t="s">
        <v>619</v>
      </c>
      <c r="AF216" s="64" t="s">
        <v>2976</v>
      </c>
      <c r="AG216" s="64" t="s">
        <v>2887</v>
      </c>
      <c r="AH216" s="64" t="s">
        <v>66</v>
      </c>
      <c r="AI216" s="64" t="s">
        <v>66</v>
      </c>
      <c r="AJ216" s="65" t="s">
        <v>2977</v>
      </c>
      <c r="AK216" s="64" t="s">
        <v>2978</v>
      </c>
      <c r="AL216" s="64" t="s">
        <v>2979</v>
      </c>
      <c r="AM216" s="64" t="s">
        <v>2980</v>
      </c>
      <c r="AN216" s="64" t="s">
        <v>2981</v>
      </c>
      <c r="AO216" s="64" t="s">
        <v>2982</v>
      </c>
      <c r="AP216" s="85" t="s">
        <v>2983</v>
      </c>
    </row>
    <row r="217" spans="1:42" ht="18.75">
      <c r="A217" s="139">
        <v>216</v>
      </c>
      <c r="B217" s="66" t="s">
        <v>2984</v>
      </c>
      <c r="C217" s="66" t="s">
        <v>2985</v>
      </c>
      <c r="D217" s="66"/>
      <c r="E217" s="66" t="s">
        <v>2985</v>
      </c>
      <c r="F217" s="66" t="s">
        <v>1138</v>
      </c>
      <c r="G217" s="66" t="s">
        <v>2986</v>
      </c>
      <c r="H217" s="66" t="s">
        <v>612</v>
      </c>
      <c r="I217" s="71">
        <v>9</v>
      </c>
      <c r="J21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7" s="71" t="s">
        <v>2956</v>
      </c>
      <c r="L217" s="71" t="str">
        <f>IF(Table1[[#This Row],[LAST]]="","Unfilled","Filled")</f>
        <v>Filled</v>
      </c>
      <c r="M217" s="66" t="s">
        <v>2987</v>
      </c>
      <c r="N217" s="66" t="s">
        <v>2988</v>
      </c>
      <c r="O217" s="66" t="s">
        <v>403</v>
      </c>
      <c r="P217" s="63"/>
      <c r="Q217" s="64">
        <v>25036</v>
      </c>
      <c r="R217" s="64">
        <v>37991</v>
      </c>
      <c r="S217" s="64">
        <v>44363</v>
      </c>
      <c r="T217" s="64">
        <v>44363</v>
      </c>
      <c r="U217" s="64" t="s">
        <v>51</v>
      </c>
      <c r="V217" s="64" t="s">
        <v>77</v>
      </c>
      <c r="W217" s="66">
        <f t="shared" ca="1" si="8"/>
        <v>58</v>
      </c>
      <c r="X21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17" s="64" t="s">
        <v>121</v>
      </c>
      <c r="Z217" s="64" t="s">
        <v>2989</v>
      </c>
      <c r="AA217" s="65" t="s">
        <v>2990</v>
      </c>
      <c r="AB217" s="64" t="s">
        <v>121</v>
      </c>
      <c r="AC217" s="64" t="s">
        <v>103</v>
      </c>
      <c r="AD217" s="65">
        <v>4100</v>
      </c>
      <c r="AE217" s="64" t="s">
        <v>2991</v>
      </c>
      <c r="AF217" s="64" t="s">
        <v>2992</v>
      </c>
      <c r="AG217" s="64" t="s">
        <v>60</v>
      </c>
      <c r="AH217" s="64" t="s">
        <v>2993</v>
      </c>
      <c r="AI217" s="64">
        <v>46585</v>
      </c>
      <c r="AJ217" s="65" t="s">
        <v>2994</v>
      </c>
      <c r="AK217" s="64" t="s">
        <v>2995</v>
      </c>
      <c r="AL217" s="64" t="s">
        <v>2996</v>
      </c>
      <c r="AM217" s="64" t="s">
        <v>2997</v>
      </c>
      <c r="AN217" s="64" t="s">
        <v>2998</v>
      </c>
      <c r="AO217" s="64" t="s">
        <v>2999</v>
      </c>
      <c r="AP217" s="85" t="s">
        <v>3000</v>
      </c>
    </row>
    <row r="218" spans="1:42" ht="18.75">
      <c r="A218" s="139">
        <v>217</v>
      </c>
      <c r="B218" s="66" t="s">
        <v>3001</v>
      </c>
      <c r="C218" s="66" t="s">
        <v>2985</v>
      </c>
      <c r="D218" s="66"/>
      <c r="E218" s="66" t="s">
        <v>2985</v>
      </c>
      <c r="F218" s="66" t="s">
        <v>1138</v>
      </c>
      <c r="G218" s="66" t="s">
        <v>2986</v>
      </c>
      <c r="H218" s="66" t="s">
        <v>612</v>
      </c>
      <c r="I218" s="71">
        <v>9</v>
      </c>
      <c r="J21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8" s="71" t="s">
        <v>2956</v>
      </c>
      <c r="L218" s="71" t="str">
        <f>IF(Table1[[#This Row],[LAST]]="","Unfilled","Filled")</f>
        <v>Filled</v>
      </c>
      <c r="M218" s="66" t="s">
        <v>3002</v>
      </c>
      <c r="N218" s="66" t="s">
        <v>3003</v>
      </c>
      <c r="O218" s="66" t="s">
        <v>1596</v>
      </c>
      <c r="P218" s="63"/>
      <c r="Q218" s="64">
        <v>28159</v>
      </c>
      <c r="R218" s="64">
        <v>37991</v>
      </c>
      <c r="S218" s="64">
        <v>44363</v>
      </c>
      <c r="T218" s="64">
        <v>44363</v>
      </c>
      <c r="U218" s="64" t="s">
        <v>51</v>
      </c>
      <c r="V218" s="64" t="s">
        <v>77</v>
      </c>
      <c r="W218" s="66">
        <f t="shared" ca="1" si="8"/>
        <v>49</v>
      </c>
      <c r="X21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18" s="64" t="s">
        <v>697</v>
      </c>
      <c r="Z218" s="65">
        <v>773</v>
      </c>
      <c r="AA218" s="65" t="s">
        <v>3004</v>
      </c>
      <c r="AB218" s="64" t="s">
        <v>102</v>
      </c>
      <c r="AC218" s="64" t="s">
        <v>103</v>
      </c>
      <c r="AD218" s="65">
        <v>4103</v>
      </c>
      <c r="AE218" s="64" t="s">
        <v>2991</v>
      </c>
      <c r="AF218" s="64" t="s">
        <v>2992</v>
      </c>
      <c r="AG218" s="64" t="s">
        <v>60</v>
      </c>
      <c r="AH218" s="64" t="s">
        <v>3005</v>
      </c>
      <c r="AI218" s="64">
        <v>46056</v>
      </c>
      <c r="AJ218" s="65" t="s">
        <v>3006</v>
      </c>
      <c r="AK218" s="64" t="s">
        <v>3007</v>
      </c>
      <c r="AL218" s="64" t="s">
        <v>3008</v>
      </c>
      <c r="AM218" s="64" t="s">
        <v>3009</v>
      </c>
      <c r="AN218" s="64" t="s">
        <v>3010</v>
      </c>
      <c r="AO218" s="64" t="s">
        <v>66</v>
      </c>
      <c r="AP218" s="64" t="s">
        <v>3011</v>
      </c>
    </row>
    <row r="219" spans="1:42" ht="18.75">
      <c r="A219" s="139">
        <v>218</v>
      </c>
      <c r="B219" s="66" t="s">
        <v>3012</v>
      </c>
      <c r="C219" s="66" t="s">
        <v>2985</v>
      </c>
      <c r="D219" s="66"/>
      <c r="E219" s="66" t="s">
        <v>2985</v>
      </c>
      <c r="F219" s="66" t="s">
        <v>1138</v>
      </c>
      <c r="G219" s="66" t="s">
        <v>2986</v>
      </c>
      <c r="H219" s="66" t="s">
        <v>612</v>
      </c>
      <c r="I219" s="71">
        <v>9</v>
      </c>
      <c r="J21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24329</v>
      </c>
      <c r="K219" s="71" t="s">
        <v>2956</v>
      </c>
      <c r="L219" s="71" t="str">
        <f>IF(Table1[[#This Row],[LAST]]="","Unfilled","Filled")</f>
        <v>Filled</v>
      </c>
      <c r="M219" s="66" t="s">
        <v>151</v>
      </c>
      <c r="N219" s="66" t="s">
        <v>3013</v>
      </c>
      <c r="O219" s="66" t="s">
        <v>3014</v>
      </c>
      <c r="P219" s="63"/>
      <c r="Q219" s="64">
        <v>29242</v>
      </c>
      <c r="R219" s="64">
        <v>45124</v>
      </c>
      <c r="S219" s="64">
        <v>45124</v>
      </c>
      <c r="T219" s="64">
        <v>45124</v>
      </c>
      <c r="U219" s="64" t="s">
        <v>51</v>
      </c>
      <c r="V219" s="64" t="s">
        <v>77</v>
      </c>
      <c r="W219" s="66">
        <f t="shared" ca="1" si="8"/>
        <v>46</v>
      </c>
      <c r="X21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19" s="64" t="s">
        <v>3015</v>
      </c>
      <c r="Z219" s="64" t="s">
        <v>3016</v>
      </c>
      <c r="AA219" s="65" t="s">
        <v>2669</v>
      </c>
      <c r="AB219" s="64" t="s">
        <v>2347</v>
      </c>
      <c r="AC219" s="64" t="s">
        <v>103</v>
      </c>
      <c r="AD219" s="65">
        <v>4122</v>
      </c>
      <c r="AE219" s="64" t="s">
        <v>2991</v>
      </c>
      <c r="AF219" s="64" t="s">
        <v>3017</v>
      </c>
      <c r="AG219" s="64" t="s">
        <v>60</v>
      </c>
      <c r="AH219" s="64" t="s">
        <v>3018</v>
      </c>
      <c r="AI219" s="64">
        <v>46044</v>
      </c>
      <c r="AJ219" s="65" t="s">
        <v>3019</v>
      </c>
      <c r="AK219" s="64" t="s">
        <v>3020</v>
      </c>
      <c r="AL219" s="64" t="s">
        <v>3021</v>
      </c>
      <c r="AM219" s="64" t="s">
        <v>3022</v>
      </c>
      <c r="AN219" s="64" t="s">
        <v>3023</v>
      </c>
      <c r="AO219" s="64" t="s">
        <v>66</v>
      </c>
      <c r="AP219" s="64" t="s">
        <v>3024</v>
      </c>
    </row>
    <row r="220" spans="1:42" ht="18.75">
      <c r="A220" s="139">
        <v>219</v>
      </c>
      <c r="B220" s="66" t="s">
        <v>3025</v>
      </c>
      <c r="C220" s="66" t="s">
        <v>3026</v>
      </c>
      <c r="D220" s="66"/>
      <c r="E220" s="66" t="s">
        <v>3027</v>
      </c>
      <c r="F220" s="66" t="s">
        <v>165</v>
      </c>
      <c r="G220" s="66" t="s">
        <v>2955</v>
      </c>
      <c r="H220" s="66" t="s">
        <v>46</v>
      </c>
      <c r="I220" s="71">
        <v>8</v>
      </c>
      <c r="J22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0" s="71" t="s">
        <v>2956</v>
      </c>
      <c r="L220" s="71" t="str">
        <f>IF(Table1[[#This Row],[LAST]]="","Unfilled","Filled")</f>
        <v>Filled</v>
      </c>
      <c r="M220" s="66" t="s">
        <v>3028</v>
      </c>
      <c r="N220" s="66" t="s">
        <v>3029</v>
      </c>
      <c r="O220" s="66" t="s">
        <v>635</v>
      </c>
      <c r="P220" s="63"/>
      <c r="Q220" s="64">
        <v>29536</v>
      </c>
      <c r="R220" s="64">
        <v>45020</v>
      </c>
      <c r="S220" s="64">
        <v>45020</v>
      </c>
      <c r="T220" s="64">
        <v>45020</v>
      </c>
      <c r="U220" s="64" t="s">
        <v>51</v>
      </c>
      <c r="V220" s="64" t="s">
        <v>77</v>
      </c>
      <c r="W220" s="66">
        <f t="shared" ca="1" si="8"/>
        <v>45</v>
      </c>
      <c r="X22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0" s="64" t="s">
        <v>3030</v>
      </c>
      <c r="Z220" s="64" t="s">
        <v>3031</v>
      </c>
      <c r="AA220" s="65" t="s">
        <v>3032</v>
      </c>
      <c r="AB220" s="64" t="s">
        <v>138</v>
      </c>
      <c r="AC220" s="64" t="s">
        <v>103</v>
      </c>
      <c r="AD220" s="65">
        <v>4114</v>
      </c>
      <c r="AE220" s="64" t="s">
        <v>619</v>
      </c>
      <c r="AF220" s="64" t="s">
        <v>3033</v>
      </c>
      <c r="AG220" s="64" t="s">
        <v>2887</v>
      </c>
      <c r="AH220" s="64" t="s">
        <v>66</v>
      </c>
      <c r="AI220" s="64" t="s">
        <v>66</v>
      </c>
      <c r="AJ220" s="65" t="s">
        <v>3034</v>
      </c>
      <c r="AK220" s="64" t="s">
        <v>3035</v>
      </c>
      <c r="AL220" s="64" t="s">
        <v>3036</v>
      </c>
      <c r="AM220" s="64" t="s">
        <v>3037</v>
      </c>
      <c r="AN220" s="64" t="s">
        <v>3038</v>
      </c>
      <c r="AO220" s="64" t="s">
        <v>3039</v>
      </c>
      <c r="AP220" s="64" t="s">
        <v>3040</v>
      </c>
    </row>
    <row r="221" spans="1:42" ht="18.75">
      <c r="A221" s="139">
        <v>220</v>
      </c>
      <c r="B221" s="66" t="s">
        <v>3041</v>
      </c>
      <c r="C221" s="66" t="s">
        <v>3026</v>
      </c>
      <c r="D221" s="66"/>
      <c r="E221" s="66" t="s">
        <v>3027</v>
      </c>
      <c r="F221" s="66" t="s">
        <v>938</v>
      </c>
      <c r="G221" s="66" t="s">
        <v>2955</v>
      </c>
      <c r="H221" s="66" t="s">
        <v>46</v>
      </c>
      <c r="I221" s="71">
        <v>8</v>
      </c>
      <c r="J22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1" s="71" t="s">
        <v>2956</v>
      </c>
      <c r="L221" s="71" t="str">
        <f>IF(Table1[[#This Row],[LAST]]="","Unfilled","Filled")</f>
        <v>Filled</v>
      </c>
      <c r="M221" s="66" t="s">
        <v>3042</v>
      </c>
      <c r="N221" s="66" t="s">
        <v>3043</v>
      </c>
      <c r="O221" s="66" t="s">
        <v>3044</v>
      </c>
      <c r="P221" s="63"/>
      <c r="Q221" s="64">
        <v>35477</v>
      </c>
      <c r="R221" s="64">
        <v>44319</v>
      </c>
      <c r="S221" s="64">
        <v>44319</v>
      </c>
      <c r="T221" s="64">
        <v>44319</v>
      </c>
      <c r="U221" s="64" t="s">
        <v>51</v>
      </c>
      <c r="V221" s="64" t="s">
        <v>77</v>
      </c>
      <c r="W221" s="66">
        <f t="shared" ca="1" si="8"/>
        <v>29</v>
      </c>
      <c r="X22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21" s="64" t="s">
        <v>56</v>
      </c>
      <c r="Z221" s="64" t="s">
        <v>3045</v>
      </c>
      <c r="AA221" s="65" t="s">
        <v>3046</v>
      </c>
      <c r="AB221" s="64" t="s">
        <v>237</v>
      </c>
      <c r="AC221" s="64" t="s">
        <v>103</v>
      </c>
      <c r="AD221" s="65">
        <v>4107</v>
      </c>
      <c r="AE221" s="64" t="s">
        <v>619</v>
      </c>
      <c r="AF221" s="64" t="s">
        <v>3047</v>
      </c>
      <c r="AG221" s="64" t="s">
        <v>2887</v>
      </c>
      <c r="AH221" s="64" t="s">
        <v>66</v>
      </c>
      <c r="AI221" s="64" t="s">
        <v>66</v>
      </c>
      <c r="AJ221" s="65" t="s">
        <v>3048</v>
      </c>
      <c r="AK221" s="64" t="s">
        <v>3049</v>
      </c>
      <c r="AL221" s="64" t="s">
        <v>3050</v>
      </c>
      <c r="AM221" s="64" t="s">
        <v>3051</v>
      </c>
      <c r="AN221" s="64" t="s">
        <v>3052</v>
      </c>
      <c r="AO221" s="64" t="s">
        <v>66</v>
      </c>
      <c r="AP221" s="64" t="s">
        <v>3053</v>
      </c>
    </row>
    <row r="222" spans="1:42" ht="18.75">
      <c r="A222" s="139">
        <v>221</v>
      </c>
      <c r="B222" s="66" t="s">
        <v>3054</v>
      </c>
      <c r="C222" s="66" t="s">
        <v>3055</v>
      </c>
      <c r="D222" s="66"/>
      <c r="E222" s="66" t="s">
        <v>3027</v>
      </c>
      <c r="F222" s="66" t="s">
        <v>887</v>
      </c>
      <c r="G222" s="66" t="s">
        <v>2955</v>
      </c>
      <c r="H222" s="66" t="s">
        <v>632</v>
      </c>
      <c r="I222" s="71">
        <v>8</v>
      </c>
      <c r="J22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2" s="71" t="s">
        <v>2956</v>
      </c>
      <c r="L222" s="71" t="str">
        <f>IF(Table1[[#This Row],[LAST]]="","Unfilled","Filled")</f>
        <v>Filled</v>
      </c>
      <c r="M222" s="63" t="s">
        <v>3056</v>
      </c>
      <c r="N222" s="66" t="s">
        <v>3057</v>
      </c>
      <c r="O222" s="66" t="s">
        <v>3058</v>
      </c>
      <c r="P222" s="63"/>
      <c r="Q222" s="64">
        <v>32789</v>
      </c>
      <c r="R222" s="64">
        <v>45306</v>
      </c>
      <c r="S222" s="64">
        <v>45306</v>
      </c>
      <c r="T222" s="64">
        <v>45306</v>
      </c>
      <c r="U222" s="64" t="s">
        <v>51</v>
      </c>
      <c r="V222" s="64" t="s">
        <v>77</v>
      </c>
      <c r="W222" s="66">
        <f t="shared" ca="1" si="8"/>
        <v>36</v>
      </c>
      <c r="X22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22" s="64" t="s">
        <v>3059</v>
      </c>
      <c r="Z222" s="64" t="s">
        <v>3060</v>
      </c>
      <c r="AA222" s="65" t="s">
        <v>3061</v>
      </c>
      <c r="AB222" s="64" t="s">
        <v>190</v>
      </c>
      <c r="AC222" s="64" t="s">
        <v>103</v>
      </c>
      <c r="AD222" s="65" t="s">
        <v>656</v>
      </c>
      <c r="AE222" s="64" t="s">
        <v>619</v>
      </c>
      <c r="AF222" s="64" t="s">
        <v>895</v>
      </c>
      <c r="AG222" s="64" t="s">
        <v>641</v>
      </c>
      <c r="AH222" s="64" t="s">
        <v>66</v>
      </c>
      <c r="AI222" s="64" t="s">
        <v>66</v>
      </c>
      <c r="AJ222" s="65" t="s">
        <v>3062</v>
      </c>
      <c r="AK222" s="64" t="s">
        <v>3063</v>
      </c>
      <c r="AL222" s="64" t="s">
        <v>3064</v>
      </c>
      <c r="AM222" s="64" t="s">
        <v>3065</v>
      </c>
      <c r="AN222" s="64" t="s">
        <v>3066</v>
      </c>
      <c r="AO222" s="64" t="s">
        <v>3067</v>
      </c>
      <c r="AP222" s="85" t="s">
        <v>3068</v>
      </c>
    </row>
    <row r="223" spans="1:42" ht="18.75">
      <c r="A223" s="139">
        <v>222</v>
      </c>
      <c r="B223" s="66" t="s">
        <v>3069</v>
      </c>
      <c r="C223" s="66" t="s">
        <v>3026</v>
      </c>
      <c r="D223" s="66"/>
      <c r="E223" s="66" t="s">
        <v>3027</v>
      </c>
      <c r="F223" s="66" t="s">
        <v>1001</v>
      </c>
      <c r="G223" s="66" t="s">
        <v>2955</v>
      </c>
      <c r="H223" s="66" t="s">
        <v>632</v>
      </c>
      <c r="I223" s="71">
        <v>8</v>
      </c>
      <c r="J22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3" s="71" t="s">
        <v>2956</v>
      </c>
      <c r="L223" s="71" t="str">
        <f>IF(Table1[[#This Row],[LAST]]="","Unfilled","Filled")</f>
        <v>Filled</v>
      </c>
      <c r="M223" s="63" t="s">
        <v>3070</v>
      </c>
      <c r="N223" s="63" t="s">
        <v>3071</v>
      </c>
      <c r="O223" s="63" t="s">
        <v>2241</v>
      </c>
      <c r="P223" s="63"/>
      <c r="Q223" s="64">
        <v>35555</v>
      </c>
      <c r="R223" s="64">
        <v>44917</v>
      </c>
      <c r="S223" s="64">
        <v>45383</v>
      </c>
      <c r="T223" s="64">
        <v>44917</v>
      </c>
      <c r="U223" s="64" t="s">
        <v>76</v>
      </c>
      <c r="V223" s="64" t="s">
        <v>77</v>
      </c>
      <c r="W223" s="66">
        <f t="shared" ca="1" si="8"/>
        <v>29</v>
      </c>
      <c r="X22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23" s="64" t="s">
        <v>3072</v>
      </c>
      <c r="Z223" s="64" t="s">
        <v>3073</v>
      </c>
      <c r="AA223" s="65" t="s">
        <v>3074</v>
      </c>
      <c r="AB223" s="64" t="s">
        <v>138</v>
      </c>
      <c r="AC223" s="64" t="s">
        <v>103</v>
      </c>
      <c r="AD223" s="65">
        <v>4114</v>
      </c>
      <c r="AE223" s="64" t="s">
        <v>619</v>
      </c>
      <c r="AF223" s="64" t="s">
        <v>3075</v>
      </c>
      <c r="AG223" s="64" t="s">
        <v>641</v>
      </c>
      <c r="AH223" s="64" t="s">
        <v>66</v>
      </c>
      <c r="AI223" s="64" t="s">
        <v>66</v>
      </c>
      <c r="AJ223" s="65" t="s">
        <v>3076</v>
      </c>
      <c r="AK223" s="64" t="s">
        <v>3077</v>
      </c>
      <c r="AL223" s="64" t="s">
        <v>3078</v>
      </c>
      <c r="AM223" s="64" t="s">
        <v>3079</v>
      </c>
      <c r="AN223" s="64" t="s">
        <v>3080</v>
      </c>
      <c r="AO223" s="64" t="s">
        <v>3081</v>
      </c>
      <c r="AP223" s="64" t="s">
        <v>3082</v>
      </c>
    </row>
    <row r="224" spans="1:42" ht="18.75">
      <c r="A224" s="139">
        <v>223</v>
      </c>
      <c r="B224" s="66" t="s">
        <v>3083</v>
      </c>
      <c r="C224" s="66" t="s">
        <v>3055</v>
      </c>
      <c r="D224" s="66"/>
      <c r="E224" s="66" t="s">
        <v>3027</v>
      </c>
      <c r="F224" s="66" t="s">
        <v>887</v>
      </c>
      <c r="G224" s="66" t="s">
        <v>2955</v>
      </c>
      <c r="H224" s="66" t="s">
        <v>632</v>
      </c>
      <c r="I224" s="71">
        <v>8</v>
      </c>
      <c r="J22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4" s="71" t="s">
        <v>2956</v>
      </c>
      <c r="L224" s="71" t="str">
        <f>IF(Table1[[#This Row],[LAST]]="","Unfilled","Filled")</f>
        <v>Unfilled</v>
      </c>
      <c r="M224" s="140"/>
      <c r="N224" s="140"/>
      <c r="O224" s="140" t="s">
        <v>3084</v>
      </c>
      <c r="P224" s="63"/>
      <c r="Q224" s="64"/>
      <c r="R224" s="64"/>
      <c r="S224" s="64"/>
      <c r="T224" s="64"/>
      <c r="U224" s="64"/>
      <c r="V224" s="64"/>
      <c r="W224" s="66"/>
      <c r="X224" s="66"/>
      <c r="Y224" s="64"/>
      <c r="Z224" s="64"/>
      <c r="AA224" s="65"/>
      <c r="AB224" s="64"/>
      <c r="AC224" s="64"/>
      <c r="AD224" s="65"/>
      <c r="AE224" s="64"/>
      <c r="AF224" s="64"/>
      <c r="AG224" s="64"/>
      <c r="AH224" s="64"/>
      <c r="AI224" s="64"/>
      <c r="AJ224" s="65"/>
      <c r="AK224" s="64"/>
      <c r="AL224" s="64"/>
      <c r="AM224" s="64"/>
      <c r="AN224" s="64"/>
      <c r="AO224" s="64"/>
      <c r="AP224" s="64"/>
    </row>
    <row r="225" spans="1:42" ht="18.75">
      <c r="A225" s="139">
        <v>224</v>
      </c>
      <c r="B225" s="66" t="s">
        <v>3085</v>
      </c>
      <c r="C225" s="66" t="s">
        <v>3086</v>
      </c>
      <c r="D225" s="66"/>
      <c r="E225" s="66" t="s">
        <v>3027</v>
      </c>
      <c r="F225" s="66" t="s">
        <v>954</v>
      </c>
      <c r="G225" s="66" t="s">
        <v>2955</v>
      </c>
      <c r="H225" s="66" t="s">
        <v>632</v>
      </c>
      <c r="I225" s="71">
        <v>8</v>
      </c>
      <c r="J22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5" s="71" t="s">
        <v>2956</v>
      </c>
      <c r="L225" s="71" t="str">
        <f>IF(Table1[[#This Row],[LAST]]="","Unfilled","Filled")</f>
        <v>Filled</v>
      </c>
      <c r="M225" s="63" t="s">
        <v>2654</v>
      </c>
      <c r="N225" s="63" t="s">
        <v>3087</v>
      </c>
      <c r="O225" s="63" t="s">
        <v>3088</v>
      </c>
      <c r="P225" s="63"/>
      <c r="Q225" s="150">
        <v>33750</v>
      </c>
      <c r="R225" s="64">
        <v>45117</v>
      </c>
      <c r="S225" s="64">
        <v>45117</v>
      </c>
      <c r="T225" s="64">
        <v>45117</v>
      </c>
      <c r="U225" s="64" t="s">
        <v>76</v>
      </c>
      <c r="V225" s="64" t="s">
        <v>77</v>
      </c>
      <c r="W225" s="66">
        <f t="shared" ref="W225:W270" ca="1" si="9">DATEDIF(Q225,TODAY(),"Y")</f>
        <v>34</v>
      </c>
      <c r="X22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25" s="64" t="s">
        <v>3089</v>
      </c>
      <c r="Z225" s="64" t="s">
        <v>3090</v>
      </c>
      <c r="AA225" s="65" t="s">
        <v>3091</v>
      </c>
      <c r="AB225" s="64" t="s">
        <v>102</v>
      </c>
      <c r="AC225" s="64" t="s">
        <v>103</v>
      </c>
      <c r="AD225" s="65">
        <v>4103</v>
      </c>
      <c r="AE225" s="64" t="s">
        <v>619</v>
      </c>
      <c r="AF225" s="64" t="s">
        <v>2540</v>
      </c>
      <c r="AG225" s="64" t="s">
        <v>641</v>
      </c>
      <c r="AH225" s="64" t="s">
        <v>66</v>
      </c>
      <c r="AI225" s="64" t="s">
        <v>66</v>
      </c>
      <c r="AJ225" s="65" t="s">
        <v>3092</v>
      </c>
      <c r="AK225" s="64" t="s">
        <v>3093</v>
      </c>
      <c r="AL225" s="64" t="s">
        <v>3094</v>
      </c>
      <c r="AM225" s="64" t="s">
        <v>3095</v>
      </c>
      <c r="AN225" s="64" t="s">
        <v>3096</v>
      </c>
      <c r="AO225" s="64" t="s">
        <v>66</v>
      </c>
      <c r="AP225" s="64" t="s">
        <v>3097</v>
      </c>
    </row>
    <row r="226" spans="1:42" ht="18.75">
      <c r="A226" s="139">
        <v>225</v>
      </c>
      <c r="B226" s="66" t="s">
        <v>3098</v>
      </c>
      <c r="C226" s="66" t="s">
        <v>3099</v>
      </c>
      <c r="D226" s="66"/>
      <c r="E226" s="66" t="s">
        <v>3027</v>
      </c>
      <c r="F226" s="66" t="s">
        <v>968</v>
      </c>
      <c r="G226" s="66" t="s">
        <v>2955</v>
      </c>
      <c r="H226" s="66" t="s">
        <v>632</v>
      </c>
      <c r="I226" s="71">
        <v>8</v>
      </c>
      <c r="J22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6" s="71" t="s">
        <v>2956</v>
      </c>
      <c r="L226" s="71" t="str">
        <f>IF(Table1[[#This Row],[LAST]]="","Unfilled","Filled")</f>
        <v>Filled</v>
      </c>
      <c r="M226" s="63" t="s">
        <v>3100</v>
      </c>
      <c r="N226" s="63" t="s">
        <v>3101</v>
      </c>
      <c r="O226" s="63" t="s">
        <v>3102</v>
      </c>
      <c r="P226" s="63"/>
      <c r="Q226" s="150">
        <v>31100</v>
      </c>
      <c r="R226" s="150">
        <v>44691</v>
      </c>
      <c r="S226" s="64">
        <v>44691</v>
      </c>
      <c r="T226" s="64">
        <v>44691</v>
      </c>
      <c r="U226" s="64" t="s">
        <v>76</v>
      </c>
      <c r="V226" s="64" t="s">
        <v>52</v>
      </c>
      <c r="W226" s="66">
        <f t="shared" ca="1" si="9"/>
        <v>41</v>
      </c>
      <c r="X22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6" s="64" t="s">
        <v>3103</v>
      </c>
      <c r="Z226" s="64" t="s">
        <v>3104</v>
      </c>
      <c r="AA226" s="65" t="s">
        <v>1054</v>
      </c>
      <c r="AB226" s="64" t="s">
        <v>190</v>
      </c>
      <c r="AC226" s="64" t="s">
        <v>103</v>
      </c>
      <c r="AD226" s="65">
        <v>4102</v>
      </c>
      <c r="AE226" s="64" t="s">
        <v>619</v>
      </c>
      <c r="AF226" s="64" t="s">
        <v>895</v>
      </c>
      <c r="AG226" s="64" t="s">
        <v>641</v>
      </c>
      <c r="AH226" s="64" t="s">
        <v>66</v>
      </c>
      <c r="AI226" s="64" t="s">
        <v>66</v>
      </c>
      <c r="AJ226" s="65" t="s">
        <v>3105</v>
      </c>
      <c r="AK226" s="64" t="s">
        <v>3106</v>
      </c>
      <c r="AL226" s="64" t="s">
        <v>3107</v>
      </c>
      <c r="AM226" s="64" t="s">
        <v>3108</v>
      </c>
      <c r="AN226" s="64" t="s">
        <v>3109</v>
      </c>
      <c r="AO226" s="64" t="s">
        <v>66</v>
      </c>
      <c r="AP226" s="64" t="s">
        <v>3110</v>
      </c>
    </row>
    <row r="227" spans="1:42" ht="18.75">
      <c r="A227" s="139">
        <v>226</v>
      </c>
      <c r="B227" s="66" t="s">
        <v>3111</v>
      </c>
      <c r="C227" s="66" t="s">
        <v>3026</v>
      </c>
      <c r="D227" s="66"/>
      <c r="E227" s="66" t="s">
        <v>3027</v>
      </c>
      <c r="F227" s="66" t="s">
        <v>1017</v>
      </c>
      <c r="G227" s="66" t="s">
        <v>2955</v>
      </c>
      <c r="H227" s="66" t="s">
        <v>632</v>
      </c>
      <c r="I227" s="71">
        <v>8</v>
      </c>
      <c r="J22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7" s="71" t="s">
        <v>2956</v>
      </c>
      <c r="L227" s="71" t="str">
        <f>IF(Table1[[#This Row],[LAST]]="","Unfilled","Filled")</f>
        <v>Filled</v>
      </c>
      <c r="M227" s="66" t="s">
        <v>3112</v>
      </c>
      <c r="N227" s="66" t="s">
        <v>3113</v>
      </c>
      <c r="O227" s="66" t="s">
        <v>3114</v>
      </c>
      <c r="P227" s="63"/>
      <c r="Q227" s="64">
        <v>31395</v>
      </c>
      <c r="R227" s="64">
        <v>44319</v>
      </c>
      <c r="S227" s="64">
        <v>44319</v>
      </c>
      <c r="T227" s="64">
        <v>45019</v>
      </c>
      <c r="U227" s="64" t="s">
        <v>51</v>
      </c>
      <c r="V227" s="64" t="s">
        <v>52</v>
      </c>
      <c r="W227" s="66">
        <f t="shared" ca="1" si="9"/>
        <v>40</v>
      </c>
      <c r="X22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7" s="64" t="s">
        <v>3115</v>
      </c>
      <c r="Z227" s="64" t="s">
        <v>3116</v>
      </c>
      <c r="AA227" s="65" t="s">
        <v>302</v>
      </c>
      <c r="AB227" s="64" t="s">
        <v>237</v>
      </c>
      <c r="AC227" s="64" t="s">
        <v>103</v>
      </c>
      <c r="AD227" s="65">
        <v>4107</v>
      </c>
      <c r="AE227" s="64" t="s">
        <v>3117</v>
      </c>
      <c r="AF227" s="64" t="s">
        <v>1025</v>
      </c>
      <c r="AG227" s="64" t="s">
        <v>2887</v>
      </c>
      <c r="AH227" s="64" t="s">
        <v>66</v>
      </c>
      <c r="AI227" s="64" t="s">
        <v>66</v>
      </c>
      <c r="AJ227" s="65" t="s">
        <v>3118</v>
      </c>
      <c r="AK227" s="64" t="s">
        <v>3119</v>
      </c>
      <c r="AL227" s="64" t="s">
        <v>3120</v>
      </c>
      <c r="AM227" s="64" t="s">
        <v>3121</v>
      </c>
      <c r="AN227" s="64" t="s">
        <v>3122</v>
      </c>
      <c r="AO227" s="64" t="s">
        <v>66</v>
      </c>
      <c r="AP227" s="64" t="s">
        <v>3123</v>
      </c>
    </row>
    <row r="228" spans="1:42" ht="18.75">
      <c r="A228" s="139">
        <v>227</v>
      </c>
      <c r="B228" s="66" t="s">
        <v>3124</v>
      </c>
      <c r="C228" s="66" t="s">
        <v>3125</v>
      </c>
      <c r="D228" s="66"/>
      <c r="E228" s="66" t="s">
        <v>3125</v>
      </c>
      <c r="F228" s="66" t="s">
        <v>938</v>
      </c>
      <c r="G228" s="66" t="s">
        <v>3126</v>
      </c>
      <c r="H228" s="66" t="s">
        <v>46</v>
      </c>
      <c r="I228" s="71">
        <v>8</v>
      </c>
      <c r="J22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8" s="71" t="s">
        <v>2956</v>
      </c>
      <c r="L228" s="71" t="str">
        <f>IF(Table1[[#This Row],[LAST]]="","Unfilled","Filled")</f>
        <v>Filled</v>
      </c>
      <c r="M228" s="63" t="s">
        <v>3127</v>
      </c>
      <c r="N228" s="63" t="s">
        <v>3128</v>
      </c>
      <c r="O228" s="63" t="s">
        <v>3129</v>
      </c>
      <c r="P228" s="63"/>
      <c r="Q228" s="64">
        <v>23597</v>
      </c>
      <c r="R228" s="64">
        <v>43087</v>
      </c>
      <c r="S228" s="64">
        <v>44728</v>
      </c>
      <c r="T228" s="64">
        <v>44728</v>
      </c>
      <c r="U228" s="64" t="s">
        <v>51</v>
      </c>
      <c r="V228" s="64" t="s">
        <v>77</v>
      </c>
      <c r="W228" s="66">
        <f t="shared" ca="1" si="9"/>
        <v>62</v>
      </c>
      <c r="X22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228" s="64" t="s">
        <v>154</v>
      </c>
      <c r="Z228" s="64" t="s">
        <v>3130</v>
      </c>
      <c r="AA228" s="65" t="s">
        <v>3131</v>
      </c>
      <c r="AB228" s="64" t="s">
        <v>1184</v>
      </c>
      <c r="AC228" s="64" t="s">
        <v>103</v>
      </c>
      <c r="AD228" s="65">
        <v>4104</v>
      </c>
      <c r="AE228" s="64" t="s">
        <v>619</v>
      </c>
      <c r="AF228" s="64" t="s">
        <v>3132</v>
      </c>
      <c r="AG228" s="64" t="s">
        <v>2887</v>
      </c>
      <c r="AH228" s="64" t="s">
        <v>66</v>
      </c>
      <c r="AI228" s="64" t="s">
        <v>66</v>
      </c>
      <c r="AJ228" s="65" t="s">
        <v>3133</v>
      </c>
      <c r="AK228" s="64" t="s">
        <v>3134</v>
      </c>
      <c r="AL228" s="64" t="s">
        <v>3135</v>
      </c>
      <c r="AM228" s="64" t="s">
        <v>3136</v>
      </c>
      <c r="AN228" s="64" t="s">
        <v>3137</v>
      </c>
      <c r="AO228" s="64" t="s">
        <v>66</v>
      </c>
      <c r="AP228" s="85" t="s">
        <v>3138</v>
      </c>
    </row>
    <row r="229" spans="1:42" ht="18.75">
      <c r="A229" s="139">
        <v>228</v>
      </c>
      <c r="B229" s="66" t="s">
        <v>3139</v>
      </c>
      <c r="C229" s="66" t="s">
        <v>3140</v>
      </c>
      <c r="D229" s="66"/>
      <c r="E229" s="66" t="s">
        <v>3140</v>
      </c>
      <c r="F229" s="66" t="s">
        <v>3141</v>
      </c>
      <c r="G229" s="66" t="s">
        <v>3140</v>
      </c>
      <c r="H229" s="66" t="s">
        <v>632</v>
      </c>
      <c r="I229" s="71">
        <v>8</v>
      </c>
      <c r="J22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29" s="71" t="s">
        <v>2956</v>
      </c>
      <c r="L229" s="71" t="str">
        <f>IF(Table1[[#This Row],[LAST]]="","Unfilled","Filled")</f>
        <v>Filled</v>
      </c>
      <c r="M229" s="66" t="s">
        <v>1556</v>
      </c>
      <c r="N229" s="66" t="s">
        <v>3142</v>
      </c>
      <c r="O229" s="66" t="s">
        <v>3143</v>
      </c>
      <c r="P229" s="63"/>
      <c r="Q229" s="64">
        <v>30627</v>
      </c>
      <c r="R229" s="64">
        <v>41198</v>
      </c>
      <c r="S229" s="64">
        <v>44348</v>
      </c>
      <c r="T229" s="64">
        <v>44718</v>
      </c>
      <c r="U229" s="64" t="s">
        <v>51</v>
      </c>
      <c r="V229" s="64" t="s">
        <v>52</v>
      </c>
      <c r="W229" s="66">
        <f t="shared" ca="1" si="9"/>
        <v>42</v>
      </c>
      <c r="X22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29" s="64" t="s">
        <v>154</v>
      </c>
      <c r="Z229" s="65">
        <v>380</v>
      </c>
      <c r="AA229" s="65" t="s">
        <v>1105</v>
      </c>
      <c r="AB229" s="64" t="s">
        <v>102</v>
      </c>
      <c r="AC229" s="64" t="s">
        <v>103</v>
      </c>
      <c r="AD229" s="65">
        <v>4103</v>
      </c>
      <c r="AE229" s="64" t="s">
        <v>3144</v>
      </c>
      <c r="AF229" s="64" t="s">
        <v>3145</v>
      </c>
      <c r="AG229" s="64" t="s">
        <v>66</v>
      </c>
      <c r="AH229" s="64" t="s">
        <v>66</v>
      </c>
      <c r="AI229" s="64" t="s">
        <v>66</v>
      </c>
      <c r="AJ229" s="65" t="s">
        <v>3146</v>
      </c>
      <c r="AK229" s="64" t="s">
        <v>3147</v>
      </c>
      <c r="AL229" s="64" t="s">
        <v>3148</v>
      </c>
      <c r="AM229" s="64" t="s">
        <v>3149</v>
      </c>
      <c r="AN229" s="64" t="s">
        <v>3150</v>
      </c>
      <c r="AO229" s="64" t="s">
        <v>1743</v>
      </c>
      <c r="AP229" s="64" t="s">
        <v>3151</v>
      </c>
    </row>
    <row r="230" spans="1:42" ht="18.75">
      <c r="A230" s="139">
        <v>229</v>
      </c>
      <c r="B230" s="66" t="s">
        <v>3152</v>
      </c>
      <c r="C230" s="66" t="s">
        <v>3153</v>
      </c>
      <c r="D230" s="66"/>
      <c r="E230" s="66" t="s">
        <v>3153</v>
      </c>
      <c r="F230" s="66" t="s">
        <v>1247</v>
      </c>
      <c r="G230" s="66" t="s">
        <v>3154</v>
      </c>
      <c r="H230" s="66" t="s">
        <v>632</v>
      </c>
      <c r="I230" s="71">
        <v>8</v>
      </c>
      <c r="J23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30" s="71" t="s">
        <v>2956</v>
      </c>
      <c r="L230" s="71" t="str">
        <f>IF(Table1[[#This Row],[LAST]]="","Unfilled","Filled")</f>
        <v>Filled</v>
      </c>
      <c r="M230" s="63" t="s">
        <v>3155</v>
      </c>
      <c r="N230" s="63" t="s">
        <v>3156</v>
      </c>
      <c r="O230" s="63" t="s">
        <v>1357</v>
      </c>
      <c r="P230" s="63"/>
      <c r="Q230" s="64">
        <v>35041</v>
      </c>
      <c r="R230" s="64">
        <v>44676</v>
      </c>
      <c r="S230" s="64">
        <v>45293</v>
      </c>
      <c r="T230" s="64">
        <v>45293</v>
      </c>
      <c r="U230" s="64" t="s">
        <v>76</v>
      </c>
      <c r="V230" s="64" t="s">
        <v>52</v>
      </c>
      <c r="W230" s="66">
        <f t="shared" ca="1" si="9"/>
        <v>30</v>
      </c>
      <c r="X23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0" s="64" t="s">
        <v>520</v>
      </c>
      <c r="Z230" s="64" t="s">
        <v>3157</v>
      </c>
      <c r="AA230" s="65" t="s">
        <v>3158</v>
      </c>
      <c r="AB230" s="64" t="s">
        <v>523</v>
      </c>
      <c r="AC230" s="64" t="s">
        <v>103</v>
      </c>
      <c r="AD230" s="65">
        <v>4108</v>
      </c>
      <c r="AE230" s="64" t="s">
        <v>619</v>
      </c>
      <c r="AF230" s="64" t="s">
        <v>3159</v>
      </c>
      <c r="AG230" s="64" t="s">
        <v>3154</v>
      </c>
      <c r="AH230" s="64" t="s">
        <v>66</v>
      </c>
      <c r="AI230" s="64" t="s">
        <v>66</v>
      </c>
      <c r="AJ230" s="65" t="s">
        <v>3160</v>
      </c>
      <c r="AK230" s="64" t="s">
        <v>3161</v>
      </c>
      <c r="AL230" s="64" t="s">
        <v>3162</v>
      </c>
      <c r="AM230" s="64" t="s">
        <v>3163</v>
      </c>
      <c r="AN230" s="64" t="s">
        <v>3164</v>
      </c>
      <c r="AO230" s="64" t="s">
        <v>3165</v>
      </c>
      <c r="AP230" s="85" t="s">
        <v>3166</v>
      </c>
    </row>
    <row r="231" spans="1:42" ht="18.75">
      <c r="A231" s="139">
        <v>230</v>
      </c>
      <c r="B231" s="66" t="s">
        <v>3167</v>
      </c>
      <c r="C231" s="66" t="s">
        <v>3168</v>
      </c>
      <c r="D231" s="77"/>
      <c r="E231" s="77" t="s">
        <v>3168</v>
      </c>
      <c r="F231" s="77" t="s">
        <v>1117</v>
      </c>
      <c r="G231" s="66" t="s">
        <v>3169</v>
      </c>
      <c r="H231" s="66" t="s">
        <v>46</v>
      </c>
      <c r="I231" s="71">
        <v>8</v>
      </c>
      <c r="J23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31" s="71" t="s">
        <v>2956</v>
      </c>
      <c r="L231" s="71" t="str">
        <f>IF(Table1[[#This Row],[LAST]]="","Unfilled","Filled")</f>
        <v>Filled</v>
      </c>
      <c r="M231" s="63" t="s">
        <v>3170</v>
      </c>
      <c r="N231" s="63" t="s">
        <v>3171</v>
      </c>
      <c r="O231" s="63" t="s">
        <v>3172</v>
      </c>
      <c r="P231" s="63"/>
      <c r="Q231" s="64">
        <v>34955</v>
      </c>
      <c r="R231" s="64">
        <v>45474</v>
      </c>
      <c r="S231" s="64">
        <v>45474</v>
      </c>
      <c r="T231" s="64">
        <v>45474</v>
      </c>
      <c r="U231" s="64" t="s">
        <v>76</v>
      </c>
      <c r="V231" s="64" t="s">
        <v>77</v>
      </c>
      <c r="W231" s="66">
        <f t="shared" ca="1" si="9"/>
        <v>30</v>
      </c>
      <c r="X23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1" s="64" t="s">
        <v>3173</v>
      </c>
      <c r="Z231" s="64" t="s">
        <v>3174</v>
      </c>
      <c r="AA231" s="65" t="s">
        <v>3175</v>
      </c>
      <c r="AB231" s="64" t="s">
        <v>102</v>
      </c>
      <c r="AC231" s="64" t="s">
        <v>103</v>
      </c>
      <c r="AD231" s="65" t="s">
        <v>1106</v>
      </c>
      <c r="AE231" s="64" t="s">
        <v>619</v>
      </c>
      <c r="AF231" s="64" t="s">
        <v>2602</v>
      </c>
      <c r="AG231" s="64" t="s">
        <v>3176</v>
      </c>
      <c r="AH231" s="64" t="s">
        <v>66</v>
      </c>
      <c r="AI231" s="64" t="s">
        <v>66</v>
      </c>
      <c r="AJ231" s="65" t="s">
        <v>3177</v>
      </c>
      <c r="AK231" s="64" t="s">
        <v>3178</v>
      </c>
      <c r="AL231" s="64" t="s">
        <v>3179</v>
      </c>
      <c r="AM231" s="64" t="s">
        <v>3180</v>
      </c>
      <c r="AN231" s="64" t="s">
        <v>3181</v>
      </c>
      <c r="AO231" s="64" t="s">
        <v>66</v>
      </c>
      <c r="AP231" s="85" t="s">
        <v>3182</v>
      </c>
    </row>
    <row r="232" spans="1:42" ht="18.75">
      <c r="A232" s="139">
        <v>231</v>
      </c>
      <c r="B232" s="66" t="s">
        <v>3183</v>
      </c>
      <c r="C232" s="66" t="s">
        <v>3184</v>
      </c>
      <c r="D232" s="66"/>
      <c r="E232" s="66" t="s">
        <v>3184</v>
      </c>
      <c r="F232" s="66" t="s">
        <v>984</v>
      </c>
      <c r="G232" s="66" t="s">
        <v>3185</v>
      </c>
      <c r="H232" s="66" t="s">
        <v>632</v>
      </c>
      <c r="I232" s="71">
        <v>8</v>
      </c>
      <c r="J23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22423</v>
      </c>
      <c r="K232" s="71" t="s">
        <v>2956</v>
      </c>
      <c r="L232" s="71" t="str">
        <f>IF(Table1[[#This Row],[LAST]]="","Unfilled","Filled")</f>
        <v>Filled</v>
      </c>
      <c r="M232" s="63" t="s">
        <v>3186</v>
      </c>
      <c r="N232" s="63" t="s">
        <v>3187</v>
      </c>
      <c r="O232" s="63" t="s">
        <v>1556</v>
      </c>
      <c r="P232" s="63"/>
      <c r="Q232" s="64">
        <v>33365</v>
      </c>
      <c r="R232" s="64">
        <v>45110</v>
      </c>
      <c r="S232" s="64">
        <v>45110</v>
      </c>
      <c r="T232" s="64">
        <v>45110</v>
      </c>
      <c r="U232" s="64" t="s">
        <v>76</v>
      </c>
      <c r="V232" s="64" t="s">
        <v>52</v>
      </c>
      <c r="W232" s="66">
        <f t="shared" ca="1" si="9"/>
        <v>35</v>
      </c>
      <c r="X23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2" s="64" t="s">
        <v>3188</v>
      </c>
      <c r="Z232" s="64" t="s">
        <v>3189</v>
      </c>
      <c r="AA232" s="65" t="s">
        <v>3190</v>
      </c>
      <c r="AB232" s="64" t="s">
        <v>138</v>
      </c>
      <c r="AC232" s="64" t="s">
        <v>103</v>
      </c>
      <c r="AD232" s="65">
        <v>4114</v>
      </c>
      <c r="AE232" s="64" t="s">
        <v>619</v>
      </c>
      <c r="AF232" s="64" t="s">
        <v>3191</v>
      </c>
      <c r="AG232" s="64" t="s">
        <v>2887</v>
      </c>
      <c r="AH232" s="64" t="s">
        <v>66</v>
      </c>
      <c r="AI232" s="64" t="s">
        <v>66</v>
      </c>
      <c r="AJ232" s="65" t="s">
        <v>3192</v>
      </c>
      <c r="AK232" s="64" t="s">
        <v>3193</v>
      </c>
      <c r="AL232" s="64" t="s">
        <v>3194</v>
      </c>
      <c r="AM232" s="64" t="s">
        <v>3195</v>
      </c>
      <c r="AN232" s="64" t="s">
        <v>3196</v>
      </c>
      <c r="AO232" s="64" t="s">
        <v>66</v>
      </c>
      <c r="AP232" s="85" t="s">
        <v>3197</v>
      </c>
    </row>
    <row r="233" spans="1:42" ht="18.75">
      <c r="A233" s="139">
        <v>232</v>
      </c>
      <c r="B233" s="66" t="s">
        <v>3198</v>
      </c>
      <c r="C233" s="66" t="s">
        <v>3199</v>
      </c>
      <c r="D233" s="66"/>
      <c r="E233" s="66" t="s">
        <v>3200</v>
      </c>
      <c r="F233" s="66" t="s">
        <v>938</v>
      </c>
      <c r="G233" s="66" t="s">
        <v>2955</v>
      </c>
      <c r="H233" s="66" t="s">
        <v>46</v>
      </c>
      <c r="I233" s="71">
        <v>7</v>
      </c>
      <c r="J23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3" s="71" t="s">
        <v>2956</v>
      </c>
      <c r="L233" s="71" t="str">
        <f>IF(Table1[[#This Row],[LAST]]="","Unfilled","Filled")</f>
        <v>Filled</v>
      </c>
      <c r="M233" s="63" t="s">
        <v>2029</v>
      </c>
      <c r="N233" s="63" t="s">
        <v>3201</v>
      </c>
      <c r="O233" s="63" t="s">
        <v>819</v>
      </c>
      <c r="P233" s="63"/>
      <c r="Q233" s="64">
        <v>30109</v>
      </c>
      <c r="R233" s="64">
        <v>45659</v>
      </c>
      <c r="S233" s="64">
        <v>45659</v>
      </c>
      <c r="T233" s="64">
        <v>45659</v>
      </c>
      <c r="U233" s="64" t="s">
        <v>76</v>
      </c>
      <c r="V233" s="64" t="s">
        <v>52</v>
      </c>
      <c r="W233" s="66">
        <f t="shared" ca="1" si="9"/>
        <v>44</v>
      </c>
      <c r="X23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3" s="64" t="s">
        <v>697</v>
      </c>
      <c r="Z233" s="156" t="s">
        <v>3202</v>
      </c>
      <c r="AA233" s="65" t="s">
        <v>3203</v>
      </c>
      <c r="AB233" s="64" t="s">
        <v>102</v>
      </c>
      <c r="AC233" s="64" t="s">
        <v>103</v>
      </c>
      <c r="AD233" s="65" t="s">
        <v>1106</v>
      </c>
      <c r="AE233" s="64" t="s">
        <v>619</v>
      </c>
      <c r="AF233" s="64" t="s">
        <v>3204</v>
      </c>
      <c r="AG233" s="64" t="s">
        <v>641</v>
      </c>
      <c r="AH233" s="64" t="s">
        <v>66</v>
      </c>
      <c r="AI233" s="64" t="s">
        <v>66</v>
      </c>
      <c r="AJ233" s="65" t="s">
        <v>3205</v>
      </c>
      <c r="AK233" s="64" t="s">
        <v>3206</v>
      </c>
      <c r="AL233" s="64" t="s">
        <v>3207</v>
      </c>
      <c r="AM233" s="64" t="s">
        <v>3208</v>
      </c>
      <c r="AN233" s="64" t="s">
        <v>3209</v>
      </c>
      <c r="AO233" s="64" t="s">
        <v>3210</v>
      </c>
      <c r="AP233" s="85" t="s">
        <v>3211</v>
      </c>
    </row>
    <row r="234" spans="1:42" ht="18.75">
      <c r="A234" s="139">
        <v>233</v>
      </c>
      <c r="B234" s="66" t="s">
        <v>3212</v>
      </c>
      <c r="C234" s="66" t="s">
        <v>3199</v>
      </c>
      <c r="D234" s="66"/>
      <c r="E234" s="66" t="s">
        <v>3200</v>
      </c>
      <c r="F234" s="66" t="s">
        <v>1001</v>
      </c>
      <c r="G234" s="66" t="s">
        <v>2955</v>
      </c>
      <c r="H234" s="66" t="s">
        <v>46</v>
      </c>
      <c r="I234" s="71">
        <v>7</v>
      </c>
      <c r="J23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4" s="71" t="s">
        <v>2956</v>
      </c>
      <c r="L234" s="71" t="str">
        <f>IF(Table1[[#This Row],[LAST]]="","Unfilled","Filled")</f>
        <v>Filled</v>
      </c>
      <c r="M234" s="63" t="s">
        <v>3213</v>
      </c>
      <c r="N234" s="63" t="s">
        <v>3214</v>
      </c>
      <c r="O234" s="63" t="s">
        <v>3215</v>
      </c>
      <c r="P234" s="63"/>
      <c r="Q234" s="64">
        <v>35696</v>
      </c>
      <c r="R234" s="64">
        <v>45264</v>
      </c>
      <c r="S234" s="64">
        <v>45264</v>
      </c>
      <c r="T234" s="64">
        <v>45264</v>
      </c>
      <c r="U234" s="64" t="s">
        <v>76</v>
      </c>
      <c r="V234" s="64" t="s">
        <v>52</v>
      </c>
      <c r="W234" s="66">
        <f t="shared" ca="1" si="9"/>
        <v>28</v>
      </c>
      <c r="X23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34" s="64" t="s">
        <v>121</v>
      </c>
      <c r="Z234" s="64">
        <v>139</v>
      </c>
      <c r="AA234" s="65" t="s">
        <v>3216</v>
      </c>
      <c r="AB234" s="64" t="s">
        <v>523</v>
      </c>
      <c r="AC234" s="64" t="s">
        <v>103</v>
      </c>
      <c r="AD234" s="65">
        <v>4108</v>
      </c>
      <c r="AE234" s="64" t="s">
        <v>619</v>
      </c>
      <c r="AF234" s="64" t="s">
        <v>3217</v>
      </c>
      <c r="AG234" s="64" t="s">
        <v>641</v>
      </c>
      <c r="AH234" s="64" t="s">
        <v>66</v>
      </c>
      <c r="AI234" s="64" t="s">
        <v>66</v>
      </c>
      <c r="AJ234" s="65" t="s">
        <v>3218</v>
      </c>
      <c r="AK234" s="64" t="s">
        <v>3219</v>
      </c>
      <c r="AL234" s="64" t="s">
        <v>3220</v>
      </c>
      <c r="AM234" s="64" t="s">
        <v>3221</v>
      </c>
      <c r="AN234" s="64" t="s">
        <v>3222</v>
      </c>
      <c r="AO234" s="64" t="s">
        <v>66</v>
      </c>
      <c r="AP234" s="64" t="s">
        <v>3223</v>
      </c>
    </row>
    <row r="235" spans="1:42" ht="18.75">
      <c r="A235" s="139">
        <v>234</v>
      </c>
      <c r="B235" s="66" t="s">
        <v>3224</v>
      </c>
      <c r="C235" s="66" t="s">
        <v>3225</v>
      </c>
      <c r="D235" s="66"/>
      <c r="E235" s="66" t="s">
        <v>3200</v>
      </c>
      <c r="F235" s="66" t="s">
        <v>1734</v>
      </c>
      <c r="G235" s="66" t="s">
        <v>2955</v>
      </c>
      <c r="H235" s="66" t="s">
        <v>632</v>
      </c>
      <c r="I235" s="71">
        <v>7</v>
      </c>
      <c r="J23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5" s="71" t="s">
        <v>2956</v>
      </c>
      <c r="L235" s="71" t="str">
        <f>IF(Table1[[#This Row],[LAST]]="","Unfilled","Filled")</f>
        <v>Filled</v>
      </c>
      <c r="M235" s="63" t="s">
        <v>3226</v>
      </c>
      <c r="N235" s="63" t="s">
        <v>3227</v>
      </c>
      <c r="O235" s="63" t="s">
        <v>3228</v>
      </c>
      <c r="P235" s="63"/>
      <c r="Q235" s="64">
        <v>30358</v>
      </c>
      <c r="R235" s="64">
        <v>45293</v>
      </c>
      <c r="S235" s="64">
        <v>45293</v>
      </c>
      <c r="T235" s="64">
        <v>45293</v>
      </c>
      <c r="U235" s="64" t="s">
        <v>51</v>
      </c>
      <c r="V235" s="64" t="s">
        <v>77</v>
      </c>
      <c r="W235" s="66">
        <f t="shared" ca="1" si="9"/>
        <v>43</v>
      </c>
      <c r="X2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5" s="64" t="s">
        <v>2845</v>
      </c>
      <c r="Z235" s="64" t="s">
        <v>3229</v>
      </c>
      <c r="AA235" s="65" t="s">
        <v>684</v>
      </c>
      <c r="AB235" s="64" t="s">
        <v>81</v>
      </c>
      <c r="AC235" s="64" t="s">
        <v>57</v>
      </c>
      <c r="AD235" s="65" t="s">
        <v>255</v>
      </c>
      <c r="AE235" s="64" t="s">
        <v>619</v>
      </c>
      <c r="AF235" s="64" t="s">
        <v>3230</v>
      </c>
      <c r="AG235" s="64" t="s">
        <v>2887</v>
      </c>
      <c r="AH235" s="64" t="s">
        <v>66</v>
      </c>
      <c r="AI235" s="64" t="s">
        <v>66</v>
      </c>
      <c r="AJ235" s="65" t="s">
        <v>3231</v>
      </c>
      <c r="AK235" s="64" t="s">
        <v>3232</v>
      </c>
      <c r="AL235" s="64" t="s">
        <v>3233</v>
      </c>
      <c r="AM235" s="64" t="s">
        <v>3234</v>
      </c>
      <c r="AN235" s="64" t="s">
        <v>3235</v>
      </c>
      <c r="AO235" s="64" t="s">
        <v>66</v>
      </c>
      <c r="AP235" s="85" t="s">
        <v>3236</v>
      </c>
    </row>
    <row r="236" spans="1:42" ht="18.75">
      <c r="A236" s="139">
        <v>235</v>
      </c>
      <c r="B236" s="66" t="s">
        <v>3237</v>
      </c>
      <c r="C236" s="66" t="s">
        <v>3238</v>
      </c>
      <c r="D236" s="66"/>
      <c r="E236" s="66" t="s">
        <v>3200</v>
      </c>
      <c r="F236" s="66" t="s">
        <v>72</v>
      </c>
      <c r="G236" s="66" t="s">
        <v>2955</v>
      </c>
      <c r="H236" s="66" t="s">
        <v>46</v>
      </c>
      <c r="I236" s="71">
        <v>7</v>
      </c>
      <c r="J23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6" s="71" t="s">
        <v>2956</v>
      </c>
      <c r="L236" s="71" t="str">
        <f>IF(Table1[[#This Row],[LAST]]="","Unfilled","Filled")</f>
        <v>Filled</v>
      </c>
      <c r="M236" s="66" t="s">
        <v>1198</v>
      </c>
      <c r="N236" s="66" t="s">
        <v>3239</v>
      </c>
      <c r="O236" s="66" t="s">
        <v>3240</v>
      </c>
      <c r="P236" s="63"/>
      <c r="Q236" s="64">
        <v>34330</v>
      </c>
      <c r="R236" s="64">
        <v>45154</v>
      </c>
      <c r="S236" s="64">
        <v>45154</v>
      </c>
      <c r="T236" s="64">
        <v>45154</v>
      </c>
      <c r="U236" s="64" t="s">
        <v>76</v>
      </c>
      <c r="V236" s="64" t="s">
        <v>77</v>
      </c>
      <c r="W236" s="66">
        <f t="shared" ca="1" si="9"/>
        <v>32</v>
      </c>
      <c r="X2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36" s="64" t="s">
        <v>1465</v>
      </c>
      <c r="Z236" s="65">
        <v>209</v>
      </c>
      <c r="AA236" s="65" t="s">
        <v>1785</v>
      </c>
      <c r="AB236" s="64" t="s">
        <v>190</v>
      </c>
      <c r="AC236" s="64" t="s">
        <v>103</v>
      </c>
      <c r="AD236" s="65">
        <v>4102</v>
      </c>
      <c r="AE236" s="64" t="s">
        <v>619</v>
      </c>
      <c r="AF236" s="64" t="s">
        <v>3241</v>
      </c>
      <c r="AG236" s="64" t="s">
        <v>3242</v>
      </c>
      <c r="AH236" s="64" t="s">
        <v>66</v>
      </c>
      <c r="AI236" s="64" t="s">
        <v>66</v>
      </c>
      <c r="AJ236" s="65" t="s">
        <v>3243</v>
      </c>
      <c r="AK236" s="64" t="s">
        <v>3244</v>
      </c>
      <c r="AL236" s="64" t="s">
        <v>3245</v>
      </c>
      <c r="AM236" s="64" t="s">
        <v>3246</v>
      </c>
      <c r="AN236" s="64" t="s">
        <v>3247</v>
      </c>
      <c r="AO236" s="64" t="s">
        <v>66</v>
      </c>
      <c r="AP236" s="64" t="s">
        <v>3248</v>
      </c>
    </row>
    <row r="237" spans="1:42" ht="18.75">
      <c r="A237" s="139">
        <v>236</v>
      </c>
      <c r="B237" s="66" t="s">
        <v>3249</v>
      </c>
      <c r="C237" s="66" t="s">
        <v>3250</v>
      </c>
      <c r="D237" s="66"/>
      <c r="E237" s="66" t="s">
        <v>3200</v>
      </c>
      <c r="F237" s="66" t="s">
        <v>1117</v>
      </c>
      <c r="G237" s="66" t="s">
        <v>2955</v>
      </c>
      <c r="H237" s="66" t="s">
        <v>46</v>
      </c>
      <c r="I237" s="71">
        <v>7</v>
      </c>
      <c r="J23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7" s="71" t="s">
        <v>2956</v>
      </c>
      <c r="L237" s="71" t="str">
        <f>IF(Table1[[#This Row],[LAST]]="","Unfilled","Filled")</f>
        <v>Filled</v>
      </c>
      <c r="M237" s="66" t="s">
        <v>3251</v>
      </c>
      <c r="N237" s="66" t="s">
        <v>3252</v>
      </c>
      <c r="O237" s="66" t="s">
        <v>3253</v>
      </c>
      <c r="P237" s="63"/>
      <c r="Q237" s="64">
        <v>36261</v>
      </c>
      <c r="R237" s="64">
        <v>45019</v>
      </c>
      <c r="S237" s="64">
        <v>45019</v>
      </c>
      <c r="T237" s="64">
        <v>45019</v>
      </c>
      <c r="U237" s="64" t="s">
        <v>51</v>
      </c>
      <c r="V237" s="64" t="s">
        <v>52</v>
      </c>
      <c r="W237" s="66">
        <f t="shared" ca="1" si="9"/>
        <v>27</v>
      </c>
      <c r="X23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37" s="64" t="s">
        <v>1024</v>
      </c>
      <c r="Z237" s="64" t="s">
        <v>3254</v>
      </c>
      <c r="AA237" s="65" t="s">
        <v>3091</v>
      </c>
      <c r="AB237" s="64" t="s">
        <v>102</v>
      </c>
      <c r="AC237" s="64" t="s">
        <v>103</v>
      </c>
      <c r="AD237" s="65">
        <v>4103</v>
      </c>
      <c r="AE237" s="64" t="s">
        <v>619</v>
      </c>
      <c r="AF237" s="64" t="s">
        <v>2540</v>
      </c>
      <c r="AG237" s="64" t="s">
        <v>2887</v>
      </c>
      <c r="AH237" s="64" t="s">
        <v>66</v>
      </c>
      <c r="AI237" s="64" t="s">
        <v>66</v>
      </c>
      <c r="AJ237" s="65" t="s">
        <v>3255</v>
      </c>
      <c r="AK237" s="64" t="s">
        <v>3256</v>
      </c>
      <c r="AL237" s="64" t="s">
        <v>3257</v>
      </c>
      <c r="AM237" s="64" t="s">
        <v>3258</v>
      </c>
      <c r="AN237" s="64" t="s">
        <v>3259</v>
      </c>
      <c r="AO237" s="64" t="s">
        <v>66</v>
      </c>
      <c r="AP237" s="64" t="s">
        <v>3260</v>
      </c>
    </row>
    <row r="238" spans="1:42" ht="18.75">
      <c r="A238" s="139">
        <v>237</v>
      </c>
      <c r="B238" s="66" t="s">
        <v>3261</v>
      </c>
      <c r="C238" s="66" t="s">
        <v>3262</v>
      </c>
      <c r="D238" s="66"/>
      <c r="E238" s="66" t="s">
        <v>3200</v>
      </c>
      <c r="F238" s="66" t="s">
        <v>984</v>
      </c>
      <c r="G238" s="66" t="s">
        <v>2955</v>
      </c>
      <c r="H238" s="66" t="s">
        <v>632</v>
      </c>
      <c r="I238" s="71">
        <v>7</v>
      </c>
      <c r="J23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8" s="71" t="s">
        <v>2956</v>
      </c>
      <c r="L238" s="71" t="str">
        <f>IF(Table1[[#This Row],[LAST]]="","Unfilled","Filled")</f>
        <v>Filled</v>
      </c>
      <c r="M238" s="63" t="s">
        <v>3263</v>
      </c>
      <c r="N238" s="63" t="s">
        <v>1488</v>
      </c>
      <c r="O238" s="63" t="s">
        <v>3264</v>
      </c>
      <c r="P238" s="63"/>
      <c r="Q238" s="64">
        <v>29507</v>
      </c>
      <c r="R238" s="64">
        <v>44824</v>
      </c>
      <c r="S238" s="64">
        <v>44824</v>
      </c>
      <c r="T238" s="64">
        <v>45147</v>
      </c>
      <c r="U238" s="64" t="s">
        <v>76</v>
      </c>
      <c r="V238" s="64" t="s">
        <v>52</v>
      </c>
      <c r="W238" s="66">
        <f t="shared" ca="1" si="9"/>
        <v>45</v>
      </c>
      <c r="X2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8" s="64" t="s">
        <v>391</v>
      </c>
      <c r="Z238" s="64" t="s">
        <v>3265</v>
      </c>
      <c r="AA238" s="65" t="s">
        <v>3266</v>
      </c>
      <c r="AB238" s="64" t="s">
        <v>102</v>
      </c>
      <c r="AC238" s="64" t="s">
        <v>103</v>
      </c>
      <c r="AD238" s="65">
        <v>4103</v>
      </c>
      <c r="AE238" s="64" t="s">
        <v>619</v>
      </c>
      <c r="AF238" s="64" t="s">
        <v>3267</v>
      </c>
      <c r="AG238" s="64" t="s">
        <v>2887</v>
      </c>
      <c r="AH238" s="64" t="s">
        <v>66</v>
      </c>
      <c r="AI238" s="64" t="s">
        <v>66</v>
      </c>
      <c r="AJ238" s="65" t="s">
        <v>3268</v>
      </c>
      <c r="AK238" s="64" t="s">
        <v>3269</v>
      </c>
      <c r="AL238" s="64" t="s">
        <v>3270</v>
      </c>
      <c r="AM238" s="64" t="s">
        <v>3271</v>
      </c>
      <c r="AN238" s="64" t="s">
        <v>3272</v>
      </c>
      <c r="AO238" s="64" t="s">
        <v>66</v>
      </c>
      <c r="AP238" s="64" t="s">
        <v>3273</v>
      </c>
    </row>
    <row r="239" spans="1:42" ht="18.75">
      <c r="A239" s="139">
        <v>238</v>
      </c>
      <c r="B239" s="66" t="s">
        <v>3274</v>
      </c>
      <c r="C239" s="66" t="s">
        <v>3275</v>
      </c>
      <c r="D239" s="66"/>
      <c r="E239" s="66" t="s">
        <v>3200</v>
      </c>
      <c r="F239" s="66" t="s">
        <v>1017</v>
      </c>
      <c r="G239" s="66" t="s">
        <v>2955</v>
      </c>
      <c r="H239" s="66" t="s">
        <v>632</v>
      </c>
      <c r="I239" s="71">
        <v>7</v>
      </c>
      <c r="J23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20914</v>
      </c>
      <c r="K239" s="71" t="s">
        <v>2956</v>
      </c>
      <c r="L239" s="71" t="str">
        <f>IF(Table1[[#This Row],[LAST]]="","Unfilled","Filled")</f>
        <v>Filled</v>
      </c>
      <c r="M239" s="63" t="s">
        <v>3276</v>
      </c>
      <c r="N239" s="63" t="s">
        <v>3277</v>
      </c>
      <c r="O239" s="63" t="s">
        <v>3278</v>
      </c>
      <c r="P239" s="63"/>
      <c r="Q239" s="64">
        <v>31225</v>
      </c>
      <c r="R239" s="64">
        <v>45261</v>
      </c>
      <c r="S239" s="64">
        <v>45261</v>
      </c>
      <c r="T239" s="64">
        <v>45261</v>
      </c>
      <c r="U239" s="64" t="s">
        <v>51</v>
      </c>
      <c r="V239" s="64" t="s">
        <v>77</v>
      </c>
      <c r="W239" s="66">
        <f t="shared" ca="1" si="9"/>
        <v>41</v>
      </c>
      <c r="X23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39" s="64" t="s">
        <v>3279</v>
      </c>
      <c r="Z239" s="64" t="s">
        <v>3280</v>
      </c>
      <c r="AA239" s="65" t="s">
        <v>1826</v>
      </c>
      <c r="AB239" s="64" t="s">
        <v>190</v>
      </c>
      <c r="AC239" s="64" t="s">
        <v>103</v>
      </c>
      <c r="AD239" s="65">
        <v>4102</v>
      </c>
      <c r="AE239" s="64" t="s">
        <v>619</v>
      </c>
      <c r="AF239" s="64" t="s">
        <v>3281</v>
      </c>
      <c r="AG239" s="64" t="s">
        <v>60</v>
      </c>
      <c r="AH239" s="64" t="s">
        <v>3282</v>
      </c>
      <c r="AI239" s="64">
        <v>45835</v>
      </c>
      <c r="AJ239" s="65" t="s">
        <v>3283</v>
      </c>
      <c r="AK239" s="64" t="s">
        <v>3284</v>
      </c>
      <c r="AL239" s="64" t="s">
        <v>3285</v>
      </c>
      <c r="AM239" s="64" t="s">
        <v>3286</v>
      </c>
      <c r="AN239" s="64" t="s">
        <v>3287</v>
      </c>
      <c r="AO239" s="64" t="s">
        <v>3288</v>
      </c>
      <c r="AP239" s="64" t="s">
        <v>3289</v>
      </c>
    </row>
    <row r="240" spans="1:42" ht="18.75">
      <c r="A240" s="139">
        <v>239</v>
      </c>
      <c r="B240" s="66" t="s">
        <v>3290</v>
      </c>
      <c r="C240" s="66" t="s">
        <v>3291</v>
      </c>
      <c r="D240" s="66"/>
      <c r="E240" s="66" t="s">
        <v>3292</v>
      </c>
      <c r="F240" s="66" t="s">
        <v>1734</v>
      </c>
      <c r="G240" s="66" t="s">
        <v>3293</v>
      </c>
      <c r="H240" s="66" t="s">
        <v>632</v>
      </c>
      <c r="I240" s="71">
        <v>6</v>
      </c>
      <c r="J24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0" s="71" t="s">
        <v>2956</v>
      </c>
      <c r="L240" s="71" t="str">
        <f>IF(Table1[[#This Row],[LAST]]="","Unfilled","Filled")</f>
        <v>Filled</v>
      </c>
      <c r="M240" s="63" t="s">
        <v>3251</v>
      </c>
      <c r="N240" s="63" t="s">
        <v>3294</v>
      </c>
      <c r="O240" s="63" t="s">
        <v>3295</v>
      </c>
      <c r="P240" s="63"/>
      <c r="Q240" s="64">
        <v>35937</v>
      </c>
      <c r="R240" s="64">
        <v>45019</v>
      </c>
      <c r="S240" s="64">
        <v>45019</v>
      </c>
      <c r="T240" s="64">
        <v>45019</v>
      </c>
      <c r="U240" s="64" t="s">
        <v>51</v>
      </c>
      <c r="V240" s="64" t="s">
        <v>77</v>
      </c>
      <c r="W240" s="66">
        <f t="shared" ca="1" si="9"/>
        <v>28</v>
      </c>
      <c r="X24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0" s="64" t="s">
        <v>377</v>
      </c>
      <c r="Z240" s="64" t="s">
        <v>3254</v>
      </c>
      <c r="AA240" s="65" t="s">
        <v>3091</v>
      </c>
      <c r="AB240" s="64" t="s">
        <v>102</v>
      </c>
      <c r="AC240" s="64" t="s">
        <v>103</v>
      </c>
      <c r="AD240" s="65">
        <v>4103</v>
      </c>
      <c r="AE240" s="64" t="s">
        <v>619</v>
      </c>
      <c r="AF240" s="64" t="s">
        <v>2540</v>
      </c>
      <c r="AG240" s="64" t="s">
        <v>2887</v>
      </c>
      <c r="AH240" s="64" t="s">
        <v>66</v>
      </c>
      <c r="AI240" s="64" t="s">
        <v>66</v>
      </c>
      <c r="AJ240" s="65" t="s">
        <v>3296</v>
      </c>
      <c r="AK240" s="64" t="s">
        <v>3256</v>
      </c>
      <c r="AL240" s="64" t="s">
        <v>3297</v>
      </c>
      <c r="AM240" s="64" t="s">
        <v>3298</v>
      </c>
      <c r="AN240" s="64" t="s">
        <v>3299</v>
      </c>
      <c r="AO240" s="64" t="s">
        <v>66</v>
      </c>
      <c r="AP240" s="64" t="s">
        <v>3300</v>
      </c>
    </row>
    <row r="241" spans="1:42" ht="18.75">
      <c r="A241" s="139">
        <v>240</v>
      </c>
      <c r="B241" s="66" t="s">
        <v>3301</v>
      </c>
      <c r="C241" s="66" t="s">
        <v>3302</v>
      </c>
      <c r="D241" s="66"/>
      <c r="E241" s="66" t="s">
        <v>3292</v>
      </c>
      <c r="F241" s="66" t="s">
        <v>630</v>
      </c>
      <c r="G241" s="66" t="s">
        <v>3293</v>
      </c>
      <c r="H241" s="66" t="s">
        <v>632</v>
      </c>
      <c r="I241" s="71">
        <v>6</v>
      </c>
      <c r="J24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1" s="71" t="s">
        <v>2956</v>
      </c>
      <c r="L241" s="71" t="str">
        <f>IF(Table1[[#This Row],[LAST]]="","Unfilled","Filled")</f>
        <v>Filled</v>
      </c>
      <c r="M241" s="63" t="s">
        <v>3303</v>
      </c>
      <c r="N241" s="66" t="s">
        <v>3304</v>
      </c>
      <c r="O241" s="66" t="s">
        <v>2628</v>
      </c>
      <c r="P241" s="63"/>
      <c r="Q241" s="64">
        <v>36400</v>
      </c>
      <c r="R241" s="64">
        <v>45173</v>
      </c>
      <c r="S241" s="64">
        <v>45173</v>
      </c>
      <c r="T241" s="64">
        <v>45173</v>
      </c>
      <c r="U241" s="64" t="s">
        <v>76</v>
      </c>
      <c r="V241" s="64" t="s">
        <v>52</v>
      </c>
      <c r="W241" s="66">
        <f t="shared" ca="1" si="9"/>
        <v>26</v>
      </c>
      <c r="X24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1" s="64" t="s">
        <v>56</v>
      </c>
      <c r="Z241" s="64" t="s">
        <v>3305</v>
      </c>
      <c r="AA241" s="65" t="s">
        <v>3306</v>
      </c>
      <c r="AB241" s="64" t="s">
        <v>3307</v>
      </c>
      <c r="AC241" s="64" t="s">
        <v>57</v>
      </c>
      <c r="AD241" s="65">
        <v>1473</v>
      </c>
      <c r="AE241" s="64" t="s">
        <v>619</v>
      </c>
      <c r="AF241" s="64" t="s">
        <v>3308</v>
      </c>
      <c r="AG241" s="64" t="s">
        <v>2887</v>
      </c>
      <c r="AH241" s="64" t="s">
        <v>66</v>
      </c>
      <c r="AI241" s="64" t="s">
        <v>66</v>
      </c>
      <c r="AJ241" s="65" t="s">
        <v>3309</v>
      </c>
      <c r="AK241" s="64" t="s">
        <v>3310</v>
      </c>
      <c r="AL241" s="64" t="s">
        <v>3311</v>
      </c>
      <c r="AM241" s="64" t="s">
        <v>3312</v>
      </c>
      <c r="AN241" s="64" t="s">
        <v>3313</v>
      </c>
      <c r="AO241" s="64" t="s">
        <v>66</v>
      </c>
      <c r="AP241" s="64" t="s">
        <v>3314</v>
      </c>
    </row>
    <row r="242" spans="1:42" ht="18.75">
      <c r="A242" s="139">
        <v>241</v>
      </c>
      <c r="B242" s="66" t="s">
        <v>3315</v>
      </c>
      <c r="C242" s="66" t="s">
        <v>3291</v>
      </c>
      <c r="D242" s="66"/>
      <c r="E242" s="66" t="s">
        <v>3292</v>
      </c>
      <c r="F242" s="66" t="s">
        <v>610</v>
      </c>
      <c r="G242" s="66" t="s">
        <v>3293</v>
      </c>
      <c r="H242" s="66" t="s">
        <v>612</v>
      </c>
      <c r="I242" s="71">
        <v>6</v>
      </c>
      <c r="J24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2" s="71" t="s">
        <v>2956</v>
      </c>
      <c r="L242" s="71" t="str">
        <f>IF(Table1[[#This Row],[LAST]]="","Unfilled","Filled")</f>
        <v>Filled</v>
      </c>
      <c r="M242" s="63" t="s">
        <v>3316</v>
      </c>
      <c r="N242" s="63" t="s">
        <v>3317</v>
      </c>
      <c r="O242" s="63" t="s">
        <v>3318</v>
      </c>
      <c r="P242" s="63"/>
      <c r="Q242" s="64">
        <v>36657</v>
      </c>
      <c r="R242" s="64">
        <v>45264</v>
      </c>
      <c r="S242" s="64">
        <v>45264</v>
      </c>
      <c r="T242" s="64">
        <v>45264</v>
      </c>
      <c r="U242" s="64" t="s">
        <v>76</v>
      </c>
      <c r="V242" s="64" t="s">
        <v>52</v>
      </c>
      <c r="W242" s="66">
        <f t="shared" ca="1" si="9"/>
        <v>26</v>
      </c>
      <c r="X24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2" s="64" t="s">
        <v>1465</v>
      </c>
      <c r="Z242" s="64" t="s">
        <v>3319</v>
      </c>
      <c r="AA242" s="65" t="s">
        <v>3320</v>
      </c>
      <c r="AB242" s="64" t="s">
        <v>190</v>
      </c>
      <c r="AC242" s="64" t="s">
        <v>103</v>
      </c>
      <c r="AD242" s="65">
        <v>4102</v>
      </c>
      <c r="AE242" s="64" t="s">
        <v>619</v>
      </c>
      <c r="AF242" s="64" t="s">
        <v>3321</v>
      </c>
      <c r="AG242" s="64" t="s">
        <v>3242</v>
      </c>
      <c r="AH242" s="64" t="s">
        <v>66</v>
      </c>
      <c r="AI242" s="64" t="s">
        <v>66</v>
      </c>
      <c r="AJ242" s="65" t="s">
        <v>3322</v>
      </c>
      <c r="AK242" s="64" t="s">
        <v>3323</v>
      </c>
      <c r="AL242" s="64" t="s">
        <v>3324</v>
      </c>
      <c r="AM242" s="64" t="s">
        <v>3325</v>
      </c>
      <c r="AN242" s="64" t="s">
        <v>3326</v>
      </c>
      <c r="AO242" s="64" t="s">
        <v>66</v>
      </c>
      <c r="AP242" s="64" t="s">
        <v>3327</v>
      </c>
    </row>
    <row r="243" spans="1:42" ht="18.75">
      <c r="A243" s="139">
        <v>242</v>
      </c>
      <c r="B243" s="66" t="s">
        <v>3328</v>
      </c>
      <c r="C243" s="66" t="s">
        <v>3291</v>
      </c>
      <c r="D243" s="66"/>
      <c r="E243" s="66" t="s">
        <v>3292</v>
      </c>
      <c r="F243" s="66" t="s">
        <v>1734</v>
      </c>
      <c r="G243" s="66" t="s">
        <v>3293</v>
      </c>
      <c r="H243" s="66" t="s">
        <v>632</v>
      </c>
      <c r="I243" s="71">
        <v>6</v>
      </c>
      <c r="J24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3" s="71" t="s">
        <v>2956</v>
      </c>
      <c r="L243" s="71" t="str">
        <f>IF(Table1[[#This Row],[LAST]]="","Unfilled","Filled")</f>
        <v>Filled</v>
      </c>
      <c r="M243" s="63" t="s">
        <v>3329</v>
      </c>
      <c r="N243" s="63" t="s">
        <v>3330</v>
      </c>
      <c r="O243" s="63" t="s">
        <v>819</v>
      </c>
      <c r="P243" s="63"/>
      <c r="Q243" s="64">
        <v>34751</v>
      </c>
      <c r="R243" s="64">
        <v>44907</v>
      </c>
      <c r="S243" s="64">
        <v>44907</v>
      </c>
      <c r="T243" s="64">
        <v>44907</v>
      </c>
      <c r="U243" s="64" t="s">
        <v>76</v>
      </c>
      <c r="V243" s="64" t="s">
        <v>52</v>
      </c>
      <c r="W243" s="66">
        <f t="shared" ca="1" si="9"/>
        <v>31</v>
      </c>
      <c r="X24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43" s="64" t="s">
        <v>3331</v>
      </c>
      <c r="Z243" s="64" t="s">
        <v>3116</v>
      </c>
      <c r="AA243" s="65" t="s">
        <v>302</v>
      </c>
      <c r="AB243" s="64" t="s">
        <v>237</v>
      </c>
      <c r="AC243" s="64" t="s">
        <v>103</v>
      </c>
      <c r="AD243" s="65">
        <v>4107</v>
      </c>
      <c r="AE243" s="64" t="s">
        <v>619</v>
      </c>
      <c r="AF243" s="64" t="s">
        <v>3332</v>
      </c>
      <c r="AG243" s="64" t="s">
        <v>2887</v>
      </c>
      <c r="AH243" s="64" t="s">
        <v>66</v>
      </c>
      <c r="AI243" s="64" t="s">
        <v>66</v>
      </c>
      <c r="AJ243" s="65" t="s">
        <v>3333</v>
      </c>
      <c r="AK243" s="64" t="s">
        <v>3334</v>
      </c>
      <c r="AL243" s="64" t="s">
        <v>3335</v>
      </c>
      <c r="AM243" s="64" t="s">
        <v>3336</v>
      </c>
      <c r="AN243" s="64" t="s">
        <v>3337</v>
      </c>
      <c r="AO243" s="64" t="s">
        <v>66</v>
      </c>
      <c r="AP243" s="64" t="s">
        <v>3338</v>
      </c>
    </row>
    <row r="244" spans="1:42" ht="18.75">
      <c r="A244" s="139">
        <v>243</v>
      </c>
      <c r="B244" s="66" t="s">
        <v>3339</v>
      </c>
      <c r="C244" s="66" t="s">
        <v>3291</v>
      </c>
      <c r="D244" s="66"/>
      <c r="E244" s="66" t="s">
        <v>3292</v>
      </c>
      <c r="F244" s="66" t="s">
        <v>1734</v>
      </c>
      <c r="G244" s="66" t="s">
        <v>3293</v>
      </c>
      <c r="H244" s="66" t="s">
        <v>632</v>
      </c>
      <c r="I244" s="71">
        <v>6</v>
      </c>
      <c r="J24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4" s="71" t="s">
        <v>2956</v>
      </c>
      <c r="L244" s="71" t="str">
        <f>IF(Table1[[#This Row],[LAST]]="","Unfilled","Filled")</f>
        <v>Filled</v>
      </c>
      <c r="M244" s="63" t="s">
        <v>3340</v>
      </c>
      <c r="N244" s="63" t="s">
        <v>3341</v>
      </c>
      <c r="O244" s="63" t="s">
        <v>3342</v>
      </c>
      <c r="P244" s="63"/>
      <c r="Q244" s="64">
        <v>36216</v>
      </c>
      <c r="R244" s="64">
        <v>44907</v>
      </c>
      <c r="S244" s="64">
        <v>44907</v>
      </c>
      <c r="T244" s="64">
        <v>44907</v>
      </c>
      <c r="U244" s="64" t="s">
        <v>76</v>
      </c>
      <c r="V244" s="64" t="s">
        <v>77</v>
      </c>
      <c r="W244" s="66">
        <f t="shared" ca="1" si="9"/>
        <v>27</v>
      </c>
      <c r="X24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4" s="64" t="s">
        <v>391</v>
      </c>
      <c r="Z244" s="64" t="s">
        <v>3343</v>
      </c>
      <c r="AA244" s="65" t="s">
        <v>3344</v>
      </c>
      <c r="AB244" s="64" t="s">
        <v>552</v>
      </c>
      <c r="AC244" s="64" t="s">
        <v>103</v>
      </c>
      <c r="AD244" s="65">
        <v>4117</v>
      </c>
      <c r="AE244" s="64" t="s">
        <v>3144</v>
      </c>
      <c r="AF244" s="64" t="s">
        <v>3345</v>
      </c>
      <c r="AG244" s="64" t="s">
        <v>2887</v>
      </c>
      <c r="AH244" s="64" t="s">
        <v>66</v>
      </c>
      <c r="AI244" s="64" t="s">
        <v>66</v>
      </c>
      <c r="AJ244" s="65" t="s">
        <v>3346</v>
      </c>
      <c r="AK244" s="64" t="s">
        <v>3347</v>
      </c>
      <c r="AL244" s="64" t="s">
        <v>3348</v>
      </c>
      <c r="AM244" s="64" t="s">
        <v>3349</v>
      </c>
      <c r="AN244" s="64" t="s">
        <v>3350</v>
      </c>
      <c r="AO244" s="64" t="s">
        <v>66</v>
      </c>
      <c r="AP244" s="64" t="s">
        <v>3351</v>
      </c>
    </row>
    <row r="245" spans="1:42" ht="18.75">
      <c r="A245" s="139">
        <v>244</v>
      </c>
      <c r="B245" s="66" t="s">
        <v>3352</v>
      </c>
      <c r="C245" s="66" t="s">
        <v>3353</v>
      </c>
      <c r="D245" s="66"/>
      <c r="E245" s="66" t="s">
        <v>3292</v>
      </c>
      <c r="F245" s="66" t="s">
        <v>968</v>
      </c>
      <c r="G245" s="66" t="s">
        <v>3293</v>
      </c>
      <c r="H245" s="66" t="s">
        <v>632</v>
      </c>
      <c r="I245" s="71">
        <v>6</v>
      </c>
      <c r="J24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5" s="71" t="s">
        <v>2956</v>
      </c>
      <c r="L245" s="71" t="str">
        <f>IF(Table1[[#This Row],[LAST]]="","Unfilled","Filled")</f>
        <v>Filled</v>
      </c>
      <c r="M245" s="66" t="s">
        <v>3354</v>
      </c>
      <c r="N245" s="66" t="s">
        <v>3355</v>
      </c>
      <c r="O245" s="66" t="s">
        <v>3356</v>
      </c>
      <c r="P245" s="63"/>
      <c r="Q245" s="64">
        <v>25032</v>
      </c>
      <c r="R245" s="64">
        <v>44462</v>
      </c>
      <c r="S245" s="64">
        <v>44462</v>
      </c>
      <c r="T245" s="64">
        <v>44462</v>
      </c>
      <c r="U245" s="64" t="s">
        <v>51</v>
      </c>
      <c r="V245" s="64" t="s">
        <v>52</v>
      </c>
      <c r="W245" s="66">
        <f t="shared" ca="1" si="9"/>
        <v>58</v>
      </c>
      <c r="X24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45" s="64" t="s">
        <v>3357</v>
      </c>
      <c r="Z245" s="64" t="s">
        <v>3358</v>
      </c>
      <c r="AA245" s="65" t="s">
        <v>1506</v>
      </c>
      <c r="AB245" s="64" t="s">
        <v>138</v>
      </c>
      <c r="AC245" s="64" t="s">
        <v>103</v>
      </c>
      <c r="AD245" s="65">
        <v>4114</v>
      </c>
      <c r="AE245" s="64" t="s">
        <v>619</v>
      </c>
      <c r="AF245" s="64" t="s">
        <v>3359</v>
      </c>
      <c r="AG245" s="64" t="s">
        <v>2887</v>
      </c>
      <c r="AH245" s="64" t="s">
        <v>66</v>
      </c>
      <c r="AI245" s="64" t="s">
        <v>66</v>
      </c>
      <c r="AJ245" s="65" t="s">
        <v>3360</v>
      </c>
      <c r="AK245" s="64" t="s">
        <v>3361</v>
      </c>
      <c r="AL245" s="64" t="s">
        <v>3362</v>
      </c>
      <c r="AM245" s="64" t="s">
        <v>3363</v>
      </c>
      <c r="AN245" s="64" t="s">
        <v>3364</v>
      </c>
      <c r="AO245" s="64" t="s">
        <v>66</v>
      </c>
      <c r="AP245" s="85" t="s">
        <v>3365</v>
      </c>
    </row>
    <row r="246" spans="1:42" ht="18.75">
      <c r="A246" s="139">
        <v>245</v>
      </c>
      <c r="B246" s="66" t="s">
        <v>3366</v>
      </c>
      <c r="C246" s="66" t="s">
        <v>3367</v>
      </c>
      <c r="D246" s="66"/>
      <c r="E246" s="66" t="s">
        <v>3292</v>
      </c>
      <c r="F246" s="66" t="s">
        <v>1247</v>
      </c>
      <c r="G246" s="66" t="s">
        <v>3293</v>
      </c>
      <c r="H246" s="66" t="s">
        <v>632</v>
      </c>
      <c r="I246" s="71">
        <v>6</v>
      </c>
      <c r="J24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6" s="71" t="s">
        <v>2956</v>
      </c>
      <c r="L246" s="71" t="str">
        <f>IF(Table1[[#This Row],[LAST]]="","Unfilled","Filled")</f>
        <v>Filled</v>
      </c>
      <c r="M246" s="63" t="s">
        <v>3368</v>
      </c>
      <c r="N246" s="63" t="s">
        <v>3369</v>
      </c>
      <c r="O246" s="63" t="s">
        <v>3370</v>
      </c>
      <c r="P246" s="63"/>
      <c r="Q246" s="64">
        <v>33589</v>
      </c>
      <c r="R246" s="64">
        <v>44691</v>
      </c>
      <c r="S246" s="64">
        <v>44691</v>
      </c>
      <c r="T246" s="64">
        <v>44691</v>
      </c>
      <c r="U246" s="64" t="s">
        <v>76</v>
      </c>
      <c r="V246" s="64" t="s">
        <v>52</v>
      </c>
      <c r="W246" s="66">
        <f t="shared" ca="1" si="9"/>
        <v>34</v>
      </c>
      <c r="X24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46" s="64" t="s">
        <v>3371</v>
      </c>
      <c r="Z246" s="64" t="s">
        <v>3372</v>
      </c>
      <c r="AA246" s="65" t="s">
        <v>3373</v>
      </c>
      <c r="AB246" s="64" t="s">
        <v>3374</v>
      </c>
      <c r="AC246" s="64" t="s">
        <v>103</v>
      </c>
      <c r="AD246" s="65">
        <v>4110</v>
      </c>
      <c r="AE246" s="64" t="s">
        <v>2991</v>
      </c>
      <c r="AF246" s="64" t="s">
        <v>3375</v>
      </c>
      <c r="AG246" s="64" t="s">
        <v>66</v>
      </c>
      <c r="AH246" s="64" t="s">
        <v>66</v>
      </c>
      <c r="AI246" s="64" t="s">
        <v>66</v>
      </c>
      <c r="AJ246" s="65" t="s">
        <v>3376</v>
      </c>
      <c r="AK246" s="64" t="s">
        <v>3377</v>
      </c>
      <c r="AL246" s="64" t="s">
        <v>3378</v>
      </c>
      <c r="AM246" s="64" t="s">
        <v>3379</v>
      </c>
      <c r="AN246" s="64" t="s">
        <v>3380</v>
      </c>
      <c r="AO246" s="64" t="s">
        <v>66</v>
      </c>
      <c r="AP246" s="64" t="s">
        <v>3381</v>
      </c>
    </row>
    <row r="247" spans="1:42" ht="18.75">
      <c r="A247" s="139">
        <v>246</v>
      </c>
      <c r="B247" s="66" t="s">
        <v>3382</v>
      </c>
      <c r="C247" s="66" t="s">
        <v>3291</v>
      </c>
      <c r="D247" s="140"/>
      <c r="E247" s="66" t="s">
        <v>3292</v>
      </c>
      <c r="F247" s="66" t="s">
        <v>968</v>
      </c>
      <c r="G247" s="66" t="s">
        <v>3293</v>
      </c>
      <c r="H247" s="66" t="s">
        <v>632</v>
      </c>
      <c r="I247" s="71">
        <v>6</v>
      </c>
      <c r="J24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7" s="71" t="s">
        <v>2956</v>
      </c>
      <c r="L247" s="71" t="str">
        <f>IF(Table1[[#This Row],[LAST]]="","Unfilled","Filled")</f>
        <v>Filled</v>
      </c>
      <c r="M247" s="63" t="s">
        <v>3383</v>
      </c>
      <c r="N247" s="63" t="s">
        <v>3384</v>
      </c>
      <c r="O247" s="63" t="s">
        <v>3385</v>
      </c>
      <c r="P247" s="63"/>
      <c r="Q247" s="64">
        <v>35408</v>
      </c>
      <c r="R247" s="64">
        <v>45505</v>
      </c>
      <c r="S247" s="64">
        <v>45505</v>
      </c>
      <c r="T247" s="64">
        <v>45505</v>
      </c>
      <c r="U247" s="64" t="s">
        <v>76</v>
      </c>
      <c r="V247" s="64" t="s">
        <v>52</v>
      </c>
      <c r="W247" s="66">
        <f t="shared" ca="1" si="9"/>
        <v>29</v>
      </c>
      <c r="X24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7" s="64" t="s">
        <v>78</v>
      </c>
      <c r="Z247" s="64" t="s">
        <v>3386</v>
      </c>
      <c r="AA247" s="65" t="s">
        <v>655</v>
      </c>
      <c r="AB247" s="64" t="s">
        <v>190</v>
      </c>
      <c r="AC247" s="64" t="s">
        <v>103</v>
      </c>
      <c r="AD247" s="65" t="s">
        <v>656</v>
      </c>
      <c r="AE247" s="64" t="s">
        <v>619</v>
      </c>
      <c r="AF247" s="64" t="s">
        <v>2602</v>
      </c>
      <c r="AG247" s="64" t="s">
        <v>2887</v>
      </c>
      <c r="AH247" s="64" t="s">
        <v>66</v>
      </c>
      <c r="AI247" s="64" t="s">
        <v>66</v>
      </c>
      <c r="AJ247" s="65" t="s">
        <v>3387</v>
      </c>
      <c r="AK247" s="64" t="s">
        <v>3388</v>
      </c>
      <c r="AL247" s="64" t="s">
        <v>3389</v>
      </c>
      <c r="AM247" s="64" t="s">
        <v>3390</v>
      </c>
      <c r="AN247" s="64" t="s">
        <v>3391</v>
      </c>
      <c r="AO247" s="64" t="s">
        <v>3392</v>
      </c>
      <c r="AP247" s="85" t="s">
        <v>3393</v>
      </c>
    </row>
    <row r="248" spans="1:42" ht="18.75">
      <c r="A248" s="139">
        <v>247</v>
      </c>
      <c r="B248" s="66" t="s">
        <v>3394</v>
      </c>
      <c r="C248" s="66" t="s">
        <v>3367</v>
      </c>
      <c r="D248" s="66"/>
      <c r="E248" s="66" t="s">
        <v>3292</v>
      </c>
      <c r="F248" s="66" t="s">
        <v>3395</v>
      </c>
      <c r="G248" s="66" t="s">
        <v>3293</v>
      </c>
      <c r="H248" s="66" t="s">
        <v>632</v>
      </c>
      <c r="I248" s="71">
        <v>6</v>
      </c>
      <c r="J24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8" s="71" t="s">
        <v>2956</v>
      </c>
      <c r="L248" s="71" t="str">
        <f>IF(Table1[[#This Row],[LAST]]="","Unfilled","Filled")</f>
        <v>Filled</v>
      </c>
      <c r="M248" s="63" t="s">
        <v>3396</v>
      </c>
      <c r="N248" s="63" t="s">
        <v>3397</v>
      </c>
      <c r="O248" s="63" t="s">
        <v>3398</v>
      </c>
      <c r="P248" s="63"/>
      <c r="Q248" s="64">
        <v>35792</v>
      </c>
      <c r="R248" s="64">
        <v>45870</v>
      </c>
      <c r="S248" s="64">
        <v>45870</v>
      </c>
      <c r="T248" s="64">
        <v>45870</v>
      </c>
      <c r="U248" s="64" t="s">
        <v>76</v>
      </c>
      <c r="V248" s="64" t="s">
        <v>77</v>
      </c>
      <c r="W248" s="66">
        <f t="shared" ca="1" si="9"/>
        <v>28</v>
      </c>
      <c r="X2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8" s="64" t="s">
        <v>81</v>
      </c>
      <c r="Z248" s="64" t="s">
        <v>3399</v>
      </c>
      <c r="AA248" s="65" t="s">
        <v>1864</v>
      </c>
      <c r="AB248" s="64" t="s">
        <v>190</v>
      </c>
      <c r="AC248" s="64" t="s">
        <v>103</v>
      </c>
      <c r="AD248" s="65" t="s">
        <v>656</v>
      </c>
      <c r="AE248" s="64" t="s">
        <v>619</v>
      </c>
      <c r="AF248" s="64" t="s">
        <v>2602</v>
      </c>
      <c r="AG248" s="64" t="s">
        <v>641</v>
      </c>
      <c r="AH248" s="64" t="s">
        <v>66</v>
      </c>
      <c r="AI248" s="64" t="s">
        <v>66</v>
      </c>
      <c r="AJ248" s="65" t="s">
        <v>66</v>
      </c>
      <c r="AK248" s="64" t="s">
        <v>3400</v>
      </c>
      <c r="AL248" s="64" t="s">
        <v>3401</v>
      </c>
      <c r="AM248" s="64" t="s">
        <v>3402</v>
      </c>
      <c r="AN248" s="64" t="s">
        <v>3403</v>
      </c>
      <c r="AO248" s="64" t="s">
        <v>3404</v>
      </c>
      <c r="AP248" s="85" t="s">
        <v>3405</v>
      </c>
    </row>
    <row r="249" spans="1:42" ht="18.75">
      <c r="A249" s="139">
        <v>248</v>
      </c>
      <c r="B249" s="66" t="s">
        <v>3406</v>
      </c>
      <c r="C249" s="66" t="s">
        <v>3407</v>
      </c>
      <c r="D249" s="140"/>
      <c r="E249" s="140" t="s">
        <v>3407</v>
      </c>
      <c r="F249" s="66" t="s">
        <v>1247</v>
      </c>
      <c r="G249" s="66" t="s">
        <v>3154</v>
      </c>
      <c r="H249" s="66" t="s">
        <v>632</v>
      </c>
      <c r="I249" s="71">
        <v>6</v>
      </c>
      <c r="J24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49" s="71" t="s">
        <v>2956</v>
      </c>
      <c r="L249" s="71" t="str">
        <f>IF(Table1[[#This Row],[LAST]]="","Unfilled","Filled")</f>
        <v>Filled</v>
      </c>
      <c r="M249" s="63" t="s">
        <v>2256</v>
      </c>
      <c r="N249" s="63" t="s">
        <v>3408</v>
      </c>
      <c r="O249" s="63" t="s">
        <v>3409</v>
      </c>
      <c r="P249" s="63"/>
      <c r="Q249" s="64">
        <v>36449</v>
      </c>
      <c r="R249" s="64">
        <v>45931</v>
      </c>
      <c r="S249" s="64">
        <v>45931</v>
      </c>
      <c r="T249" s="64">
        <v>45931</v>
      </c>
      <c r="U249" s="64" t="s">
        <v>76</v>
      </c>
      <c r="V249" s="64" t="s">
        <v>77</v>
      </c>
      <c r="W249" s="66">
        <f t="shared" ca="1" si="9"/>
        <v>26</v>
      </c>
      <c r="X2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49" s="64" t="s">
        <v>2629</v>
      </c>
      <c r="Z249" s="64" t="s">
        <v>3410</v>
      </c>
      <c r="AA249" s="65" t="s">
        <v>3411</v>
      </c>
      <c r="AB249" s="64" t="s">
        <v>394</v>
      </c>
      <c r="AC249" s="64" t="s">
        <v>57</v>
      </c>
      <c r="AD249" s="65" t="s">
        <v>3412</v>
      </c>
      <c r="AE249" s="64" t="s">
        <v>619</v>
      </c>
      <c r="AF249" s="64" t="s">
        <v>3217</v>
      </c>
      <c r="AG249" s="64" t="s">
        <v>66</v>
      </c>
      <c r="AH249" s="64" t="s">
        <v>66</v>
      </c>
      <c r="AI249" s="64" t="s">
        <v>66</v>
      </c>
      <c r="AJ249" s="65" t="s">
        <v>3413</v>
      </c>
      <c r="AK249" s="64" t="s">
        <v>3414</v>
      </c>
      <c r="AL249" s="64" t="s">
        <v>3415</v>
      </c>
      <c r="AM249" s="64" t="s">
        <v>3416</v>
      </c>
      <c r="AN249" s="64" t="s">
        <v>3417</v>
      </c>
      <c r="AO249" s="64" t="s">
        <v>66</v>
      </c>
      <c r="AP249" s="85" t="s">
        <v>3418</v>
      </c>
    </row>
    <row r="250" spans="1:42" ht="18.75">
      <c r="A250" s="139">
        <v>249</v>
      </c>
      <c r="B250" s="66" t="s">
        <v>3419</v>
      </c>
      <c r="C250" s="66" t="s">
        <v>3420</v>
      </c>
      <c r="D250" s="66"/>
      <c r="E250" s="66" t="s">
        <v>3420</v>
      </c>
      <c r="F250" s="66" t="s">
        <v>1138</v>
      </c>
      <c r="G250" s="66" t="s">
        <v>3421</v>
      </c>
      <c r="H250" s="66" t="s">
        <v>612</v>
      </c>
      <c r="I250" s="71">
        <v>6</v>
      </c>
      <c r="J25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0" s="71" t="s">
        <v>2956</v>
      </c>
      <c r="L250" s="71" t="str">
        <f>IF(Table1[[#This Row],[LAST]]="","Unfilled","Filled")</f>
        <v>Filled</v>
      </c>
      <c r="M250" s="66" t="s">
        <v>3422</v>
      </c>
      <c r="N250" s="66" t="s">
        <v>3423</v>
      </c>
      <c r="O250" s="66" t="s">
        <v>3424</v>
      </c>
      <c r="P250" s="63"/>
      <c r="Q250" s="64">
        <v>29438</v>
      </c>
      <c r="R250" s="64">
        <v>43391</v>
      </c>
      <c r="S250" s="64">
        <v>44348</v>
      </c>
      <c r="T250" s="64">
        <v>44867</v>
      </c>
      <c r="U250" s="64" t="s">
        <v>76</v>
      </c>
      <c r="V250" s="64" t="s">
        <v>77</v>
      </c>
      <c r="W250" s="66">
        <f t="shared" ca="1" si="9"/>
        <v>46</v>
      </c>
      <c r="X2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0" s="64" t="s">
        <v>99</v>
      </c>
      <c r="Z250" s="64" t="s">
        <v>3425</v>
      </c>
      <c r="AA250" s="65" t="s">
        <v>3426</v>
      </c>
      <c r="AB250" s="64" t="s">
        <v>138</v>
      </c>
      <c r="AC250" s="64" t="s">
        <v>103</v>
      </c>
      <c r="AD250" s="65">
        <v>4114</v>
      </c>
      <c r="AE250" s="64" t="s">
        <v>3427</v>
      </c>
      <c r="AF250" s="64" t="s">
        <v>66</v>
      </c>
      <c r="AG250" s="64" t="s">
        <v>66</v>
      </c>
      <c r="AH250" s="64" t="s">
        <v>66</v>
      </c>
      <c r="AI250" s="64" t="s">
        <v>66</v>
      </c>
      <c r="AJ250" s="65" t="s">
        <v>3428</v>
      </c>
      <c r="AK250" s="64" t="s">
        <v>3429</v>
      </c>
      <c r="AL250" s="64" t="s">
        <v>3430</v>
      </c>
      <c r="AM250" s="64" t="s">
        <v>3431</v>
      </c>
      <c r="AN250" s="64" t="s">
        <v>3432</v>
      </c>
      <c r="AO250" s="64" t="s">
        <v>66</v>
      </c>
      <c r="AP250" s="64" t="s">
        <v>3433</v>
      </c>
    </row>
    <row r="251" spans="1:42" ht="18.75">
      <c r="A251" s="139">
        <v>250</v>
      </c>
      <c r="B251" s="66" t="s">
        <v>3434</v>
      </c>
      <c r="C251" s="66" t="s">
        <v>3420</v>
      </c>
      <c r="D251" s="66"/>
      <c r="E251" s="66" t="s">
        <v>3420</v>
      </c>
      <c r="F251" s="66" t="s">
        <v>1138</v>
      </c>
      <c r="G251" s="66" t="s">
        <v>3421</v>
      </c>
      <c r="H251" s="66" t="s">
        <v>612</v>
      </c>
      <c r="I251" s="71">
        <v>6</v>
      </c>
      <c r="J25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1" s="71" t="s">
        <v>2956</v>
      </c>
      <c r="L251" s="71" t="str">
        <f>IF(Table1[[#This Row],[LAST]]="","Unfilled","Filled")</f>
        <v>Filled</v>
      </c>
      <c r="M251" s="66" t="s">
        <v>3435</v>
      </c>
      <c r="N251" s="66" t="s">
        <v>2001</v>
      </c>
      <c r="O251" s="66" t="s">
        <v>2281</v>
      </c>
      <c r="P251" s="63"/>
      <c r="Q251" s="64">
        <v>31449</v>
      </c>
      <c r="R251" s="64">
        <v>43391</v>
      </c>
      <c r="S251" s="64">
        <v>44348</v>
      </c>
      <c r="T251" s="64">
        <v>44874</v>
      </c>
      <c r="U251" s="64" t="s">
        <v>76</v>
      </c>
      <c r="V251" s="64" t="s">
        <v>77</v>
      </c>
      <c r="W251" s="66">
        <f t="shared" ca="1" si="9"/>
        <v>40</v>
      </c>
      <c r="X2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1" s="64" t="s">
        <v>1465</v>
      </c>
      <c r="Z251" s="64" t="s">
        <v>3436</v>
      </c>
      <c r="AA251" s="65" t="s">
        <v>3437</v>
      </c>
      <c r="AB251" s="64" t="s">
        <v>190</v>
      </c>
      <c r="AC251" s="64" t="s">
        <v>103</v>
      </c>
      <c r="AD251" s="65">
        <v>4102</v>
      </c>
      <c r="AE251" s="64" t="s">
        <v>2991</v>
      </c>
      <c r="AF251" s="64" t="s">
        <v>3438</v>
      </c>
      <c r="AG251" s="64" t="s">
        <v>66</v>
      </c>
      <c r="AH251" s="64" t="s">
        <v>66</v>
      </c>
      <c r="AI251" s="64" t="s">
        <v>66</v>
      </c>
      <c r="AJ251" s="65" t="s">
        <v>3439</v>
      </c>
      <c r="AK251" s="64" t="s">
        <v>3440</v>
      </c>
      <c r="AL251" s="64" t="s">
        <v>3441</v>
      </c>
      <c r="AM251" s="64" t="s">
        <v>3442</v>
      </c>
      <c r="AN251" s="64" t="s">
        <v>3443</v>
      </c>
      <c r="AO251" s="64" t="s">
        <v>66</v>
      </c>
      <c r="AP251" s="64" t="s">
        <v>3444</v>
      </c>
    </row>
    <row r="252" spans="1:42" ht="18.75">
      <c r="A252" s="139">
        <v>251</v>
      </c>
      <c r="B252" s="66" t="s">
        <v>3445</v>
      </c>
      <c r="C252" s="66" t="s">
        <v>3420</v>
      </c>
      <c r="D252" s="66"/>
      <c r="E252" s="66" t="s">
        <v>3420</v>
      </c>
      <c r="F252" s="66" t="s">
        <v>1138</v>
      </c>
      <c r="G252" s="66" t="s">
        <v>3421</v>
      </c>
      <c r="H252" s="66" t="s">
        <v>612</v>
      </c>
      <c r="I252" s="71">
        <v>6</v>
      </c>
      <c r="J25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2" s="71" t="s">
        <v>2956</v>
      </c>
      <c r="L252" s="71" t="str">
        <f>IF(Table1[[#This Row],[LAST]]="","Unfilled","Filled")</f>
        <v>Filled</v>
      </c>
      <c r="M252" s="66" t="s">
        <v>3446</v>
      </c>
      <c r="N252" s="66" t="s">
        <v>1167</v>
      </c>
      <c r="O252" s="66" t="s">
        <v>3447</v>
      </c>
      <c r="P252" s="63"/>
      <c r="Q252" s="64">
        <v>31699</v>
      </c>
      <c r="R252" s="64">
        <v>44317</v>
      </c>
      <c r="S252" s="64">
        <v>44317</v>
      </c>
      <c r="T252" s="64">
        <v>44868</v>
      </c>
      <c r="U252" s="64" t="s">
        <v>76</v>
      </c>
      <c r="V252" s="64" t="s">
        <v>77</v>
      </c>
      <c r="W252" s="66">
        <f t="shared" ca="1" si="9"/>
        <v>39</v>
      </c>
      <c r="X25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2" s="64" t="s">
        <v>3448</v>
      </c>
      <c r="Z252" s="64" t="s">
        <v>3449</v>
      </c>
      <c r="AA252" s="65" t="s">
        <v>1452</v>
      </c>
      <c r="AB252" s="64" t="s">
        <v>190</v>
      </c>
      <c r="AC252" s="64" t="s">
        <v>103</v>
      </c>
      <c r="AD252" s="65">
        <v>4102</v>
      </c>
      <c r="AE252" s="64" t="s">
        <v>2991</v>
      </c>
      <c r="AF252" s="64" t="s">
        <v>3450</v>
      </c>
      <c r="AG252" s="64" t="s">
        <v>66</v>
      </c>
      <c r="AH252" s="64" t="s">
        <v>66</v>
      </c>
      <c r="AI252" s="64" t="s">
        <v>66</v>
      </c>
      <c r="AJ252" s="65" t="s">
        <v>3451</v>
      </c>
      <c r="AK252" s="64" t="s">
        <v>3452</v>
      </c>
      <c r="AL252" s="64" t="s">
        <v>3453</v>
      </c>
      <c r="AM252" s="64" t="s">
        <v>3454</v>
      </c>
      <c r="AN252" s="64" t="s">
        <v>3455</v>
      </c>
      <c r="AO252" s="64" t="s">
        <v>66</v>
      </c>
      <c r="AP252" s="64" t="s">
        <v>3456</v>
      </c>
    </row>
    <row r="253" spans="1:42" ht="18.75">
      <c r="A253" s="139">
        <v>252</v>
      </c>
      <c r="B253" s="66" t="s">
        <v>3457</v>
      </c>
      <c r="C253" s="66" t="s">
        <v>3420</v>
      </c>
      <c r="D253" s="66"/>
      <c r="E253" s="66" t="s">
        <v>3420</v>
      </c>
      <c r="F253" s="66" t="s">
        <v>1138</v>
      </c>
      <c r="G253" s="66" t="s">
        <v>3421</v>
      </c>
      <c r="H253" s="66" t="s">
        <v>612</v>
      </c>
      <c r="I253" s="71">
        <v>6</v>
      </c>
      <c r="J25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3" s="71" t="s">
        <v>2956</v>
      </c>
      <c r="L253" s="71" t="str">
        <f>IF(Table1[[#This Row],[LAST]]="","Unfilled","Filled")</f>
        <v>Filled</v>
      </c>
      <c r="M253" s="66" t="s">
        <v>2842</v>
      </c>
      <c r="N253" s="66" t="s">
        <v>3458</v>
      </c>
      <c r="O253" s="66" t="s">
        <v>3459</v>
      </c>
      <c r="P253" s="63"/>
      <c r="Q253" s="64">
        <v>28154</v>
      </c>
      <c r="R253" s="64">
        <v>44321</v>
      </c>
      <c r="S253" s="64">
        <v>44321</v>
      </c>
      <c r="T253" s="64">
        <v>44868</v>
      </c>
      <c r="U253" s="64" t="s">
        <v>51</v>
      </c>
      <c r="V253" s="64" t="s">
        <v>77</v>
      </c>
      <c r="W253" s="66">
        <f t="shared" ca="1" si="9"/>
        <v>49</v>
      </c>
      <c r="X25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3" s="64" t="s">
        <v>154</v>
      </c>
      <c r="Z253" s="64" t="s">
        <v>3460</v>
      </c>
      <c r="AA253" s="65" t="s">
        <v>670</v>
      </c>
      <c r="AB253" s="64" t="s">
        <v>539</v>
      </c>
      <c r="AC253" s="64" t="s">
        <v>82</v>
      </c>
      <c r="AD253" s="65">
        <v>1715</v>
      </c>
      <c r="AE253" s="64" t="s">
        <v>3427</v>
      </c>
      <c r="AF253" s="64" t="s">
        <v>66</v>
      </c>
      <c r="AG253" s="64" t="s">
        <v>66</v>
      </c>
      <c r="AH253" s="64" t="s">
        <v>66</v>
      </c>
      <c r="AI253" s="64" t="s">
        <v>66</v>
      </c>
      <c r="AJ253" s="65" t="s">
        <v>3461</v>
      </c>
      <c r="AK253" s="64" t="s">
        <v>3462</v>
      </c>
      <c r="AL253" s="64" t="s">
        <v>3463</v>
      </c>
      <c r="AM253" s="64" t="s">
        <v>3464</v>
      </c>
      <c r="AN253" s="64" t="s">
        <v>3465</v>
      </c>
      <c r="AO253" s="64" t="s">
        <v>3466</v>
      </c>
      <c r="AP253" s="64" t="s">
        <v>3467</v>
      </c>
    </row>
    <row r="254" spans="1:42" ht="18.75">
      <c r="A254" s="139">
        <v>253</v>
      </c>
      <c r="B254" s="66" t="s">
        <v>3468</v>
      </c>
      <c r="C254" s="66" t="s">
        <v>3420</v>
      </c>
      <c r="D254" s="66"/>
      <c r="E254" s="66" t="s">
        <v>3420</v>
      </c>
      <c r="F254" s="66" t="s">
        <v>1138</v>
      </c>
      <c r="G254" s="66" t="s">
        <v>3421</v>
      </c>
      <c r="H254" s="66" t="s">
        <v>612</v>
      </c>
      <c r="I254" s="71">
        <v>6</v>
      </c>
      <c r="J25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4" s="71" t="s">
        <v>2956</v>
      </c>
      <c r="L254" s="71" t="str">
        <f>IF(Table1[[#This Row],[LAST]]="","Unfilled","Filled")</f>
        <v>Filled</v>
      </c>
      <c r="M254" s="63" t="s">
        <v>1436</v>
      </c>
      <c r="N254" s="63" t="s">
        <v>3469</v>
      </c>
      <c r="O254" s="63" t="s">
        <v>1723</v>
      </c>
      <c r="P254" s="63"/>
      <c r="Q254" s="64">
        <v>28795</v>
      </c>
      <c r="R254" s="64">
        <v>44872</v>
      </c>
      <c r="S254" s="64">
        <v>44872</v>
      </c>
      <c r="T254" s="64">
        <v>44872</v>
      </c>
      <c r="U254" s="64" t="s">
        <v>51</v>
      </c>
      <c r="V254" s="64" t="s">
        <v>77</v>
      </c>
      <c r="W254" s="66">
        <f t="shared" ca="1" si="9"/>
        <v>47</v>
      </c>
      <c r="X2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4" s="64" t="s">
        <v>1465</v>
      </c>
      <c r="Z254" s="64" t="s">
        <v>3470</v>
      </c>
      <c r="AA254" s="65" t="s">
        <v>2322</v>
      </c>
      <c r="AB254" s="64" t="s">
        <v>190</v>
      </c>
      <c r="AC254" s="64" t="s">
        <v>103</v>
      </c>
      <c r="AD254" s="65">
        <v>4102</v>
      </c>
      <c r="AE254" s="64" t="s">
        <v>2991</v>
      </c>
      <c r="AF254" s="64" t="s">
        <v>3471</v>
      </c>
      <c r="AG254" s="64" t="s">
        <v>66</v>
      </c>
      <c r="AH254" s="64" t="s">
        <v>66</v>
      </c>
      <c r="AI254" s="64" t="s">
        <v>66</v>
      </c>
      <c r="AJ254" s="65" t="s">
        <v>3472</v>
      </c>
      <c r="AK254" s="64" t="s">
        <v>3473</v>
      </c>
      <c r="AL254" s="64" t="s">
        <v>3474</v>
      </c>
      <c r="AM254" s="64" t="s">
        <v>3475</v>
      </c>
      <c r="AN254" s="64" t="s">
        <v>3476</v>
      </c>
      <c r="AO254" s="64" t="s">
        <v>66</v>
      </c>
      <c r="AP254" s="64" t="s">
        <v>3477</v>
      </c>
    </row>
    <row r="255" spans="1:42" ht="18.75">
      <c r="A255" s="139">
        <v>254</v>
      </c>
      <c r="B255" s="66" t="s">
        <v>3478</v>
      </c>
      <c r="C255" s="66" t="s">
        <v>3420</v>
      </c>
      <c r="D255" s="66"/>
      <c r="E255" s="66" t="s">
        <v>3420</v>
      </c>
      <c r="F255" s="66" t="s">
        <v>1138</v>
      </c>
      <c r="G255" s="66" t="s">
        <v>3421</v>
      </c>
      <c r="H255" s="66" t="s">
        <v>612</v>
      </c>
      <c r="I255" s="71">
        <v>6</v>
      </c>
      <c r="J25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5" s="71" t="s">
        <v>2956</v>
      </c>
      <c r="L255" s="71" t="str">
        <f>IF(Table1[[#This Row],[LAST]]="","Unfilled","Filled")</f>
        <v>Filled</v>
      </c>
      <c r="M255" s="66" t="s">
        <v>3479</v>
      </c>
      <c r="N255" s="66" t="s">
        <v>3480</v>
      </c>
      <c r="O255" s="66" t="s">
        <v>3481</v>
      </c>
      <c r="P255" s="63"/>
      <c r="Q255" s="64">
        <v>30800</v>
      </c>
      <c r="R255" s="64">
        <v>44873</v>
      </c>
      <c r="S255" s="64">
        <v>44873</v>
      </c>
      <c r="T255" s="64">
        <v>45261</v>
      </c>
      <c r="U255" s="64" t="s">
        <v>51</v>
      </c>
      <c r="V255" s="64" t="s">
        <v>77</v>
      </c>
      <c r="W255" s="66">
        <f t="shared" ca="1" si="9"/>
        <v>42</v>
      </c>
      <c r="X25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55" s="64" t="s">
        <v>154</v>
      </c>
      <c r="Z255" s="64" t="s">
        <v>3482</v>
      </c>
      <c r="AA255" s="65" t="s">
        <v>3483</v>
      </c>
      <c r="AB255" s="64" t="s">
        <v>237</v>
      </c>
      <c r="AC255" s="64" t="s">
        <v>103</v>
      </c>
      <c r="AD255" s="65">
        <v>4107</v>
      </c>
      <c r="AE255" s="64" t="s">
        <v>2991</v>
      </c>
      <c r="AF255" s="64" t="s">
        <v>3471</v>
      </c>
      <c r="AG255" s="64" t="s">
        <v>66</v>
      </c>
      <c r="AH255" s="64" t="s">
        <v>66</v>
      </c>
      <c r="AI255" s="64" t="s">
        <v>66</v>
      </c>
      <c r="AJ255" s="65" t="s">
        <v>3484</v>
      </c>
      <c r="AK255" s="64" t="s">
        <v>3485</v>
      </c>
      <c r="AL255" s="64" t="s">
        <v>3486</v>
      </c>
      <c r="AM255" s="64" t="s">
        <v>3487</v>
      </c>
      <c r="AN255" s="64" t="s">
        <v>3488</v>
      </c>
      <c r="AO255" s="64" t="s">
        <v>66</v>
      </c>
      <c r="AP255" s="64" t="s">
        <v>3489</v>
      </c>
    </row>
    <row r="256" spans="1:42" ht="18.75">
      <c r="A256" s="139">
        <v>255</v>
      </c>
      <c r="B256" s="66" t="s">
        <v>3490</v>
      </c>
      <c r="C256" s="66" t="s">
        <v>3420</v>
      </c>
      <c r="D256" s="66"/>
      <c r="E256" s="66" t="s">
        <v>3420</v>
      </c>
      <c r="F256" s="66" t="s">
        <v>1138</v>
      </c>
      <c r="G256" s="66" t="s">
        <v>3421</v>
      </c>
      <c r="H256" s="66" t="s">
        <v>612</v>
      </c>
      <c r="I256" s="71">
        <v>6</v>
      </c>
      <c r="J25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6" s="71" t="s">
        <v>2956</v>
      </c>
      <c r="L256" s="71" t="str">
        <f>IF(Table1[[#This Row],[LAST]]="","Unfilled","Filled")</f>
        <v>Filled</v>
      </c>
      <c r="M256" s="66" t="s">
        <v>3491</v>
      </c>
      <c r="N256" s="66" t="s">
        <v>3492</v>
      </c>
      <c r="O256" s="66" t="s">
        <v>3493</v>
      </c>
      <c r="P256" s="63"/>
      <c r="Q256" s="64">
        <v>34248</v>
      </c>
      <c r="R256" s="64">
        <v>44317</v>
      </c>
      <c r="S256" s="64">
        <v>44317</v>
      </c>
      <c r="T256" s="64">
        <v>44317</v>
      </c>
      <c r="U256" s="64" t="s">
        <v>76</v>
      </c>
      <c r="V256" s="64" t="s">
        <v>52</v>
      </c>
      <c r="W256" s="66">
        <f t="shared" ca="1" si="9"/>
        <v>32</v>
      </c>
      <c r="X25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6" s="64" t="s">
        <v>56</v>
      </c>
      <c r="Z256" s="64" t="s">
        <v>3494</v>
      </c>
      <c r="AA256" s="65" t="s">
        <v>3495</v>
      </c>
      <c r="AB256" s="64" t="s">
        <v>348</v>
      </c>
      <c r="AC256" s="64" t="s">
        <v>103</v>
      </c>
      <c r="AD256" s="65">
        <v>4123</v>
      </c>
      <c r="AE256" s="64" t="s">
        <v>3144</v>
      </c>
      <c r="AF256" s="64" t="s">
        <v>3496</v>
      </c>
      <c r="AG256" s="64" t="s">
        <v>66</v>
      </c>
      <c r="AH256" s="64" t="s">
        <v>66</v>
      </c>
      <c r="AI256" s="64" t="s">
        <v>66</v>
      </c>
      <c r="AJ256" s="65" t="s">
        <v>3497</v>
      </c>
      <c r="AK256" s="64" t="s">
        <v>3498</v>
      </c>
      <c r="AL256" s="64" t="s">
        <v>3499</v>
      </c>
      <c r="AM256" s="64" t="s">
        <v>3500</v>
      </c>
      <c r="AN256" s="64" t="s">
        <v>3501</v>
      </c>
      <c r="AO256" s="64" t="s">
        <v>66</v>
      </c>
      <c r="AP256" s="64" t="s">
        <v>3502</v>
      </c>
    </row>
    <row r="257" spans="1:43" ht="18.75">
      <c r="A257" s="139">
        <v>256</v>
      </c>
      <c r="B257" s="66" t="s">
        <v>3503</v>
      </c>
      <c r="C257" s="66" t="s">
        <v>3420</v>
      </c>
      <c r="D257" s="66"/>
      <c r="E257" s="66" t="s">
        <v>3420</v>
      </c>
      <c r="F257" s="66" t="s">
        <v>1138</v>
      </c>
      <c r="G257" s="66" t="s">
        <v>3421</v>
      </c>
      <c r="H257" s="66" t="s">
        <v>612</v>
      </c>
      <c r="I257" s="71">
        <v>6</v>
      </c>
      <c r="J25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7" s="71" t="s">
        <v>2956</v>
      </c>
      <c r="L257" s="71" t="str">
        <f>IF(Table1[[#This Row],[LAST]]="","Unfilled","Filled")</f>
        <v>Filled</v>
      </c>
      <c r="M257" s="63" t="s">
        <v>3504</v>
      </c>
      <c r="N257" s="63" t="s">
        <v>3505</v>
      </c>
      <c r="O257" s="63" t="s">
        <v>3506</v>
      </c>
      <c r="P257" s="63"/>
      <c r="Q257" s="64">
        <v>32412</v>
      </c>
      <c r="R257" s="64">
        <v>44637</v>
      </c>
      <c r="S257" s="64">
        <v>44637</v>
      </c>
      <c r="T257" s="64">
        <v>45261</v>
      </c>
      <c r="U257" s="64" t="s">
        <v>51</v>
      </c>
      <c r="V257" s="64" t="s">
        <v>77</v>
      </c>
      <c r="W257" s="66">
        <f t="shared" ca="1" si="9"/>
        <v>37</v>
      </c>
      <c r="X25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7" s="64" t="s">
        <v>154</v>
      </c>
      <c r="Z257" s="64" t="s">
        <v>3507</v>
      </c>
      <c r="AA257" s="65" t="s">
        <v>3508</v>
      </c>
      <c r="AB257" s="64" t="s">
        <v>190</v>
      </c>
      <c r="AC257" s="64" t="s">
        <v>103</v>
      </c>
      <c r="AD257" s="65">
        <v>4102</v>
      </c>
      <c r="AE257" s="64" t="s">
        <v>2991</v>
      </c>
      <c r="AF257" s="64" t="s">
        <v>3509</v>
      </c>
      <c r="AG257" s="64" t="s">
        <v>66</v>
      </c>
      <c r="AH257" s="64" t="s">
        <v>66</v>
      </c>
      <c r="AI257" s="64" t="s">
        <v>66</v>
      </c>
      <c r="AJ257" s="65" t="s">
        <v>3510</v>
      </c>
      <c r="AK257" s="64" t="s">
        <v>3511</v>
      </c>
      <c r="AL257" s="64" t="s">
        <v>3512</v>
      </c>
      <c r="AM257" s="64" t="s">
        <v>3513</v>
      </c>
      <c r="AN257" s="64" t="s">
        <v>3514</v>
      </c>
      <c r="AO257" s="64" t="s">
        <v>66</v>
      </c>
      <c r="AP257" s="64" t="s">
        <v>3515</v>
      </c>
    </row>
    <row r="258" spans="1:43" ht="18.75">
      <c r="A258" s="139">
        <v>257</v>
      </c>
      <c r="B258" s="66" t="s">
        <v>3516</v>
      </c>
      <c r="C258" s="66" t="s">
        <v>3420</v>
      </c>
      <c r="D258" s="66"/>
      <c r="E258" s="66" t="s">
        <v>3420</v>
      </c>
      <c r="F258" s="66" t="s">
        <v>1138</v>
      </c>
      <c r="G258" s="66" t="s">
        <v>3421</v>
      </c>
      <c r="H258" s="66" t="s">
        <v>612</v>
      </c>
      <c r="I258" s="71">
        <v>6</v>
      </c>
      <c r="J25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8" s="71" t="s">
        <v>2956</v>
      </c>
      <c r="L258" s="71" t="str">
        <f>IF(Table1[[#This Row],[LAST]]="","Unfilled","Filled")</f>
        <v>Filled</v>
      </c>
      <c r="M258" s="66" t="s">
        <v>682</v>
      </c>
      <c r="N258" s="66" t="s">
        <v>3517</v>
      </c>
      <c r="O258" s="66" t="s">
        <v>3518</v>
      </c>
      <c r="P258" s="63"/>
      <c r="Q258" s="64">
        <v>34506</v>
      </c>
      <c r="R258" s="64">
        <v>44318</v>
      </c>
      <c r="S258" s="64">
        <v>44318</v>
      </c>
      <c r="T258" s="64">
        <v>44318</v>
      </c>
      <c r="U258" s="64" t="s">
        <v>51</v>
      </c>
      <c r="V258" s="64" t="s">
        <v>77</v>
      </c>
      <c r="W258" s="66">
        <f t="shared" ca="1" si="9"/>
        <v>32</v>
      </c>
      <c r="X25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8" s="64" t="s">
        <v>1657</v>
      </c>
      <c r="Z258" s="64" t="s">
        <v>3519</v>
      </c>
      <c r="AA258" s="65" t="s">
        <v>3520</v>
      </c>
      <c r="AB258" s="64" t="s">
        <v>190</v>
      </c>
      <c r="AC258" s="64" t="s">
        <v>103</v>
      </c>
      <c r="AD258" s="65">
        <v>4102</v>
      </c>
      <c r="AE258" s="64" t="s">
        <v>2991</v>
      </c>
      <c r="AF258" s="64" t="s">
        <v>3450</v>
      </c>
      <c r="AG258" s="64" t="s">
        <v>66</v>
      </c>
      <c r="AH258" s="64" t="s">
        <v>66</v>
      </c>
      <c r="AI258" s="64" t="s">
        <v>66</v>
      </c>
      <c r="AJ258" s="65" t="s">
        <v>3521</v>
      </c>
      <c r="AK258" s="64" t="s">
        <v>3522</v>
      </c>
      <c r="AL258" s="64" t="s">
        <v>3523</v>
      </c>
      <c r="AM258" s="64" t="s">
        <v>3524</v>
      </c>
      <c r="AN258" s="64" t="s">
        <v>3525</v>
      </c>
      <c r="AO258" s="64" t="s">
        <v>66</v>
      </c>
      <c r="AP258" s="64" t="s">
        <v>3526</v>
      </c>
    </row>
    <row r="259" spans="1:43" ht="18.75">
      <c r="A259" s="139">
        <v>258</v>
      </c>
      <c r="B259" s="66" t="s">
        <v>3527</v>
      </c>
      <c r="C259" s="66" t="s">
        <v>3420</v>
      </c>
      <c r="D259" s="66"/>
      <c r="E259" s="66" t="s">
        <v>3420</v>
      </c>
      <c r="F259" s="66" t="s">
        <v>1138</v>
      </c>
      <c r="G259" s="66" t="s">
        <v>3421</v>
      </c>
      <c r="H259" s="66" t="s">
        <v>612</v>
      </c>
      <c r="I259" s="71">
        <v>6</v>
      </c>
      <c r="J25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59" s="71" t="s">
        <v>2956</v>
      </c>
      <c r="L259" s="71" t="str">
        <f>IF(Table1[[#This Row],[LAST]]="","Unfilled","Filled")</f>
        <v>Filled</v>
      </c>
      <c r="M259" s="63" t="s">
        <v>135</v>
      </c>
      <c r="N259" s="63" t="s">
        <v>3528</v>
      </c>
      <c r="O259" s="63" t="s">
        <v>3529</v>
      </c>
      <c r="P259" s="63"/>
      <c r="Q259" s="64">
        <v>32943</v>
      </c>
      <c r="R259" s="64">
        <v>44637</v>
      </c>
      <c r="S259" s="64">
        <v>44637</v>
      </c>
      <c r="T259" s="64">
        <v>45261</v>
      </c>
      <c r="U259" s="64" t="s">
        <v>76</v>
      </c>
      <c r="V259" s="64" t="s">
        <v>77</v>
      </c>
      <c r="W259" s="66">
        <f t="shared" ca="1" si="9"/>
        <v>36</v>
      </c>
      <c r="X25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59" s="64" t="s">
        <v>391</v>
      </c>
      <c r="Z259" s="64" t="s">
        <v>3530</v>
      </c>
      <c r="AA259" s="65" t="s">
        <v>1585</v>
      </c>
      <c r="AB259" s="64" t="s">
        <v>102</v>
      </c>
      <c r="AC259" s="64" t="s">
        <v>103</v>
      </c>
      <c r="AD259" s="65">
        <v>4103</v>
      </c>
      <c r="AE259" s="64" t="s">
        <v>2991</v>
      </c>
      <c r="AF259" s="64" t="s">
        <v>3471</v>
      </c>
      <c r="AG259" s="64" t="s">
        <v>66</v>
      </c>
      <c r="AH259" s="64" t="s">
        <v>66</v>
      </c>
      <c r="AI259" s="64" t="s">
        <v>66</v>
      </c>
      <c r="AJ259" s="65" t="s">
        <v>3531</v>
      </c>
      <c r="AK259" s="64" t="s">
        <v>3532</v>
      </c>
      <c r="AL259" s="64" t="s">
        <v>3533</v>
      </c>
      <c r="AM259" s="64" t="s">
        <v>3534</v>
      </c>
      <c r="AN259" s="64" t="s">
        <v>3535</v>
      </c>
      <c r="AO259" s="64" t="s">
        <v>66</v>
      </c>
      <c r="AP259" s="64" t="s">
        <v>3536</v>
      </c>
    </row>
    <row r="260" spans="1:43" ht="18.75">
      <c r="A260" s="139">
        <v>259</v>
      </c>
      <c r="B260" s="66" t="s">
        <v>3537</v>
      </c>
      <c r="C260" s="66" t="s">
        <v>3420</v>
      </c>
      <c r="D260" s="66"/>
      <c r="E260" s="66" t="s">
        <v>3420</v>
      </c>
      <c r="F260" s="66" t="s">
        <v>1138</v>
      </c>
      <c r="G260" s="66" t="s">
        <v>3421</v>
      </c>
      <c r="H260" s="66" t="s">
        <v>612</v>
      </c>
      <c r="I260" s="71">
        <v>6</v>
      </c>
      <c r="J26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0" s="71" t="s">
        <v>2956</v>
      </c>
      <c r="L260" s="71" t="str">
        <f>IF(Table1[[#This Row],[LAST]]="","Unfilled","Filled")</f>
        <v>Filled</v>
      </c>
      <c r="M260" s="66" t="s">
        <v>3538</v>
      </c>
      <c r="N260" s="66" t="s">
        <v>3539</v>
      </c>
      <c r="O260" s="66" t="s">
        <v>3540</v>
      </c>
      <c r="P260" s="63"/>
      <c r="Q260" s="64">
        <v>34030</v>
      </c>
      <c r="R260" s="64">
        <v>44317</v>
      </c>
      <c r="S260" s="64">
        <v>44317</v>
      </c>
      <c r="T260" s="64">
        <v>44317</v>
      </c>
      <c r="U260" s="64" t="s">
        <v>51</v>
      </c>
      <c r="V260" s="64" t="s">
        <v>77</v>
      </c>
      <c r="W260" s="66">
        <f t="shared" ca="1" si="9"/>
        <v>33</v>
      </c>
      <c r="X26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60" s="64" t="s">
        <v>3541</v>
      </c>
      <c r="Z260" s="64" t="s">
        <v>3542</v>
      </c>
      <c r="AA260" s="65" t="s">
        <v>3046</v>
      </c>
      <c r="AB260" s="64" t="s">
        <v>237</v>
      </c>
      <c r="AC260" s="64" t="s">
        <v>103</v>
      </c>
      <c r="AD260" s="65">
        <v>4107</v>
      </c>
      <c r="AE260" s="64" t="s">
        <v>619</v>
      </c>
      <c r="AF260" s="64" t="s">
        <v>620</v>
      </c>
      <c r="AG260" s="64" t="s">
        <v>66</v>
      </c>
      <c r="AH260" s="64" t="s">
        <v>66</v>
      </c>
      <c r="AI260" s="64" t="s">
        <v>66</v>
      </c>
      <c r="AJ260" s="65" t="s">
        <v>3543</v>
      </c>
      <c r="AK260" s="64" t="s">
        <v>3544</v>
      </c>
      <c r="AL260" s="64" t="s">
        <v>3545</v>
      </c>
      <c r="AM260" s="64" t="s">
        <v>3546</v>
      </c>
      <c r="AN260" s="64" t="s">
        <v>3547</v>
      </c>
      <c r="AO260" s="64" t="s">
        <v>66</v>
      </c>
      <c r="AP260" s="64" t="s">
        <v>3548</v>
      </c>
    </row>
    <row r="261" spans="1:43" ht="18.75">
      <c r="A261" s="139">
        <v>260</v>
      </c>
      <c r="B261" s="66" t="s">
        <v>3549</v>
      </c>
      <c r="C261" s="66" t="s">
        <v>3420</v>
      </c>
      <c r="D261" s="66"/>
      <c r="E261" s="66" t="s">
        <v>3420</v>
      </c>
      <c r="F261" s="66" t="s">
        <v>1138</v>
      </c>
      <c r="G261" s="66" t="s">
        <v>3421</v>
      </c>
      <c r="H261" s="66" t="s">
        <v>612</v>
      </c>
      <c r="I261" s="71">
        <v>6</v>
      </c>
      <c r="J2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1" s="71" t="s">
        <v>2956</v>
      </c>
      <c r="L261" s="71" t="str">
        <f>IF(Table1[[#This Row],[LAST]]="","Unfilled","Filled")</f>
        <v>Filled</v>
      </c>
      <c r="M261" s="66" t="s">
        <v>3550</v>
      </c>
      <c r="N261" s="66" t="s">
        <v>3551</v>
      </c>
      <c r="O261" s="66" t="s">
        <v>135</v>
      </c>
      <c r="P261" s="63"/>
      <c r="Q261" s="64">
        <v>29700</v>
      </c>
      <c r="R261" s="64">
        <v>44334</v>
      </c>
      <c r="S261" s="64">
        <v>44334</v>
      </c>
      <c r="T261" s="64">
        <v>45261</v>
      </c>
      <c r="U261" s="64" t="s">
        <v>51</v>
      </c>
      <c r="V261" s="64" t="s">
        <v>52</v>
      </c>
      <c r="W261" s="66">
        <f t="shared" ca="1" si="9"/>
        <v>45</v>
      </c>
      <c r="X2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1" s="64" t="s">
        <v>3552</v>
      </c>
      <c r="Z261" s="64" t="s">
        <v>3553</v>
      </c>
      <c r="AA261" s="65" t="s">
        <v>3554</v>
      </c>
      <c r="AB261" s="64" t="s">
        <v>2959</v>
      </c>
      <c r="AC261" s="64" t="s">
        <v>103</v>
      </c>
      <c r="AD261" s="65">
        <v>4121</v>
      </c>
      <c r="AE261" s="64" t="s">
        <v>619</v>
      </c>
      <c r="AF261" s="64"/>
      <c r="AG261" s="64" t="s">
        <v>66</v>
      </c>
      <c r="AH261" s="64" t="s">
        <v>66</v>
      </c>
      <c r="AI261" s="64" t="s">
        <v>66</v>
      </c>
      <c r="AJ261" s="65" t="s">
        <v>3555</v>
      </c>
      <c r="AK261" s="64" t="s">
        <v>3556</v>
      </c>
      <c r="AL261" s="64" t="s">
        <v>3557</v>
      </c>
      <c r="AM261" s="64" t="s">
        <v>3558</v>
      </c>
      <c r="AN261" s="64" t="s">
        <v>3559</v>
      </c>
      <c r="AO261" s="64" t="s">
        <v>66</v>
      </c>
      <c r="AP261" s="64" t="s">
        <v>3560</v>
      </c>
    </row>
    <row r="262" spans="1:43" ht="18.75">
      <c r="A262" s="139">
        <v>261</v>
      </c>
      <c r="B262" s="66" t="s">
        <v>3561</v>
      </c>
      <c r="C262" s="66" t="s">
        <v>3420</v>
      </c>
      <c r="D262" s="66"/>
      <c r="E262" s="66" t="s">
        <v>3420</v>
      </c>
      <c r="F262" s="66" t="s">
        <v>1138</v>
      </c>
      <c r="G262" s="66" t="s">
        <v>3421</v>
      </c>
      <c r="H262" s="66" t="s">
        <v>612</v>
      </c>
      <c r="I262" s="71">
        <v>6</v>
      </c>
      <c r="J26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2" s="71" t="s">
        <v>2956</v>
      </c>
      <c r="L262" s="71" t="str">
        <f>IF(Table1[[#This Row],[LAST]]="","Unfilled","Filled")</f>
        <v>Filled</v>
      </c>
      <c r="M262" s="66" t="s">
        <v>3562</v>
      </c>
      <c r="N262" s="66" t="s">
        <v>3563</v>
      </c>
      <c r="O262" s="66" t="s">
        <v>3564</v>
      </c>
      <c r="P262" s="63"/>
      <c r="Q262" s="64">
        <v>29243</v>
      </c>
      <c r="R262" s="64">
        <v>44319</v>
      </c>
      <c r="S262" s="64">
        <v>44319</v>
      </c>
      <c r="T262" s="64">
        <v>44319</v>
      </c>
      <c r="U262" s="64" t="s">
        <v>76</v>
      </c>
      <c r="V262" s="64" t="s">
        <v>52</v>
      </c>
      <c r="W262" s="66">
        <f t="shared" ca="1" si="9"/>
        <v>46</v>
      </c>
      <c r="X26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2" s="64" t="s">
        <v>1329</v>
      </c>
      <c r="Z262" s="64" t="s">
        <v>3565</v>
      </c>
      <c r="AA262" s="65"/>
      <c r="AB262" s="64" t="s">
        <v>580</v>
      </c>
      <c r="AC262" s="64" t="s">
        <v>103</v>
      </c>
      <c r="AD262" s="65">
        <v>4105</v>
      </c>
      <c r="AE262" s="64" t="s">
        <v>3427</v>
      </c>
      <c r="AF262" s="64" t="s">
        <v>66</v>
      </c>
      <c r="AG262" s="64" t="s">
        <v>66</v>
      </c>
      <c r="AH262" s="64" t="s">
        <v>66</v>
      </c>
      <c r="AI262" s="64" t="s">
        <v>66</v>
      </c>
      <c r="AJ262" s="65" t="s">
        <v>3566</v>
      </c>
      <c r="AK262" s="64" t="s">
        <v>3567</v>
      </c>
      <c r="AL262" s="64" t="s">
        <v>3568</v>
      </c>
      <c r="AM262" s="64" t="s">
        <v>3569</v>
      </c>
      <c r="AN262" s="64" t="s">
        <v>3570</v>
      </c>
      <c r="AO262" s="64" t="s">
        <v>66</v>
      </c>
      <c r="AP262" s="64" t="s">
        <v>3571</v>
      </c>
      <c r="AQ262" t="s">
        <v>802</v>
      </c>
    </row>
    <row r="263" spans="1:43" ht="18.75">
      <c r="A263" s="139">
        <v>262</v>
      </c>
      <c r="B263" s="66" t="s">
        <v>3572</v>
      </c>
      <c r="C263" s="66" t="s">
        <v>3420</v>
      </c>
      <c r="D263" s="66"/>
      <c r="E263" s="66" t="s">
        <v>3420</v>
      </c>
      <c r="F263" s="66" t="s">
        <v>1138</v>
      </c>
      <c r="G263" s="66" t="s">
        <v>3421</v>
      </c>
      <c r="H263" s="66" t="s">
        <v>612</v>
      </c>
      <c r="I263" s="71">
        <v>6</v>
      </c>
      <c r="J26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3" s="71" t="s">
        <v>2956</v>
      </c>
      <c r="L263" s="71" t="str">
        <f>IF(Table1[[#This Row],[LAST]]="","Unfilled","Filled")</f>
        <v>Filled</v>
      </c>
      <c r="M263" s="66" t="s">
        <v>3573</v>
      </c>
      <c r="N263" s="66" t="s">
        <v>3574</v>
      </c>
      <c r="O263" s="66" t="s">
        <v>3564</v>
      </c>
      <c r="P263" s="63"/>
      <c r="Q263" s="64">
        <v>27989</v>
      </c>
      <c r="R263" s="64">
        <v>44319</v>
      </c>
      <c r="S263" s="64">
        <v>44319</v>
      </c>
      <c r="T263" s="64">
        <v>45261</v>
      </c>
      <c r="U263" s="64" t="s">
        <v>3575</v>
      </c>
      <c r="V263" s="64" t="s">
        <v>77</v>
      </c>
      <c r="W263" s="66">
        <f t="shared" ca="1" si="9"/>
        <v>50</v>
      </c>
      <c r="X26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63" s="64" t="s">
        <v>154</v>
      </c>
      <c r="Z263" s="64" t="s">
        <v>3576</v>
      </c>
      <c r="AA263" s="65" t="s">
        <v>2885</v>
      </c>
      <c r="AB263" s="64" t="s">
        <v>991</v>
      </c>
      <c r="AC263" s="64" t="s">
        <v>103</v>
      </c>
      <c r="AD263" s="65">
        <v>4109</v>
      </c>
      <c r="AE263" s="64" t="s">
        <v>2991</v>
      </c>
      <c r="AF263" s="64" t="s">
        <v>3577</v>
      </c>
      <c r="AG263" s="64" t="s">
        <v>66</v>
      </c>
      <c r="AH263" s="64" t="s">
        <v>66</v>
      </c>
      <c r="AI263" s="64" t="s">
        <v>66</v>
      </c>
      <c r="AJ263" s="65" t="s">
        <v>3578</v>
      </c>
      <c r="AK263" s="64" t="s">
        <v>3579</v>
      </c>
      <c r="AL263" s="64" t="s">
        <v>3580</v>
      </c>
      <c r="AM263" s="64" t="s">
        <v>3581</v>
      </c>
      <c r="AN263" s="64" t="s">
        <v>3582</v>
      </c>
      <c r="AO263" s="64" t="s">
        <v>66</v>
      </c>
      <c r="AP263" s="64" t="s">
        <v>3583</v>
      </c>
    </row>
    <row r="264" spans="1:43" ht="18.75">
      <c r="A264" s="139">
        <v>263</v>
      </c>
      <c r="B264" s="66" t="s">
        <v>3584</v>
      </c>
      <c r="C264" s="66" t="s">
        <v>3420</v>
      </c>
      <c r="D264" s="66"/>
      <c r="E264" s="66" t="s">
        <v>3420</v>
      </c>
      <c r="F264" s="66" t="s">
        <v>1138</v>
      </c>
      <c r="G264" s="66" t="s">
        <v>3421</v>
      </c>
      <c r="H264" s="66" t="s">
        <v>612</v>
      </c>
      <c r="I264" s="71">
        <v>6</v>
      </c>
      <c r="J26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4" s="71" t="s">
        <v>2956</v>
      </c>
      <c r="L264" s="71" t="str">
        <f>IF(Table1[[#This Row],[LAST]]="","Unfilled","Filled")</f>
        <v>Filled</v>
      </c>
      <c r="M264" s="66" t="s">
        <v>3585</v>
      </c>
      <c r="N264" s="66" t="s">
        <v>3586</v>
      </c>
      <c r="O264" s="66" t="s">
        <v>3587</v>
      </c>
      <c r="P264" s="63"/>
      <c r="Q264" s="64">
        <v>26935</v>
      </c>
      <c r="R264" s="64">
        <v>43756</v>
      </c>
      <c r="S264" s="64">
        <v>44348</v>
      </c>
      <c r="T264" s="64">
        <v>44348</v>
      </c>
      <c r="U264" s="64" t="s">
        <v>76</v>
      </c>
      <c r="V264" s="64" t="s">
        <v>52</v>
      </c>
      <c r="W264" s="66">
        <f t="shared" ca="1" si="9"/>
        <v>52</v>
      </c>
      <c r="X26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64" s="64" t="s">
        <v>3588</v>
      </c>
      <c r="Z264" s="64" t="s">
        <v>3589</v>
      </c>
      <c r="AA264" s="65" t="s">
        <v>2017</v>
      </c>
      <c r="AB264" s="64" t="s">
        <v>138</v>
      </c>
      <c r="AC264" s="64" t="s">
        <v>103</v>
      </c>
      <c r="AD264" s="65">
        <v>4114</v>
      </c>
      <c r="AE264" s="64" t="s">
        <v>3590</v>
      </c>
      <c r="AF264" s="64" t="s">
        <v>66</v>
      </c>
      <c r="AG264" s="64" t="s">
        <v>66</v>
      </c>
      <c r="AH264" s="64" t="s">
        <v>66</v>
      </c>
      <c r="AI264" s="64" t="s">
        <v>66</v>
      </c>
      <c r="AJ264" s="65" t="s">
        <v>3591</v>
      </c>
      <c r="AK264" s="64" t="s">
        <v>3592</v>
      </c>
      <c r="AL264" s="64" t="s">
        <v>3593</v>
      </c>
      <c r="AM264" s="64" t="s">
        <v>3594</v>
      </c>
      <c r="AN264" s="64" t="s">
        <v>3595</v>
      </c>
      <c r="AO264" s="64" t="s">
        <v>66</v>
      </c>
      <c r="AP264" s="64" t="s">
        <v>66</v>
      </c>
    </row>
    <row r="265" spans="1:43" ht="18.75">
      <c r="A265" s="139">
        <v>264</v>
      </c>
      <c r="B265" s="66" t="s">
        <v>3596</v>
      </c>
      <c r="C265" s="66" t="s">
        <v>3420</v>
      </c>
      <c r="D265" s="66"/>
      <c r="E265" s="66" t="s">
        <v>3420</v>
      </c>
      <c r="F265" s="66" t="s">
        <v>1138</v>
      </c>
      <c r="G265" s="66" t="s">
        <v>3421</v>
      </c>
      <c r="H265" s="66" t="s">
        <v>612</v>
      </c>
      <c r="I265" s="71">
        <v>6</v>
      </c>
      <c r="J26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5" s="71" t="s">
        <v>2956</v>
      </c>
      <c r="L265" s="71" t="str">
        <f>IF(Table1[[#This Row],[LAST]]="","Unfilled","Filled")</f>
        <v>Filled</v>
      </c>
      <c r="M265" s="66" t="s">
        <v>3597</v>
      </c>
      <c r="N265" s="66" t="s">
        <v>3598</v>
      </c>
      <c r="O265" s="66" t="s">
        <v>3599</v>
      </c>
      <c r="P265" s="63"/>
      <c r="Q265" s="64">
        <v>29457</v>
      </c>
      <c r="R265" s="64">
        <v>44873</v>
      </c>
      <c r="S265" s="64">
        <v>44873</v>
      </c>
      <c r="T265" s="64">
        <v>45293</v>
      </c>
      <c r="U265" s="64" t="s">
        <v>76</v>
      </c>
      <c r="V265" s="64" t="s">
        <v>77</v>
      </c>
      <c r="W265" s="66">
        <f t="shared" ca="1" si="9"/>
        <v>45</v>
      </c>
      <c r="X26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5" s="64" t="s">
        <v>3600</v>
      </c>
      <c r="Z265" s="64" t="s">
        <v>3601</v>
      </c>
      <c r="AA265" s="65" t="s">
        <v>655</v>
      </c>
      <c r="AB265" s="64" t="s">
        <v>190</v>
      </c>
      <c r="AC265" s="64" t="s">
        <v>103</v>
      </c>
      <c r="AD265" s="65">
        <v>4102</v>
      </c>
      <c r="AE265" s="64" t="s">
        <v>3117</v>
      </c>
      <c r="AF265" s="64" t="s">
        <v>3602</v>
      </c>
      <c r="AG265" s="64" t="s">
        <v>66</v>
      </c>
      <c r="AH265" s="64" t="s">
        <v>66</v>
      </c>
      <c r="AI265" s="64" t="s">
        <v>66</v>
      </c>
      <c r="AJ265" s="65" t="s">
        <v>3603</v>
      </c>
      <c r="AK265" s="64" t="s">
        <v>3604</v>
      </c>
      <c r="AL265" s="64" t="s">
        <v>3605</v>
      </c>
      <c r="AM265" s="64" t="s">
        <v>3606</v>
      </c>
      <c r="AN265" s="64" t="s">
        <v>3607</v>
      </c>
      <c r="AO265" s="64" t="s">
        <v>66</v>
      </c>
      <c r="AP265" s="64" t="s">
        <v>3608</v>
      </c>
    </row>
    <row r="266" spans="1:43" ht="18.75">
      <c r="A266" s="139">
        <v>265</v>
      </c>
      <c r="B266" s="66" t="s">
        <v>3609</v>
      </c>
      <c r="C266" s="66" t="s">
        <v>3420</v>
      </c>
      <c r="D266" s="66"/>
      <c r="E266" s="66" t="s">
        <v>3420</v>
      </c>
      <c r="F266" s="66" t="s">
        <v>1138</v>
      </c>
      <c r="G266" s="66" t="s">
        <v>3421</v>
      </c>
      <c r="H266" s="66" t="s">
        <v>612</v>
      </c>
      <c r="I266" s="71">
        <v>6</v>
      </c>
      <c r="J26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19716</v>
      </c>
      <c r="K266" s="71" t="s">
        <v>2956</v>
      </c>
      <c r="L266" s="71" t="str">
        <f>IF(Table1[[#This Row],[LAST]]="","Unfilled","Filled")</f>
        <v>Filled</v>
      </c>
      <c r="M266" s="66" t="s">
        <v>3610</v>
      </c>
      <c r="N266" s="66" t="s">
        <v>3611</v>
      </c>
      <c r="O266" s="66" t="s">
        <v>3612</v>
      </c>
      <c r="P266" s="63"/>
      <c r="Q266" s="64">
        <v>31574</v>
      </c>
      <c r="R266" s="64">
        <v>44872</v>
      </c>
      <c r="S266" s="64">
        <v>44872</v>
      </c>
      <c r="T266" s="64">
        <v>45293</v>
      </c>
      <c r="U266" s="64" t="s">
        <v>51</v>
      </c>
      <c r="V266" s="64" t="s">
        <v>77</v>
      </c>
      <c r="W266" s="66">
        <f t="shared" ca="1" si="9"/>
        <v>40</v>
      </c>
      <c r="X26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6" s="64" t="s">
        <v>3613</v>
      </c>
      <c r="Z266" s="64" t="s">
        <v>3614</v>
      </c>
      <c r="AA266" s="65" t="s">
        <v>3615</v>
      </c>
      <c r="AB266" s="64" t="s">
        <v>102</v>
      </c>
      <c r="AC266" s="64" t="s">
        <v>103</v>
      </c>
      <c r="AD266" s="65">
        <v>4103</v>
      </c>
      <c r="AE266" s="64" t="s">
        <v>2991</v>
      </c>
      <c r="AF266" s="64" t="s">
        <v>3471</v>
      </c>
      <c r="AG266" s="64" t="s">
        <v>66</v>
      </c>
      <c r="AH266" s="64" t="s">
        <v>66</v>
      </c>
      <c r="AI266" s="64" t="s">
        <v>66</v>
      </c>
      <c r="AJ266" s="65" t="s">
        <v>3616</v>
      </c>
      <c r="AK266" s="64" t="s">
        <v>3617</v>
      </c>
      <c r="AL266" s="64" t="s">
        <v>3618</v>
      </c>
      <c r="AM266" s="64" t="s">
        <v>3619</v>
      </c>
      <c r="AN266" s="64" t="s">
        <v>3620</v>
      </c>
      <c r="AO266" s="64" t="s">
        <v>66</v>
      </c>
      <c r="AP266" s="64" t="s">
        <v>3621</v>
      </c>
    </row>
    <row r="267" spans="1:43" ht="18.75">
      <c r="A267" s="139">
        <v>266</v>
      </c>
      <c r="B267" s="66" t="s">
        <v>3622</v>
      </c>
      <c r="C267" s="66" t="s">
        <v>3623</v>
      </c>
      <c r="D267" s="66"/>
      <c r="E267" s="66" t="s">
        <v>3623</v>
      </c>
      <c r="F267" s="66" t="s">
        <v>1065</v>
      </c>
      <c r="G267" s="66" t="s">
        <v>3624</v>
      </c>
      <c r="H267" s="66" t="s">
        <v>46</v>
      </c>
      <c r="I267" s="71">
        <v>5</v>
      </c>
      <c r="J26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18581</v>
      </c>
      <c r="K267" s="71" t="s">
        <v>2956</v>
      </c>
      <c r="L267" s="71" t="str">
        <f>IF(Table1[[#This Row],[LAST]]="","Unfilled","Filled")</f>
        <v>Filled</v>
      </c>
      <c r="M267" s="63" t="s">
        <v>3625</v>
      </c>
      <c r="N267" s="63" t="s">
        <v>3626</v>
      </c>
      <c r="O267" s="63" t="s">
        <v>3317</v>
      </c>
      <c r="P267" s="63"/>
      <c r="Q267" s="64">
        <v>25735</v>
      </c>
      <c r="R267" s="64">
        <v>45425</v>
      </c>
      <c r="S267" s="64">
        <v>45425</v>
      </c>
      <c r="T267" s="64">
        <v>45425</v>
      </c>
      <c r="U267" s="64" t="s">
        <v>51</v>
      </c>
      <c r="V267" s="64" t="s">
        <v>77</v>
      </c>
      <c r="W267" s="66">
        <f t="shared" ca="1" si="9"/>
        <v>56</v>
      </c>
      <c r="X26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67" s="64" t="s">
        <v>3627</v>
      </c>
      <c r="Z267" s="64" t="s">
        <v>3628</v>
      </c>
      <c r="AA267" s="65" t="s">
        <v>3629</v>
      </c>
      <c r="AB267" s="64" t="s">
        <v>1184</v>
      </c>
      <c r="AC267" s="64" t="s">
        <v>103</v>
      </c>
      <c r="AD267" s="65" t="s">
        <v>700</v>
      </c>
      <c r="AE267" s="64" t="s">
        <v>2991</v>
      </c>
      <c r="AF267" s="64" t="s">
        <v>3630</v>
      </c>
      <c r="AG267" s="64" t="s">
        <v>66</v>
      </c>
      <c r="AH267" s="64" t="s">
        <v>3631</v>
      </c>
      <c r="AI267" s="64" t="s">
        <v>66</v>
      </c>
      <c r="AJ267" s="65" t="s">
        <v>3632</v>
      </c>
      <c r="AK267" s="64" t="s">
        <v>3633</v>
      </c>
      <c r="AL267" s="64" t="s">
        <v>3634</v>
      </c>
      <c r="AM267" s="64" t="s">
        <v>1078</v>
      </c>
      <c r="AN267" s="64" t="s">
        <v>3635</v>
      </c>
      <c r="AO267" s="64" t="s">
        <v>66</v>
      </c>
      <c r="AP267" s="64" t="s">
        <v>66</v>
      </c>
    </row>
    <row r="268" spans="1:43" ht="18.75">
      <c r="A268" s="139">
        <v>267</v>
      </c>
      <c r="B268" s="66" t="s">
        <v>3636</v>
      </c>
      <c r="C268" s="66" t="s">
        <v>3623</v>
      </c>
      <c r="D268" s="66"/>
      <c r="E268" s="66" t="s">
        <v>3623</v>
      </c>
      <c r="F268" s="66" t="s">
        <v>1065</v>
      </c>
      <c r="G268" s="66" t="s">
        <v>3624</v>
      </c>
      <c r="H268" s="66" t="s">
        <v>46</v>
      </c>
      <c r="I268" s="71">
        <v>5</v>
      </c>
      <c r="J26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18581</v>
      </c>
      <c r="K268" s="71" t="s">
        <v>2956</v>
      </c>
      <c r="L268" s="71" t="str">
        <f>IF(Table1[[#This Row],[LAST]]="","Unfilled","Filled")</f>
        <v>Filled</v>
      </c>
      <c r="M268" s="66" t="s">
        <v>3637</v>
      </c>
      <c r="N268" s="66" t="s">
        <v>3638</v>
      </c>
      <c r="O268" s="66" t="s">
        <v>3639</v>
      </c>
      <c r="P268" s="63"/>
      <c r="Q268" s="64">
        <v>28565</v>
      </c>
      <c r="R268" s="64">
        <v>42446</v>
      </c>
      <c r="S268" s="64">
        <v>44348</v>
      </c>
      <c r="T268" s="64">
        <v>44348</v>
      </c>
      <c r="U268" s="64" t="s">
        <v>51</v>
      </c>
      <c r="V268" s="64" t="s">
        <v>52</v>
      </c>
      <c r="W268" s="66">
        <f t="shared" ca="1" si="9"/>
        <v>48</v>
      </c>
      <c r="X26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8" s="64" t="s">
        <v>697</v>
      </c>
      <c r="Z268" s="64" t="s">
        <v>3640</v>
      </c>
      <c r="AA268" s="65" t="s">
        <v>3641</v>
      </c>
      <c r="AB268" s="64" t="s">
        <v>102</v>
      </c>
      <c r="AC268" s="64" t="s">
        <v>103</v>
      </c>
      <c r="AD268" s="65">
        <v>4107</v>
      </c>
      <c r="AE268" s="64" t="s">
        <v>3144</v>
      </c>
      <c r="AF268" s="64" t="s">
        <v>3642</v>
      </c>
      <c r="AG268" s="64" t="s">
        <v>66</v>
      </c>
      <c r="AH268" s="64" t="s">
        <v>66</v>
      </c>
      <c r="AI268" s="64" t="s">
        <v>66</v>
      </c>
      <c r="AJ268" s="65" t="s">
        <v>3643</v>
      </c>
      <c r="AK268" s="64" t="s">
        <v>3644</v>
      </c>
      <c r="AL268" s="64" t="s">
        <v>3645</v>
      </c>
      <c r="AM268" s="64" t="s">
        <v>3646</v>
      </c>
      <c r="AN268" s="64" t="s">
        <v>3647</v>
      </c>
      <c r="AO268" s="64" t="s">
        <v>3648</v>
      </c>
      <c r="AP268" s="64" t="s">
        <v>3649</v>
      </c>
    </row>
    <row r="269" spans="1:43" ht="18.75">
      <c r="A269" s="139">
        <v>268</v>
      </c>
      <c r="B269" s="66" t="s">
        <v>3650</v>
      </c>
      <c r="C269" s="66" t="s">
        <v>3623</v>
      </c>
      <c r="D269" s="66"/>
      <c r="E269" s="66" t="s">
        <v>3623</v>
      </c>
      <c r="F269" s="66" t="s">
        <v>1065</v>
      </c>
      <c r="G269" s="66" t="s">
        <v>3624</v>
      </c>
      <c r="H269" s="66" t="s">
        <v>46</v>
      </c>
      <c r="I269" s="71">
        <v>5</v>
      </c>
      <c r="J26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18581</v>
      </c>
      <c r="K269" s="71" t="s">
        <v>2956</v>
      </c>
      <c r="L269" s="71" t="str">
        <f>IF(Table1[[#This Row],[LAST]]="","Unfilled","Filled")</f>
        <v>Filled</v>
      </c>
      <c r="M269" s="63" t="s">
        <v>3651</v>
      </c>
      <c r="N269" s="63" t="s">
        <v>3652</v>
      </c>
      <c r="O269" s="63" t="s">
        <v>3653</v>
      </c>
      <c r="P269" s="63"/>
      <c r="Q269" s="64">
        <v>29466</v>
      </c>
      <c r="R269" s="64">
        <v>45124</v>
      </c>
      <c r="S269" s="64">
        <v>45124</v>
      </c>
      <c r="T269" s="64">
        <v>45124</v>
      </c>
      <c r="U269" s="64" t="s">
        <v>51</v>
      </c>
      <c r="V269" s="64" t="s">
        <v>77</v>
      </c>
      <c r="W269" s="66">
        <f t="shared" ca="1" si="9"/>
        <v>45</v>
      </c>
      <c r="X26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69" s="64" t="s">
        <v>2585</v>
      </c>
      <c r="Z269" s="64" t="s">
        <v>3654</v>
      </c>
      <c r="AA269" s="65" t="s">
        <v>1007</v>
      </c>
      <c r="AB269" s="64" t="s">
        <v>237</v>
      </c>
      <c r="AC269" s="64" t="s">
        <v>103</v>
      </c>
      <c r="AD269" s="65">
        <v>4107</v>
      </c>
      <c r="AE269" s="64" t="s">
        <v>2991</v>
      </c>
      <c r="AF269" s="64" t="s">
        <v>3655</v>
      </c>
      <c r="AG269" s="64" t="s">
        <v>66</v>
      </c>
      <c r="AH269" s="64" t="s">
        <v>66</v>
      </c>
      <c r="AI269" s="64" t="s">
        <v>66</v>
      </c>
      <c r="AJ269" s="65" t="s">
        <v>3656</v>
      </c>
      <c r="AK269" s="64" t="s">
        <v>3657</v>
      </c>
      <c r="AL269" s="64" t="s">
        <v>3658</v>
      </c>
      <c r="AM269" s="64" t="s">
        <v>3659</v>
      </c>
      <c r="AN269" s="64" t="s">
        <v>3660</v>
      </c>
      <c r="AO269" s="64" t="s">
        <v>66</v>
      </c>
      <c r="AP269" s="64" t="s">
        <v>3661</v>
      </c>
    </row>
    <row r="270" spans="1:43" ht="18.75">
      <c r="A270" s="139">
        <v>269</v>
      </c>
      <c r="B270" s="66" t="s">
        <v>3662</v>
      </c>
      <c r="C270" s="66" t="s">
        <v>3663</v>
      </c>
      <c r="D270" s="66"/>
      <c r="E270" s="66" t="s">
        <v>3663</v>
      </c>
      <c r="F270" s="66" t="s">
        <v>3664</v>
      </c>
      <c r="G270" s="66" t="s">
        <v>3293</v>
      </c>
      <c r="H270" s="66" t="s">
        <v>632</v>
      </c>
      <c r="I270" s="71">
        <v>4</v>
      </c>
      <c r="J27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0" s="71" t="s">
        <v>2956</v>
      </c>
      <c r="L270" s="71" t="str">
        <f>IF(Table1[[#This Row],[LAST]]="","Unfilled","Filled")</f>
        <v>Filled</v>
      </c>
      <c r="M270" s="66" t="s">
        <v>3665</v>
      </c>
      <c r="N270" s="66" t="s">
        <v>3666</v>
      </c>
      <c r="O270" s="66" t="s">
        <v>2042</v>
      </c>
      <c r="P270" s="63"/>
      <c r="Q270" s="64">
        <v>29124</v>
      </c>
      <c r="R270" s="64">
        <v>46031</v>
      </c>
      <c r="S270" s="64">
        <v>46031</v>
      </c>
      <c r="T270" s="64">
        <v>46031</v>
      </c>
      <c r="U270" s="64" t="s">
        <v>51</v>
      </c>
      <c r="V270" s="64" t="s">
        <v>52</v>
      </c>
      <c r="W270" s="66">
        <f t="shared" ca="1" si="9"/>
        <v>46</v>
      </c>
      <c r="X27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0" s="64" t="s">
        <v>377</v>
      </c>
      <c r="Z270" s="64" t="s">
        <v>3667</v>
      </c>
      <c r="AA270" s="65" t="s">
        <v>3668</v>
      </c>
      <c r="AB270" s="64" t="s">
        <v>102</v>
      </c>
      <c r="AC270" s="64" t="s">
        <v>103</v>
      </c>
      <c r="AD270" s="65" t="s">
        <v>1106</v>
      </c>
      <c r="AE270" s="64" t="s">
        <v>3427</v>
      </c>
      <c r="AF270" s="64" t="s">
        <v>66</v>
      </c>
      <c r="AG270" s="64" t="s">
        <v>3669</v>
      </c>
      <c r="AH270" s="64" t="s">
        <v>3670</v>
      </c>
      <c r="AI270" s="64">
        <v>48483</v>
      </c>
      <c r="AJ270" s="65" t="s">
        <v>66</v>
      </c>
      <c r="AK270" s="64" t="s">
        <v>3671</v>
      </c>
      <c r="AL270" s="64" t="s">
        <v>3672</v>
      </c>
      <c r="AM270" s="64" t="s">
        <v>3673</v>
      </c>
      <c r="AN270" s="64" t="s">
        <v>3674</v>
      </c>
      <c r="AO270" s="64" t="s">
        <v>66</v>
      </c>
      <c r="AP270" s="85" t="s">
        <v>3675</v>
      </c>
    </row>
    <row r="271" spans="1:43" ht="18.75">
      <c r="A271" s="139">
        <v>270</v>
      </c>
      <c r="B271" s="66" t="s">
        <v>3676</v>
      </c>
      <c r="C271" s="66" t="s">
        <v>3663</v>
      </c>
      <c r="D271" s="66"/>
      <c r="E271" s="66" t="s">
        <v>3663</v>
      </c>
      <c r="F271" s="66" t="s">
        <v>3664</v>
      </c>
      <c r="G271" s="66" t="s">
        <v>3293</v>
      </c>
      <c r="H271" s="66" t="s">
        <v>632</v>
      </c>
      <c r="I271" s="71">
        <v>4</v>
      </c>
      <c r="J27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1" s="71" t="s">
        <v>2956</v>
      </c>
      <c r="L271" s="71" t="str">
        <f>IF(Table1[[#This Row],[LAST]]="","Unfilled","Filled")</f>
        <v>Unfilled</v>
      </c>
      <c r="M271" s="140"/>
      <c r="N271" s="140"/>
      <c r="O271" s="140" t="s">
        <v>3677</v>
      </c>
      <c r="P271" s="63"/>
      <c r="Q271" s="64"/>
      <c r="R271" s="64"/>
      <c r="S271" s="64"/>
      <c r="T271" s="64"/>
      <c r="U271" s="64"/>
      <c r="V271" s="64"/>
      <c r="W271" s="66"/>
      <c r="X271" s="66" t="str">
        <f>IF(ABS(Table1[[#This Row],[AGE]])&gt;59,"60 and above",IF(ABS(Table1[[#This Row],[AGE]])&gt;49,"50-59",IF(ABS(Table1[[#This Row],[AGE]])&gt;39,"40-49",IF(ABS(Table1[[#This Row],[AGE]])&gt;29,"30-39",IF(ABS(Table1[[#This Row],[AGE]])&gt;19,"20-29","")))))</f>
        <v/>
      </c>
      <c r="Y271" s="64"/>
      <c r="Z271" s="64"/>
      <c r="AA271" s="65"/>
      <c r="AB271" s="64"/>
      <c r="AC271" s="64"/>
      <c r="AD271" s="65"/>
      <c r="AE271" s="64"/>
      <c r="AF271" s="64"/>
      <c r="AG271" s="64"/>
      <c r="AH271" s="64"/>
      <c r="AI271" s="64"/>
      <c r="AJ271" s="65"/>
      <c r="AK271" s="64"/>
      <c r="AL271" s="64"/>
      <c r="AM271" s="64"/>
      <c r="AN271" s="64"/>
      <c r="AO271" s="64"/>
      <c r="AP271" s="64"/>
    </row>
    <row r="272" spans="1:43" ht="18.75">
      <c r="A272" s="139">
        <v>271</v>
      </c>
      <c r="B272" s="66" t="s">
        <v>3678</v>
      </c>
      <c r="C272" s="66" t="s">
        <v>3679</v>
      </c>
      <c r="D272" s="66"/>
      <c r="E272" s="66" t="s">
        <v>3663</v>
      </c>
      <c r="F272" s="66" t="s">
        <v>3664</v>
      </c>
      <c r="G272" s="66" t="s">
        <v>3293</v>
      </c>
      <c r="H272" s="66" t="s">
        <v>632</v>
      </c>
      <c r="I272" s="71">
        <v>4</v>
      </c>
      <c r="J27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2" s="71" t="s">
        <v>2956</v>
      </c>
      <c r="L272" s="71" t="str">
        <f>IF(Table1[[#This Row],[LAST]]="","Unfilled","Filled")</f>
        <v>Filled</v>
      </c>
      <c r="M272" s="66" t="s">
        <v>403</v>
      </c>
      <c r="N272" s="66" t="s">
        <v>3680</v>
      </c>
      <c r="O272" s="66" t="s">
        <v>3681</v>
      </c>
      <c r="P272" s="63"/>
      <c r="Q272" s="64">
        <v>27089</v>
      </c>
      <c r="R272" s="64">
        <v>44638</v>
      </c>
      <c r="S272" s="64">
        <v>44638</v>
      </c>
      <c r="T272" s="64">
        <v>44638</v>
      </c>
      <c r="U272" s="64" t="s">
        <v>51</v>
      </c>
      <c r="V272" s="64" t="s">
        <v>52</v>
      </c>
      <c r="W272" s="66">
        <f t="shared" ref="W272:W308" ca="1" si="10">DATEDIF(Q272,TODAY(),"Y")</f>
        <v>52</v>
      </c>
      <c r="X27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72" s="64" t="s">
        <v>56</v>
      </c>
      <c r="Z272" s="64" t="s">
        <v>3682</v>
      </c>
      <c r="AA272" s="65" t="s">
        <v>3683</v>
      </c>
      <c r="AB272" s="64" t="s">
        <v>3684</v>
      </c>
      <c r="AC272" s="64" t="s">
        <v>3685</v>
      </c>
      <c r="AD272" s="65">
        <v>1900</v>
      </c>
      <c r="AE272" s="64" t="s">
        <v>3144</v>
      </c>
      <c r="AF272" s="64"/>
      <c r="AG272" s="64" t="s">
        <v>3669</v>
      </c>
      <c r="AH272" s="64" t="s">
        <v>3686</v>
      </c>
      <c r="AI272" s="64">
        <v>46447</v>
      </c>
      <c r="AJ272" s="65" t="s">
        <v>3687</v>
      </c>
      <c r="AK272" s="64"/>
      <c r="AL272" s="64" t="s">
        <v>3688</v>
      </c>
      <c r="AM272" s="64" t="s">
        <v>3689</v>
      </c>
      <c r="AN272" s="64" t="s">
        <v>3690</v>
      </c>
      <c r="AO272" s="64" t="s">
        <v>66</v>
      </c>
      <c r="AP272" s="64" t="s">
        <v>66</v>
      </c>
    </row>
    <row r="273" spans="1:43" ht="18.75">
      <c r="A273" s="139">
        <v>272</v>
      </c>
      <c r="B273" s="66" t="s">
        <v>3691</v>
      </c>
      <c r="C273" s="66" t="s">
        <v>3679</v>
      </c>
      <c r="D273" s="66"/>
      <c r="E273" s="66" t="s">
        <v>3663</v>
      </c>
      <c r="F273" s="66" t="s">
        <v>3664</v>
      </c>
      <c r="G273" s="66" t="s">
        <v>3293</v>
      </c>
      <c r="H273" s="66" t="s">
        <v>632</v>
      </c>
      <c r="I273" s="71">
        <v>4</v>
      </c>
      <c r="J27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3" s="71" t="s">
        <v>2956</v>
      </c>
      <c r="L273" s="71" t="str">
        <f>IF(Table1[[#This Row],[LAST]]="","Unfilled","Filled")</f>
        <v>Filled</v>
      </c>
      <c r="M273" s="66" t="s">
        <v>2842</v>
      </c>
      <c r="N273" s="66" t="s">
        <v>3692</v>
      </c>
      <c r="O273" s="66" t="s">
        <v>3693</v>
      </c>
      <c r="P273" s="63"/>
      <c r="Q273" s="64">
        <v>28365</v>
      </c>
      <c r="R273" s="64">
        <v>44487</v>
      </c>
      <c r="S273" s="64">
        <v>44487</v>
      </c>
      <c r="T273" s="64">
        <v>44487</v>
      </c>
      <c r="U273" s="64" t="s">
        <v>76</v>
      </c>
      <c r="V273" s="64" t="s">
        <v>52</v>
      </c>
      <c r="W273" s="66">
        <f t="shared" ca="1" si="10"/>
        <v>48</v>
      </c>
      <c r="X27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3" s="64" t="s">
        <v>2845</v>
      </c>
      <c r="Z273" s="64" t="s">
        <v>3694</v>
      </c>
      <c r="AA273" s="65" t="s">
        <v>1007</v>
      </c>
      <c r="AB273" s="64" t="s">
        <v>237</v>
      </c>
      <c r="AC273" s="64" t="s">
        <v>103</v>
      </c>
      <c r="AD273" s="65">
        <v>4103</v>
      </c>
      <c r="AE273" s="64" t="s">
        <v>2991</v>
      </c>
      <c r="AF273" s="64" t="s">
        <v>3695</v>
      </c>
      <c r="AG273" s="64" t="s">
        <v>3669</v>
      </c>
      <c r="AH273" s="64" t="s">
        <v>3696</v>
      </c>
      <c r="AI273" s="64">
        <v>46605</v>
      </c>
      <c r="AJ273" s="65" t="s">
        <v>3697</v>
      </c>
      <c r="AK273" s="64" t="s">
        <v>3698</v>
      </c>
      <c r="AL273" s="64" t="s">
        <v>3699</v>
      </c>
      <c r="AM273" s="64" t="s">
        <v>3700</v>
      </c>
      <c r="AN273" s="64" t="s">
        <v>3701</v>
      </c>
      <c r="AO273" s="64" t="s">
        <v>66</v>
      </c>
      <c r="AP273" s="64" t="s">
        <v>3702</v>
      </c>
    </row>
    <row r="274" spans="1:43" ht="18.75">
      <c r="A274" s="139">
        <v>273</v>
      </c>
      <c r="B274" s="66" t="s">
        <v>3703</v>
      </c>
      <c r="C274" s="66" t="s">
        <v>3679</v>
      </c>
      <c r="D274" s="66"/>
      <c r="E274" s="66" t="s">
        <v>3663</v>
      </c>
      <c r="F274" s="66" t="s">
        <v>3664</v>
      </c>
      <c r="G274" s="66" t="s">
        <v>3293</v>
      </c>
      <c r="H274" s="66" t="s">
        <v>632</v>
      </c>
      <c r="I274" s="71">
        <v>4</v>
      </c>
      <c r="J27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4" s="71" t="s">
        <v>2956</v>
      </c>
      <c r="L274" s="71" t="str">
        <f>IF(Table1[[#This Row],[LAST]]="","Unfilled","Filled")</f>
        <v>Filled</v>
      </c>
      <c r="M274" s="63" t="s">
        <v>403</v>
      </c>
      <c r="N274" s="63" t="s">
        <v>3704</v>
      </c>
      <c r="O274" s="63" t="s">
        <v>3705</v>
      </c>
      <c r="P274" s="63" t="s">
        <v>118</v>
      </c>
      <c r="Q274" s="64">
        <v>29309</v>
      </c>
      <c r="R274" s="64">
        <v>44718</v>
      </c>
      <c r="S274" s="64">
        <v>44718</v>
      </c>
      <c r="T274" s="64">
        <v>44718</v>
      </c>
      <c r="U274" s="64" t="s">
        <v>51</v>
      </c>
      <c r="V274" s="64" t="s">
        <v>52</v>
      </c>
      <c r="W274" s="66">
        <f t="shared" ca="1" si="10"/>
        <v>46</v>
      </c>
      <c r="X27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4" s="64" t="s">
        <v>3706</v>
      </c>
      <c r="Z274" s="65">
        <v>31</v>
      </c>
      <c r="AA274" s="65" t="s">
        <v>3707</v>
      </c>
      <c r="AB274" s="64" t="s">
        <v>3708</v>
      </c>
      <c r="AC274" s="64" t="s">
        <v>2902</v>
      </c>
      <c r="AD274" s="65">
        <v>4230</v>
      </c>
      <c r="AE274" s="64" t="s">
        <v>3144</v>
      </c>
      <c r="AF274" s="64" t="s">
        <v>3709</v>
      </c>
      <c r="AG274" s="64" t="s">
        <v>3669</v>
      </c>
      <c r="AH274" s="64" t="s">
        <v>3710</v>
      </c>
      <c r="AI274" s="64">
        <v>46475</v>
      </c>
      <c r="AJ274" s="65" t="s">
        <v>3711</v>
      </c>
      <c r="AK274" s="64" t="s">
        <v>3712</v>
      </c>
      <c r="AL274" s="64" t="s">
        <v>3713</v>
      </c>
      <c r="AM274" s="64" t="s">
        <v>3714</v>
      </c>
      <c r="AN274" s="64" t="s">
        <v>3715</v>
      </c>
      <c r="AO274" s="64" t="s">
        <v>66</v>
      </c>
      <c r="AP274" s="64" t="s">
        <v>66</v>
      </c>
    </row>
    <row r="275" spans="1:43" ht="18.75">
      <c r="A275" s="139">
        <v>274</v>
      </c>
      <c r="B275" s="66" t="s">
        <v>3716</v>
      </c>
      <c r="C275" s="66" t="s">
        <v>3679</v>
      </c>
      <c r="D275" s="66"/>
      <c r="E275" s="66" t="s">
        <v>3663</v>
      </c>
      <c r="F275" s="66" t="s">
        <v>3664</v>
      </c>
      <c r="G275" s="66" t="s">
        <v>3293</v>
      </c>
      <c r="H275" s="66" t="s">
        <v>632</v>
      </c>
      <c r="I275" s="71">
        <v>4</v>
      </c>
      <c r="J27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5" s="71" t="s">
        <v>2956</v>
      </c>
      <c r="L275" s="71" t="str">
        <f>IF(Table1[[#This Row],[LAST]]="","Unfilled","Filled")</f>
        <v>Filled</v>
      </c>
      <c r="M275" s="63" t="s">
        <v>3717</v>
      </c>
      <c r="N275" s="63" t="s">
        <v>3718</v>
      </c>
      <c r="O275" s="63" t="s">
        <v>3719</v>
      </c>
      <c r="P275" s="63"/>
      <c r="Q275" s="64">
        <v>24636</v>
      </c>
      <c r="R275" s="64">
        <v>45152</v>
      </c>
      <c r="S275" s="64">
        <v>45152</v>
      </c>
      <c r="T275" s="64">
        <v>45152</v>
      </c>
      <c r="U275" s="64" t="s">
        <v>51</v>
      </c>
      <c r="V275" s="64" t="s">
        <v>52</v>
      </c>
      <c r="W275" s="66">
        <f t="shared" ca="1" si="10"/>
        <v>59</v>
      </c>
      <c r="X27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75" s="64" t="s">
        <v>3720</v>
      </c>
      <c r="Z275" s="64" t="s">
        <v>3721</v>
      </c>
      <c r="AA275" s="65" t="s">
        <v>3722</v>
      </c>
      <c r="AB275" s="64" t="s">
        <v>3723</v>
      </c>
      <c r="AC275" s="64" t="s">
        <v>57</v>
      </c>
      <c r="AD275" s="65">
        <v>1805</v>
      </c>
      <c r="AE275" s="64" t="s">
        <v>2991</v>
      </c>
      <c r="AF275" s="64" t="s">
        <v>3724</v>
      </c>
      <c r="AG275" s="64" t="s">
        <v>3669</v>
      </c>
      <c r="AH275" s="64" t="s">
        <v>3725</v>
      </c>
      <c r="AI275" s="64">
        <v>46551</v>
      </c>
      <c r="AJ275" s="65" t="s">
        <v>3726</v>
      </c>
      <c r="AK275" s="64" t="s">
        <v>3727</v>
      </c>
      <c r="AL275" s="64" t="s">
        <v>3728</v>
      </c>
      <c r="AM275" s="64" t="s">
        <v>3729</v>
      </c>
      <c r="AN275" s="64" t="s">
        <v>3730</v>
      </c>
      <c r="AO275" s="64" t="s">
        <v>66</v>
      </c>
      <c r="AP275" s="85" t="s">
        <v>3731</v>
      </c>
    </row>
    <row r="276" spans="1:43" ht="18.75">
      <c r="A276" s="139">
        <v>275</v>
      </c>
      <c r="B276" s="66" t="s">
        <v>3732</v>
      </c>
      <c r="C276" s="66" t="s">
        <v>3733</v>
      </c>
      <c r="D276" s="66"/>
      <c r="E276" s="66" t="s">
        <v>3733</v>
      </c>
      <c r="F276" s="66" t="s">
        <v>968</v>
      </c>
      <c r="G276" s="66" t="s">
        <v>3733</v>
      </c>
      <c r="H276" s="66" t="s">
        <v>46</v>
      </c>
      <c r="I276" s="71">
        <v>4</v>
      </c>
      <c r="J27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6" s="71" t="s">
        <v>2956</v>
      </c>
      <c r="L276" s="71" t="str">
        <f>IF(Table1[[#This Row],[LAST]]="","Unfilled","Filled")</f>
        <v>Filled</v>
      </c>
      <c r="M276" s="63" t="s">
        <v>1196</v>
      </c>
      <c r="N276" s="63" t="s">
        <v>3734</v>
      </c>
      <c r="O276" s="63" t="s">
        <v>1198</v>
      </c>
      <c r="P276" s="63"/>
      <c r="Q276" s="64">
        <v>27072</v>
      </c>
      <c r="R276" s="64">
        <v>45019</v>
      </c>
      <c r="S276" s="64">
        <v>45019</v>
      </c>
      <c r="T276" s="64">
        <v>45019</v>
      </c>
      <c r="U276" s="64" t="s">
        <v>76</v>
      </c>
      <c r="V276" s="64" t="s">
        <v>77</v>
      </c>
      <c r="W276" s="66">
        <f t="shared" ca="1" si="10"/>
        <v>52</v>
      </c>
      <c r="X27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76" s="64" t="s">
        <v>56</v>
      </c>
      <c r="Z276" s="64" t="s">
        <v>3735</v>
      </c>
      <c r="AA276" s="65" t="s">
        <v>1634</v>
      </c>
      <c r="AB276" s="64" t="s">
        <v>190</v>
      </c>
      <c r="AC276" s="64" t="s">
        <v>103</v>
      </c>
      <c r="AD276" s="65">
        <v>4102</v>
      </c>
      <c r="AE276" s="64" t="s">
        <v>3144</v>
      </c>
      <c r="AF276" s="64" t="s">
        <v>3736</v>
      </c>
      <c r="AG276" s="64" t="s">
        <v>66</v>
      </c>
      <c r="AH276" s="64" t="s">
        <v>66</v>
      </c>
      <c r="AI276" s="64" t="s">
        <v>66</v>
      </c>
      <c r="AJ276" s="65" t="s">
        <v>3737</v>
      </c>
      <c r="AK276" s="64" t="s">
        <v>3738</v>
      </c>
      <c r="AL276" s="64" t="s">
        <v>3739</v>
      </c>
      <c r="AM276" s="64" t="s">
        <v>3740</v>
      </c>
      <c r="AN276" s="64" t="s">
        <v>3741</v>
      </c>
      <c r="AO276" s="64" t="s">
        <v>66</v>
      </c>
      <c r="AP276" s="64" t="s">
        <v>3742</v>
      </c>
    </row>
    <row r="277" spans="1:43" ht="18.75">
      <c r="A277" s="139">
        <v>276</v>
      </c>
      <c r="B277" s="66" t="s">
        <v>3743</v>
      </c>
      <c r="C277" s="66" t="s">
        <v>3744</v>
      </c>
      <c r="D277" s="66"/>
      <c r="E277" s="66" t="s">
        <v>3744</v>
      </c>
      <c r="F277" s="66" t="s">
        <v>165</v>
      </c>
      <c r="G277" s="66" t="s">
        <v>3745</v>
      </c>
      <c r="H277" s="66" t="s">
        <v>46</v>
      </c>
      <c r="I277" s="71">
        <v>4</v>
      </c>
      <c r="J27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7" s="71" t="s">
        <v>2956</v>
      </c>
      <c r="L277" s="71" t="str">
        <f>IF(Table1[[#This Row],[LAST]]="","Unfilled","Filled")</f>
        <v>Filled</v>
      </c>
      <c r="M277" s="66" t="s">
        <v>3746</v>
      </c>
      <c r="N277" s="66" t="s">
        <v>3747</v>
      </c>
      <c r="O277" s="66" t="s">
        <v>3748</v>
      </c>
      <c r="P277" s="63" t="s">
        <v>118</v>
      </c>
      <c r="Q277" s="64">
        <v>35425</v>
      </c>
      <c r="R277" s="64">
        <v>44326</v>
      </c>
      <c r="S277" s="64">
        <v>44326</v>
      </c>
      <c r="T277" s="64">
        <v>44326</v>
      </c>
      <c r="U277" s="64" t="s">
        <v>51</v>
      </c>
      <c r="V277" s="64" t="s">
        <v>52</v>
      </c>
      <c r="W277" s="66">
        <f t="shared" ca="1" si="10"/>
        <v>29</v>
      </c>
      <c r="X27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77" s="64" t="s">
        <v>154</v>
      </c>
      <c r="Z277" s="64" t="s">
        <v>3749</v>
      </c>
      <c r="AA277" s="65" t="s">
        <v>2271</v>
      </c>
      <c r="AB277" s="64" t="s">
        <v>138</v>
      </c>
      <c r="AC277" s="64" t="s">
        <v>103</v>
      </c>
      <c r="AD277" s="65">
        <v>1441</v>
      </c>
      <c r="AE277" s="64" t="s">
        <v>2991</v>
      </c>
      <c r="AF277" s="64" t="s">
        <v>3750</v>
      </c>
      <c r="AG277" s="64" t="s">
        <v>66</v>
      </c>
      <c r="AH277" s="64" t="s">
        <v>66</v>
      </c>
      <c r="AI277" s="64" t="s">
        <v>66</v>
      </c>
      <c r="AJ277" s="65" t="s">
        <v>3751</v>
      </c>
      <c r="AK277" s="64" t="s">
        <v>3752</v>
      </c>
      <c r="AL277" s="64" t="s">
        <v>3753</v>
      </c>
      <c r="AM277" s="64" t="s">
        <v>3754</v>
      </c>
      <c r="AN277" s="64" t="s">
        <v>3755</v>
      </c>
      <c r="AO277" s="64" t="s">
        <v>66</v>
      </c>
      <c r="AP277" s="64" t="s">
        <v>3756</v>
      </c>
    </row>
    <row r="278" spans="1:43" ht="18.75">
      <c r="A278" s="139">
        <v>277</v>
      </c>
      <c r="B278" s="66" t="s">
        <v>3757</v>
      </c>
      <c r="C278" s="66" t="s">
        <v>3744</v>
      </c>
      <c r="D278" s="66"/>
      <c r="E278" s="66" t="s">
        <v>3744</v>
      </c>
      <c r="F278" s="66" t="s">
        <v>1001</v>
      </c>
      <c r="G278" s="66" t="s">
        <v>3745</v>
      </c>
      <c r="H278" s="66" t="s">
        <v>46</v>
      </c>
      <c r="I278" s="71">
        <v>4</v>
      </c>
      <c r="J27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8" s="71" t="s">
        <v>2956</v>
      </c>
      <c r="L278" s="71" t="str">
        <f>IF(Table1[[#This Row],[LAST]]="","Unfilled","Filled")</f>
        <v>Filled</v>
      </c>
      <c r="M278" s="63" t="s">
        <v>3758</v>
      </c>
      <c r="N278" s="63" t="s">
        <v>3759</v>
      </c>
      <c r="O278" s="63" t="s">
        <v>3760</v>
      </c>
      <c r="P278" s="63"/>
      <c r="Q278" s="64">
        <v>33081</v>
      </c>
      <c r="R278" s="64">
        <v>45149</v>
      </c>
      <c r="S278" s="64">
        <v>45148</v>
      </c>
      <c r="T278" s="64">
        <v>45148</v>
      </c>
      <c r="U278" s="64" t="s">
        <v>76</v>
      </c>
      <c r="V278" s="64" t="s">
        <v>77</v>
      </c>
      <c r="W278" s="66">
        <f t="shared" ca="1" si="10"/>
        <v>36</v>
      </c>
      <c r="X27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78" s="64" t="s">
        <v>154</v>
      </c>
      <c r="Z278" s="64" t="s">
        <v>3761</v>
      </c>
      <c r="AA278" s="65" t="s">
        <v>3762</v>
      </c>
      <c r="AB278" s="64" t="s">
        <v>102</v>
      </c>
      <c r="AC278" s="64" t="s">
        <v>103</v>
      </c>
      <c r="AD278" s="65">
        <v>4103</v>
      </c>
      <c r="AE278" s="64" t="s">
        <v>619</v>
      </c>
      <c r="AF278" s="64" t="s">
        <v>3763</v>
      </c>
      <c r="AG278" s="64" t="s">
        <v>66</v>
      </c>
      <c r="AH278" s="64" t="s">
        <v>66</v>
      </c>
      <c r="AI278" s="64" t="s">
        <v>66</v>
      </c>
      <c r="AJ278" s="65">
        <v>2005158562</v>
      </c>
      <c r="AK278" s="64" t="s">
        <v>3764</v>
      </c>
      <c r="AL278" s="64" t="s">
        <v>3765</v>
      </c>
      <c r="AM278" s="64" t="s">
        <v>3766</v>
      </c>
      <c r="AN278" s="64" t="s">
        <v>3767</v>
      </c>
      <c r="AO278" s="64" t="s">
        <v>66</v>
      </c>
      <c r="AP278" s="64" t="s">
        <v>3768</v>
      </c>
    </row>
    <row r="279" spans="1:43" ht="18.75">
      <c r="A279" s="139">
        <v>278</v>
      </c>
      <c r="B279" s="66" t="s">
        <v>3769</v>
      </c>
      <c r="C279" s="66" t="s">
        <v>3744</v>
      </c>
      <c r="D279" s="66"/>
      <c r="E279" s="66" t="s">
        <v>3744</v>
      </c>
      <c r="F279" s="66" t="s">
        <v>165</v>
      </c>
      <c r="G279" s="66" t="s">
        <v>3745</v>
      </c>
      <c r="H279" s="66" t="s">
        <v>46</v>
      </c>
      <c r="I279" s="71">
        <v>4</v>
      </c>
      <c r="J27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79" s="71" t="s">
        <v>2956</v>
      </c>
      <c r="L279" s="71" t="str">
        <f>IF(Table1[[#This Row],[LAST]]="","Unfilled","Filled")</f>
        <v>Filled</v>
      </c>
      <c r="M279" s="66" t="s">
        <v>3770</v>
      </c>
      <c r="N279" s="66" t="s">
        <v>3771</v>
      </c>
      <c r="O279" s="66" t="s">
        <v>3772</v>
      </c>
      <c r="P279" s="63"/>
      <c r="Q279" s="64">
        <v>30106</v>
      </c>
      <c r="R279" s="64">
        <v>44317</v>
      </c>
      <c r="S279" s="64">
        <v>44317</v>
      </c>
      <c r="T279" s="64">
        <v>44317</v>
      </c>
      <c r="U279" s="64" t="s">
        <v>51</v>
      </c>
      <c r="V279" s="64" t="s">
        <v>52</v>
      </c>
      <c r="W279" s="66">
        <f t="shared" ca="1" si="10"/>
        <v>44</v>
      </c>
      <c r="X27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79" s="64" t="s">
        <v>3773</v>
      </c>
      <c r="Z279" s="64" t="s">
        <v>3774</v>
      </c>
      <c r="AA279" s="65" t="s">
        <v>2766</v>
      </c>
      <c r="AB279" s="64" t="s">
        <v>190</v>
      </c>
      <c r="AC279" s="64" t="s">
        <v>103</v>
      </c>
      <c r="AD279" s="65">
        <v>4102</v>
      </c>
      <c r="AE279" s="64" t="s">
        <v>3427</v>
      </c>
      <c r="AF279" s="64" t="s">
        <v>66</v>
      </c>
      <c r="AG279" s="64" t="s">
        <v>66</v>
      </c>
      <c r="AH279" s="64" t="s">
        <v>66</v>
      </c>
      <c r="AI279" s="64" t="s">
        <v>66</v>
      </c>
      <c r="AJ279" s="65" t="s">
        <v>3775</v>
      </c>
      <c r="AK279" s="64" t="s">
        <v>3776</v>
      </c>
      <c r="AL279" s="64" t="s">
        <v>3777</v>
      </c>
      <c r="AM279" s="64" t="s">
        <v>3778</v>
      </c>
      <c r="AN279" s="64" t="s">
        <v>3779</v>
      </c>
      <c r="AO279" s="64" t="s">
        <v>66</v>
      </c>
      <c r="AP279" s="64" t="s">
        <v>3780</v>
      </c>
    </row>
    <row r="280" spans="1:43" ht="18.75">
      <c r="A280" s="139">
        <v>279</v>
      </c>
      <c r="B280" s="66" t="s">
        <v>3781</v>
      </c>
      <c r="C280" s="66" t="s">
        <v>3744</v>
      </c>
      <c r="D280" s="66"/>
      <c r="E280" s="66" t="s">
        <v>3744</v>
      </c>
      <c r="F280" s="66" t="s">
        <v>165</v>
      </c>
      <c r="G280" s="66" t="s">
        <v>3745</v>
      </c>
      <c r="H280" s="66" t="s">
        <v>46</v>
      </c>
      <c r="I280" s="71">
        <v>4</v>
      </c>
      <c r="J28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0" s="71" t="s">
        <v>2956</v>
      </c>
      <c r="L280" s="71" t="str">
        <f>IF(Table1[[#This Row],[LAST]]="","Unfilled","Filled")</f>
        <v>Filled</v>
      </c>
      <c r="M280" s="63" t="s">
        <v>3782</v>
      </c>
      <c r="N280" s="63" t="s">
        <v>3783</v>
      </c>
      <c r="O280" s="63" t="s">
        <v>3784</v>
      </c>
      <c r="P280" s="63"/>
      <c r="Q280" s="64">
        <v>33182</v>
      </c>
      <c r="R280" s="64">
        <v>45152</v>
      </c>
      <c r="S280" s="64">
        <v>45152</v>
      </c>
      <c r="T280" s="64">
        <v>45152</v>
      </c>
      <c r="U280" s="64" t="s">
        <v>76</v>
      </c>
      <c r="V280" s="64" t="s">
        <v>52</v>
      </c>
      <c r="W280" s="66">
        <f t="shared" ca="1" si="10"/>
        <v>35</v>
      </c>
      <c r="X28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0" s="64" t="s">
        <v>1557</v>
      </c>
      <c r="Z280" s="64" t="s">
        <v>3785</v>
      </c>
      <c r="AA280" s="65" t="s">
        <v>2017</v>
      </c>
      <c r="AB280" s="64" t="s">
        <v>138</v>
      </c>
      <c r="AC280" s="64" t="s">
        <v>103</v>
      </c>
      <c r="AD280" s="65">
        <v>4114</v>
      </c>
      <c r="AE280" s="64" t="s">
        <v>3427</v>
      </c>
      <c r="AF280" s="64" t="s">
        <v>66</v>
      </c>
      <c r="AG280" s="64" t="s">
        <v>66</v>
      </c>
      <c r="AH280" s="64" t="s">
        <v>66</v>
      </c>
      <c r="AI280" s="64" t="s">
        <v>66</v>
      </c>
      <c r="AJ280" s="65" t="s">
        <v>3786</v>
      </c>
      <c r="AK280" s="64" t="s">
        <v>3787</v>
      </c>
      <c r="AL280" s="64" t="s">
        <v>3788</v>
      </c>
      <c r="AM280" s="64" t="s">
        <v>3789</v>
      </c>
      <c r="AN280" s="64" t="s">
        <v>3790</v>
      </c>
      <c r="AO280" s="64" t="s">
        <v>66</v>
      </c>
      <c r="AP280" s="64" t="s">
        <v>3791</v>
      </c>
    </row>
    <row r="281" spans="1:43" ht="18.75">
      <c r="A281" s="139">
        <v>280</v>
      </c>
      <c r="B281" s="66" t="s">
        <v>3792</v>
      </c>
      <c r="C281" s="66" t="s">
        <v>3744</v>
      </c>
      <c r="D281" s="66"/>
      <c r="E281" s="66" t="s">
        <v>3744</v>
      </c>
      <c r="F281" s="66" t="s">
        <v>165</v>
      </c>
      <c r="G281" s="66" t="s">
        <v>3745</v>
      </c>
      <c r="H281" s="66" t="s">
        <v>46</v>
      </c>
      <c r="I281" s="71">
        <v>4</v>
      </c>
      <c r="J28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1" s="71" t="s">
        <v>2956</v>
      </c>
      <c r="L281" s="71" t="str">
        <f>IF(Table1[[#This Row],[LAST]]="","Unfilled","Filled")</f>
        <v>Filled</v>
      </c>
      <c r="M281" s="66" t="s">
        <v>3793</v>
      </c>
      <c r="N281" s="66" t="s">
        <v>3794</v>
      </c>
      <c r="O281" s="66" t="s">
        <v>3795</v>
      </c>
      <c r="P281" s="63"/>
      <c r="Q281" s="64">
        <v>27105</v>
      </c>
      <c r="R281" s="64">
        <v>45537</v>
      </c>
      <c r="S281" s="64">
        <v>45537</v>
      </c>
      <c r="T281" s="64">
        <v>45537</v>
      </c>
      <c r="U281" s="64" t="s">
        <v>51</v>
      </c>
      <c r="V281" s="64" t="s">
        <v>77</v>
      </c>
      <c r="W281" s="66">
        <f t="shared" ca="1" si="10"/>
        <v>52</v>
      </c>
      <c r="X28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281" s="64" t="s">
        <v>1465</v>
      </c>
      <c r="Z281" s="64" t="s">
        <v>3796</v>
      </c>
      <c r="AA281" s="65" t="s">
        <v>3797</v>
      </c>
      <c r="AB281" s="64" t="s">
        <v>190</v>
      </c>
      <c r="AC281" s="64" t="s">
        <v>103</v>
      </c>
      <c r="AD281" s="65" t="s">
        <v>656</v>
      </c>
      <c r="AE281" s="64" t="s">
        <v>2991</v>
      </c>
      <c r="AF281" s="64" t="s">
        <v>2992</v>
      </c>
      <c r="AG281" s="64" t="s">
        <v>60</v>
      </c>
      <c r="AH281" s="156" t="s">
        <v>3798</v>
      </c>
      <c r="AI281" s="64">
        <v>45733</v>
      </c>
      <c r="AJ281" s="65" t="s">
        <v>3799</v>
      </c>
      <c r="AK281" s="64" t="s">
        <v>3800</v>
      </c>
      <c r="AL281" s="64" t="s">
        <v>3801</v>
      </c>
      <c r="AM281" s="64" t="s">
        <v>3802</v>
      </c>
      <c r="AN281" s="64" t="s">
        <v>3803</v>
      </c>
      <c r="AO281" s="64" t="s">
        <v>3804</v>
      </c>
      <c r="AP281" s="85" t="s">
        <v>3805</v>
      </c>
    </row>
    <row r="282" spans="1:43" ht="18.75">
      <c r="A282" s="139">
        <v>281</v>
      </c>
      <c r="B282" s="66" t="s">
        <v>3806</v>
      </c>
      <c r="C282" s="66" t="s">
        <v>3807</v>
      </c>
      <c r="D282" s="66"/>
      <c r="E282" s="66" t="s">
        <v>3807</v>
      </c>
      <c r="F282" s="66" t="s">
        <v>1138</v>
      </c>
      <c r="G282" s="66" t="s">
        <v>3421</v>
      </c>
      <c r="H282" s="66" t="s">
        <v>612</v>
      </c>
      <c r="I282" s="71">
        <v>4</v>
      </c>
      <c r="J28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2" s="71" t="s">
        <v>2956</v>
      </c>
      <c r="L282" s="71" t="str">
        <f>IF(Table1[[#This Row],[LAST]]="","Unfilled","Filled")</f>
        <v>Filled</v>
      </c>
      <c r="M282" s="63" t="s">
        <v>3446</v>
      </c>
      <c r="N282" s="63" t="s">
        <v>3808</v>
      </c>
      <c r="O282" s="66" t="s">
        <v>3809</v>
      </c>
      <c r="P282" s="63"/>
      <c r="Q282" s="64">
        <v>31598</v>
      </c>
      <c r="R282" s="64">
        <v>45383</v>
      </c>
      <c r="S282" s="64">
        <v>45383</v>
      </c>
      <c r="T282" s="64">
        <v>45383</v>
      </c>
      <c r="U282" s="64" t="s">
        <v>76</v>
      </c>
      <c r="V282" s="64" t="s">
        <v>77</v>
      </c>
      <c r="W282" s="66">
        <f t="shared" ca="1" si="10"/>
        <v>40</v>
      </c>
      <c r="X28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2" s="64" t="s">
        <v>1557</v>
      </c>
      <c r="Z282" s="64" t="s">
        <v>3810</v>
      </c>
      <c r="AA282" s="65" t="s">
        <v>2271</v>
      </c>
      <c r="AB282" s="64" t="s">
        <v>138</v>
      </c>
      <c r="AC282" s="64" t="s">
        <v>103</v>
      </c>
      <c r="AD282" s="65" t="s">
        <v>1752</v>
      </c>
      <c r="AE282" s="64" t="s">
        <v>619</v>
      </c>
      <c r="AF282" s="64" t="s">
        <v>620</v>
      </c>
      <c r="AG282" s="64" t="s">
        <v>66</v>
      </c>
      <c r="AH282" s="64" t="s">
        <v>66</v>
      </c>
      <c r="AI282" s="64" t="s">
        <v>66</v>
      </c>
      <c r="AJ282" s="65" t="s">
        <v>3811</v>
      </c>
      <c r="AK282" s="64" t="s">
        <v>3812</v>
      </c>
      <c r="AL282" s="64" t="s">
        <v>3813</v>
      </c>
      <c r="AM282" s="64" t="s">
        <v>3814</v>
      </c>
      <c r="AN282" s="64" t="s">
        <v>3815</v>
      </c>
      <c r="AO282" s="64" t="s">
        <v>66</v>
      </c>
      <c r="AP282" s="85" t="s">
        <v>3816</v>
      </c>
    </row>
    <row r="283" spans="1:43" ht="18.75">
      <c r="A283" s="139">
        <v>282</v>
      </c>
      <c r="B283" s="66" t="s">
        <v>3817</v>
      </c>
      <c r="C283" s="66" t="s">
        <v>3807</v>
      </c>
      <c r="D283" s="66"/>
      <c r="E283" s="66" t="s">
        <v>3807</v>
      </c>
      <c r="F283" s="66" t="s">
        <v>1138</v>
      </c>
      <c r="G283" s="66" t="s">
        <v>3421</v>
      </c>
      <c r="H283" s="66" t="s">
        <v>612</v>
      </c>
      <c r="I283" s="71">
        <v>4</v>
      </c>
      <c r="J28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3" s="71" t="s">
        <v>2956</v>
      </c>
      <c r="L283" s="71" t="str">
        <f>IF(Table1[[#This Row],[LAST]]="","Unfilled","Filled")</f>
        <v>Filled</v>
      </c>
      <c r="M283" s="63" t="s">
        <v>3818</v>
      </c>
      <c r="N283" s="63" t="s">
        <v>3819</v>
      </c>
      <c r="O283" s="66" t="s">
        <v>3820</v>
      </c>
      <c r="P283" s="63"/>
      <c r="Q283" s="64">
        <v>30699</v>
      </c>
      <c r="R283" s="64">
        <v>45383</v>
      </c>
      <c r="S283" s="64">
        <v>45383</v>
      </c>
      <c r="T283" s="64">
        <v>45383</v>
      </c>
      <c r="U283" s="64" t="s">
        <v>76</v>
      </c>
      <c r="V283" s="64" t="s">
        <v>77</v>
      </c>
      <c r="W283" s="66">
        <f t="shared" ca="1" si="10"/>
        <v>42</v>
      </c>
      <c r="X28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3" s="64" t="s">
        <v>121</v>
      </c>
      <c r="Z283" s="64" t="s">
        <v>3821</v>
      </c>
      <c r="AA283" s="65" t="s">
        <v>3822</v>
      </c>
      <c r="AB283" s="64" t="s">
        <v>121</v>
      </c>
      <c r="AC283" s="64" t="s">
        <v>103</v>
      </c>
      <c r="AD283" s="65" t="s">
        <v>3823</v>
      </c>
      <c r="AE283" s="64" t="s">
        <v>619</v>
      </c>
      <c r="AF283" s="64" t="s">
        <v>620</v>
      </c>
      <c r="AG283" s="64" t="s">
        <v>66</v>
      </c>
      <c r="AH283" s="64" t="s">
        <v>66</v>
      </c>
      <c r="AI283" s="64" t="s">
        <v>66</v>
      </c>
      <c r="AJ283" s="65" t="s">
        <v>3824</v>
      </c>
      <c r="AK283" s="64" t="s">
        <v>3825</v>
      </c>
      <c r="AL283" s="64" t="s">
        <v>3826</v>
      </c>
      <c r="AM283" s="64" t="s">
        <v>3827</v>
      </c>
      <c r="AN283" s="64" t="s">
        <v>3828</v>
      </c>
      <c r="AO283" s="64" t="s">
        <v>3829</v>
      </c>
      <c r="AP283" s="85" t="s">
        <v>3830</v>
      </c>
    </row>
    <row r="284" spans="1:43" ht="18.75">
      <c r="A284" s="139">
        <v>283</v>
      </c>
      <c r="B284" s="66" t="s">
        <v>3831</v>
      </c>
      <c r="C284" s="66" t="s">
        <v>3807</v>
      </c>
      <c r="D284" s="66"/>
      <c r="E284" s="66" t="s">
        <v>3807</v>
      </c>
      <c r="F284" s="66" t="s">
        <v>1138</v>
      </c>
      <c r="G284" s="66" t="s">
        <v>3421</v>
      </c>
      <c r="H284" s="66" t="s">
        <v>612</v>
      </c>
      <c r="I284" s="71">
        <v>4</v>
      </c>
      <c r="J28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4" s="71" t="s">
        <v>2956</v>
      </c>
      <c r="L284" s="71" t="str">
        <f>IF(Table1[[#This Row],[LAST]]="","Unfilled","Filled")</f>
        <v>Filled</v>
      </c>
      <c r="M284" s="63" t="s">
        <v>3832</v>
      </c>
      <c r="N284" s="63" t="s">
        <v>3833</v>
      </c>
      <c r="O284" s="66" t="s">
        <v>726</v>
      </c>
      <c r="P284" s="63"/>
      <c r="Q284" s="64">
        <v>34391</v>
      </c>
      <c r="R284" s="64">
        <v>45383</v>
      </c>
      <c r="S284" s="64">
        <v>45383</v>
      </c>
      <c r="T284" s="64">
        <v>45383</v>
      </c>
      <c r="U284" s="64" t="s">
        <v>76</v>
      </c>
      <c r="V284" s="64" t="s">
        <v>77</v>
      </c>
      <c r="W284" s="66">
        <f t="shared" ca="1" si="10"/>
        <v>32</v>
      </c>
      <c r="X28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4" s="64" t="s">
        <v>3834</v>
      </c>
      <c r="Z284" s="64" t="s">
        <v>3835</v>
      </c>
      <c r="AA284" s="65" t="s">
        <v>2271</v>
      </c>
      <c r="AB284" s="64" t="s">
        <v>138</v>
      </c>
      <c r="AC284" s="64" t="s">
        <v>103</v>
      </c>
      <c r="AD284" s="65" t="s">
        <v>1752</v>
      </c>
      <c r="AE284" s="64" t="s">
        <v>619</v>
      </c>
      <c r="AF284" s="64" t="s">
        <v>3836</v>
      </c>
      <c r="AG284" s="64" t="s">
        <v>66</v>
      </c>
      <c r="AH284" s="64" t="s">
        <v>66</v>
      </c>
      <c r="AI284" s="64" t="s">
        <v>66</v>
      </c>
      <c r="AJ284" s="65" t="s">
        <v>3837</v>
      </c>
      <c r="AK284" s="64" t="s">
        <v>3838</v>
      </c>
      <c r="AL284" s="64" t="s">
        <v>3839</v>
      </c>
      <c r="AM284" s="64" t="s">
        <v>3840</v>
      </c>
      <c r="AN284" s="64" t="s">
        <v>3841</v>
      </c>
      <c r="AO284" s="64" t="s">
        <v>66</v>
      </c>
      <c r="AP284" s="85" t="s">
        <v>3842</v>
      </c>
    </row>
    <row r="285" spans="1:43" ht="18.75">
      <c r="A285" s="139">
        <v>284</v>
      </c>
      <c r="B285" s="66" t="s">
        <v>3843</v>
      </c>
      <c r="C285" s="66" t="s">
        <v>3807</v>
      </c>
      <c r="D285" s="66"/>
      <c r="E285" s="66" t="s">
        <v>3807</v>
      </c>
      <c r="F285" s="66" t="s">
        <v>1138</v>
      </c>
      <c r="G285" s="66" t="s">
        <v>3421</v>
      </c>
      <c r="H285" s="66" t="s">
        <v>612</v>
      </c>
      <c r="I285" s="71">
        <v>4</v>
      </c>
      <c r="J28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5" s="71" t="s">
        <v>2956</v>
      </c>
      <c r="L285" s="71" t="str">
        <f>IF(Table1[[#This Row],[LAST]]="","Unfilled","Filled")</f>
        <v>Filled</v>
      </c>
      <c r="M285" s="66" t="s">
        <v>2654</v>
      </c>
      <c r="N285" s="66" t="s">
        <v>3844</v>
      </c>
      <c r="O285" s="66" t="s">
        <v>1490</v>
      </c>
      <c r="P285" s="63"/>
      <c r="Q285" s="64">
        <v>28657</v>
      </c>
      <c r="R285" s="64">
        <v>45127</v>
      </c>
      <c r="S285" s="64">
        <v>45127</v>
      </c>
      <c r="T285" s="64">
        <v>45127</v>
      </c>
      <c r="U285" s="64" t="s">
        <v>51</v>
      </c>
      <c r="V285" s="64" t="s">
        <v>77</v>
      </c>
      <c r="W285" s="66">
        <f t="shared" ca="1" si="10"/>
        <v>48</v>
      </c>
      <c r="X28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5" s="64" t="s">
        <v>1557</v>
      </c>
      <c r="Z285" s="64" t="s">
        <v>3845</v>
      </c>
      <c r="AA285" s="65" t="s">
        <v>728</v>
      </c>
      <c r="AB285" s="64" t="s">
        <v>190</v>
      </c>
      <c r="AC285" s="64" t="s">
        <v>103</v>
      </c>
      <c r="AD285" s="65">
        <v>4102</v>
      </c>
      <c r="AE285" s="64" t="s">
        <v>3427</v>
      </c>
      <c r="AF285" s="64" t="s">
        <v>66</v>
      </c>
      <c r="AG285" s="64" t="s">
        <v>66</v>
      </c>
      <c r="AH285" s="64" t="s">
        <v>66</v>
      </c>
      <c r="AI285" s="64" t="s">
        <v>66</v>
      </c>
      <c r="AJ285" s="65" t="s">
        <v>3846</v>
      </c>
      <c r="AK285" s="64" t="s">
        <v>3847</v>
      </c>
      <c r="AL285" s="64" t="s">
        <v>3848</v>
      </c>
      <c r="AM285" s="64" t="s">
        <v>3849</v>
      </c>
      <c r="AN285" s="64" t="s">
        <v>3850</v>
      </c>
      <c r="AO285" s="64" t="s">
        <v>66</v>
      </c>
      <c r="AP285" s="64" t="s">
        <v>3851</v>
      </c>
    </row>
    <row r="286" spans="1:43" ht="18.75">
      <c r="A286" s="139">
        <v>285</v>
      </c>
      <c r="B286" s="66" t="s">
        <v>3852</v>
      </c>
      <c r="C286" s="66" t="s">
        <v>3807</v>
      </c>
      <c r="D286" s="66"/>
      <c r="E286" s="66" t="s">
        <v>3807</v>
      </c>
      <c r="F286" s="66" t="s">
        <v>1138</v>
      </c>
      <c r="G286" s="66" t="s">
        <v>3421</v>
      </c>
      <c r="H286" s="66" t="s">
        <v>612</v>
      </c>
      <c r="I286" s="71">
        <v>4</v>
      </c>
      <c r="J28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6" s="71" t="s">
        <v>2956</v>
      </c>
      <c r="L286" s="71" t="str">
        <f>IF(Table1[[#This Row],[LAST]]="","Unfilled","Filled")</f>
        <v>Filled</v>
      </c>
      <c r="M286" s="66" t="s">
        <v>2872</v>
      </c>
      <c r="N286" s="66" t="s">
        <v>3853</v>
      </c>
      <c r="O286" s="66" t="s">
        <v>1196</v>
      </c>
      <c r="P286" s="63"/>
      <c r="Q286" s="64">
        <v>33536</v>
      </c>
      <c r="R286" s="64">
        <v>44872</v>
      </c>
      <c r="S286" s="64">
        <v>44872</v>
      </c>
      <c r="T286" s="64">
        <v>44872</v>
      </c>
      <c r="U286" s="64" t="s">
        <v>76</v>
      </c>
      <c r="V286" s="64" t="s">
        <v>77</v>
      </c>
      <c r="W286" s="66">
        <f t="shared" ca="1" si="10"/>
        <v>34</v>
      </c>
      <c r="X28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6" s="64" t="s">
        <v>1465</v>
      </c>
      <c r="Z286" s="64" t="s">
        <v>3854</v>
      </c>
      <c r="AA286" s="65" t="s">
        <v>3855</v>
      </c>
      <c r="AB286" s="64" t="s">
        <v>190</v>
      </c>
      <c r="AC286" s="64" t="s">
        <v>103</v>
      </c>
      <c r="AD286" s="65">
        <v>4102</v>
      </c>
      <c r="AE286" s="64" t="s">
        <v>3427</v>
      </c>
      <c r="AF286" s="64" t="s">
        <v>66</v>
      </c>
      <c r="AG286" s="64" t="s">
        <v>66</v>
      </c>
      <c r="AH286" s="64" t="s">
        <v>66</v>
      </c>
      <c r="AI286" s="64" t="s">
        <v>66</v>
      </c>
      <c r="AJ286" s="65" t="s">
        <v>3856</v>
      </c>
      <c r="AK286" s="64" t="s">
        <v>3857</v>
      </c>
      <c r="AL286" s="64" t="s">
        <v>3858</v>
      </c>
      <c r="AM286" s="64" t="s">
        <v>3859</v>
      </c>
      <c r="AN286" s="64" t="s">
        <v>3860</v>
      </c>
      <c r="AO286" s="64" t="s">
        <v>66</v>
      </c>
      <c r="AP286" s="64" t="s">
        <v>3861</v>
      </c>
    </row>
    <row r="287" spans="1:43" ht="18.75">
      <c r="A287" s="139">
        <v>286</v>
      </c>
      <c r="B287" s="66" t="s">
        <v>3862</v>
      </c>
      <c r="C287" s="66" t="s">
        <v>3807</v>
      </c>
      <c r="D287" s="66"/>
      <c r="E287" s="66" t="s">
        <v>3807</v>
      </c>
      <c r="F287" s="66" t="s">
        <v>1138</v>
      </c>
      <c r="G287" s="66" t="s">
        <v>3421</v>
      </c>
      <c r="H287" s="66" t="s">
        <v>612</v>
      </c>
      <c r="I287" s="71">
        <v>4</v>
      </c>
      <c r="J28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7" s="71" t="s">
        <v>2956</v>
      </c>
      <c r="L287" s="71" t="str">
        <f>IF(Table1[[#This Row],[LAST]]="","Unfilled","Filled")</f>
        <v>Filled</v>
      </c>
      <c r="M287" s="66" t="s">
        <v>135</v>
      </c>
      <c r="N287" s="66" t="s">
        <v>3863</v>
      </c>
      <c r="O287" s="66" t="s">
        <v>3864</v>
      </c>
      <c r="P287" s="63"/>
      <c r="Q287" s="64">
        <v>29353</v>
      </c>
      <c r="R287" s="64">
        <v>45141</v>
      </c>
      <c r="S287" s="64">
        <v>45141</v>
      </c>
      <c r="T287" s="64">
        <v>45141</v>
      </c>
      <c r="U287" s="64" t="s">
        <v>51</v>
      </c>
      <c r="V287" s="64" t="s">
        <v>77</v>
      </c>
      <c r="W287" s="66">
        <f t="shared" ca="1" si="10"/>
        <v>46</v>
      </c>
      <c r="X28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87" s="64" t="s">
        <v>697</v>
      </c>
      <c r="Z287" s="64" t="s">
        <v>3865</v>
      </c>
      <c r="AA287" s="65" t="s">
        <v>2766</v>
      </c>
      <c r="AB287" s="64" t="s">
        <v>190</v>
      </c>
      <c r="AC287" s="64" t="s">
        <v>103</v>
      </c>
      <c r="AD287" s="65">
        <v>4102</v>
      </c>
      <c r="AE287" s="64" t="s">
        <v>2991</v>
      </c>
      <c r="AF287" s="64" t="s">
        <v>3450</v>
      </c>
      <c r="AG287" s="64" t="s">
        <v>66</v>
      </c>
      <c r="AH287" s="64" t="s">
        <v>66</v>
      </c>
      <c r="AI287" s="64" t="s">
        <v>66</v>
      </c>
      <c r="AJ287" s="65" t="s">
        <v>3866</v>
      </c>
      <c r="AK287" s="64" t="s">
        <v>3867</v>
      </c>
      <c r="AL287" s="64" t="s">
        <v>3868</v>
      </c>
      <c r="AM287" s="64" t="s">
        <v>3869</v>
      </c>
      <c r="AN287" s="64" t="s">
        <v>3870</v>
      </c>
      <c r="AO287" s="64" t="s">
        <v>66</v>
      </c>
      <c r="AP287" s="64"/>
    </row>
    <row r="288" spans="1:43" ht="18.75">
      <c r="A288" s="139">
        <v>287</v>
      </c>
      <c r="B288" s="66" t="s">
        <v>3871</v>
      </c>
      <c r="C288" s="66" t="s">
        <v>3807</v>
      </c>
      <c r="D288" s="77"/>
      <c r="E288" s="66" t="s">
        <v>3807</v>
      </c>
      <c r="F288" s="66" t="s">
        <v>1138</v>
      </c>
      <c r="G288" s="66" t="s">
        <v>3421</v>
      </c>
      <c r="H288" s="66" t="s">
        <v>612</v>
      </c>
      <c r="I288" s="71">
        <v>4</v>
      </c>
      <c r="J28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8" s="71" t="s">
        <v>2956</v>
      </c>
      <c r="L288" s="71" t="str">
        <f>IF(Table1[[#This Row],[LAST]]="","Unfilled","Filled")</f>
        <v>Filled</v>
      </c>
      <c r="M288" s="63" t="s">
        <v>3872</v>
      </c>
      <c r="N288" s="63" t="s">
        <v>3873</v>
      </c>
      <c r="O288" s="66" t="s">
        <v>3874</v>
      </c>
      <c r="P288" s="63"/>
      <c r="Q288" s="64">
        <v>32962</v>
      </c>
      <c r="R288" s="64">
        <v>45474</v>
      </c>
      <c r="S288" s="64">
        <v>45474</v>
      </c>
      <c r="T288" s="64">
        <v>45474</v>
      </c>
      <c r="U288" s="64" t="s">
        <v>76</v>
      </c>
      <c r="V288" s="64" t="s">
        <v>77</v>
      </c>
      <c r="W288" s="66">
        <f t="shared" ca="1" si="10"/>
        <v>36</v>
      </c>
      <c r="X28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8" s="64" t="s">
        <v>1052</v>
      </c>
      <c r="Z288" s="64" t="s">
        <v>3875</v>
      </c>
      <c r="AA288" s="65" t="s">
        <v>1452</v>
      </c>
      <c r="AB288" s="64" t="s">
        <v>190</v>
      </c>
      <c r="AC288" s="64" t="s">
        <v>103</v>
      </c>
      <c r="AD288" s="65" t="s">
        <v>656</v>
      </c>
      <c r="AE288" s="64" t="s">
        <v>3876</v>
      </c>
      <c r="AF288" s="64" t="s">
        <v>3877</v>
      </c>
      <c r="AG288" s="64" t="s">
        <v>66</v>
      </c>
      <c r="AH288" s="64" t="s">
        <v>66</v>
      </c>
      <c r="AI288" s="64" t="s">
        <v>66</v>
      </c>
      <c r="AJ288" s="65" t="s">
        <v>3878</v>
      </c>
      <c r="AK288" s="64" t="s">
        <v>3879</v>
      </c>
      <c r="AL288" s="64" t="s">
        <v>3880</v>
      </c>
      <c r="AM288" s="64" t="s">
        <v>3881</v>
      </c>
      <c r="AN288" s="64" t="s">
        <v>3882</v>
      </c>
      <c r="AO288" s="64" t="s">
        <v>66</v>
      </c>
      <c r="AP288" s="85" t="s">
        <v>3883</v>
      </c>
      <c r="AQ288" t="s">
        <v>802</v>
      </c>
    </row>
    <row r="289" spans="1:42" ht="18.75">
      <c r="A289" s="139">
        <v>288</v>
      </c>
      <c r="B289" s="66" t="s">
        <v>3884</v>
      </c>
      <c r="C289" s="66" t="s">
        <v>3807</v>
      </c>
      <c r="D289" s="66"/>
      <c r="E289" s="66" t="s">
        <v>3807</v>
      </c>
      <c r="F289" s="66" t="s">
        <v>1138</v>
      </c>
      <c r="G289" s="66" t="s">
        <v>3421</v>
      </c>
      <c r="H289" s="66" t="s">
        <v>612</v>
      </c>
      <c r="I289" s="71">
        <v>4</v>
      </c>
      <c r="J28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89" s="71" t="s">
        <v>2956</v>
      </c>
      <c r="L289" s="71" t="str">
        <f>IF(Table1[[#This Row],[LAST]]="","Unfilled","Filled")</f>
        <v>Filled</v>
      </c>
      <c r="M289" s="66" t="s">
        <v>3885</v>
      </c>
      <c r="N289" s="66" t="s">
        <v>3886</v>
      </c>
      <c r="O289" s="66" t="s">
        <v>3887</v>
      </c>
      <c r="P289" s="63"/>
      <c r="Q289" s="64">
        <v>32487</v>
      </c>
      <c r="R289" s="64">
        <v>44317</v>
      </c>
      <c r="S289" s="64">
        <v>44317</v>
      </c>
      <c r="T289" s="64">
        <v>44317</v>
      </c>
      <c r="U289" s="64" t="s">
        <v>51</v>
      </c>
      <c r="V289" s="64" t="s">
        <v>77</v>
      </c>
      <c r="W289" s="66">
        <f t="shared" ca="1" si="10"/>
        <v>37</v>
      </c>
      <c r="X28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89" s="64" t="s">
        <v>3888</v>
      </c>
      <c r="Z289" s="64" t="s">
        <v>3889</v>
      </c>
      <c r="AA289" s="65" t="s">
        <v>3890</v>
      </c>
      <c r="AB289" s="64" t="s">
        <v>102</v>
      </c>
      <c r="AC289" s="64" t="s">
        <v>103</v>
      </c>
      <c r="AD289" s="65" t="s">
        <v>1106</v>
      </c>
      <c r="AE289" s="64" t="s">
        <v>3427</v>
      </c>
      <c r="AF289" s="64" t="s">
        <v>66</v>
      </c>
      <c r="AG289" s="64" t="s">
        <v>66</v>
      </c>
      <c r="AH289" s="64" t="s">
        <v>66</v>
      </c>
      <c r="AI289" s="64" t="s">
        <v>66</v>
      </c>
      <c r="AJ289" s="65" t="s">
        <v>3891</v>
      </c>
      <c r="AK289" s="64" t="s">
        <v>3892</v>
      </c>
      <c r="AL289" s="64" t="s">
        <v>3893</v>
      </c>
      <c r="AM289" s="64" t="s">
        <v>3894</v>
      </c>
      <c r="AN289" s="64" t="s">
        <v>3895</v>
      </c>
      <c r="AO289" s="150" t="s">
        <v>66</v>
      </c>
      <c r="AP289" s="64" t="s">
        <v>3896</v>
      </c>
    </row>
    <row r="290" spans="1:42" ht="18.75">
      <c r="A290" s="139">
        <v>289</v>
      </c>
      <c r="B290" s="66" t="s">
        <v>3897</v>
      </c>
      <c r="C290" s="66" t="s">
        <v>3807</v>
      </c>
      <c r="D290" s="66"/>
      <c r="E290" s="66" t="s">
        <v>3807</v>
      </c>
      <c r="F290" s="66" t="s">
        <v>1138</v>
      </c>
      <c r="G290" s="66" t="s">
        <v>3421</v>
      </c>
      <c r="H290" s="66" t="s">
        <v>612</v>
      </c>
      <c r="I290" s="71">
        <v>4</v>
      </c>
      <c r="J29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0" s="71" t="s">
        <v>2956</v>
      </c>
      <c r="L290" s="71" t="str">
        <f>IF(Table1[[#This Row],[LAST]]="","Unfilled","Filled")</f>
        <v>Filled</v>
      </c>
      <c r="M290" s="66" t="s">
        <v>3898</v>
      </c>
      <c r="N290" s="66" t="s">
        <v>3899</v>
      </c>
      <c r="O290" s="66" t="s">
        <v>3900</v>
      </c>
      <c r="P290" s="63"/>
      <c r="Q290" s="64">
        <v>30791</v>
      </c>
      <c r="R290" s="64">
        <v>44874</v>
      </c>
      <c r="S290" s="64">
        <v>44874</v>
      </c>
      <c r="T290" s="64">
        <v>44874</v>
      </c>
      <c r="U290" s="64" t="s">
        <v>76</v>
      </c>
      <c r="V290" s="64" t="s">
        <v>52</v>
      </c>
      <c r="W290" s="66">
        <f t="shared" ca="1" si="10"/>
        <v>42</v>
      </c>
      <c r="X29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0" s="64" t="s">
        <v>616</v>
      </c>
      <c r="Z290" s="64" t="s">
        <v>3901</v>
      </c>
      <c r="AA290" s="65" t="s">
        <v>1124</v>
      </c>
      <c r="AB290" s="64" t="s">
        <v>991</v>
      </c>
      <c r="AC290" s="64" t="s">
        <v>103</v>
      </c>
      <c r="AD290" s="65">
        <v>4109</v>
      </c>
      <c r="AE290" s="64" t="s">
        <v>2991</v>
      </c>
      <c r="AF290" s="64" t="s">
        <v>3902</v>
      </c>
      <c r="AG290" s="64" t="s">
        <v>66</v>
      </c>
      <c r="AH290" s="64" t="s">
        <v>66</v>
      </c>
      <c r="AI290" s="64" t="s">
        <v>66</v>
      </c>
      <c r="AJ290" s="65" t="s">
        <v>3903</v>
      </c>
      <c r="AK290" s="64" t="s">
        <v>3904</v>
      </c>
      <c r="AL290" s="64" t="s">
        <v>3905</v>
      </c>
      <c r="AM290" s="64" t="s">
        <v>3906</v>
      </c>
      <c r="AN290" s="64" t="s">
        <v>3907</v>
      </c>
      <c r="AO290" s="64" t="s">
        <v>66</v>
      </c>
      <c r="AP290" s="64" t="s">
        <v>3908</v>
      </c>
    </row>
    <row r="291" spans="1:42" ht="18.75">
      <c r="A291" s="139">
        <v>290</v>
      </c>
      <c r="B291" s="66" t="s">
        <v>3909</v>
      </c>
      <c r="C291" s="66" t="s">
        <v>3807</v>
      </c>
      <c r="D291" s="66"/>
      <c r="E291" s="66" t="s">
        <v>3807</v>
      </c>
      <c r="F291" s="66" t="s">
        <v>1138</v>
      </c>
      <c r="G291" s="66" t="s">
        <v>3421</v>
      </c>
      <c r="H291" s="66" t="s">
        <v>612</v>
      </c>
      <c r="I291" s="71">
        <v>4</v>
      </c>
      <c r="J29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1" s="71" t="s">
        <v>2956</v>
      </c>
      <c r="L291" s="71" t="str">
        <f>IF(Table1[[#This Row],[LAST]]="","Unfilled","Filled")</f>
        <v>Filled</v>
      </c>
      <c r="M291" s="63" t="s">
        <v>3910</v>
      </c>
      <c r="N291" s="66" t="s">
        <v>3911</v>
      </c>
      <c r="O291" s="66" t="s">
        <v>3912</v>
      </c>
      <c r="P291" s="63"/>
      <c r="Q291" s="64">
        <v>35882</v>
      </c>
      <c r="R291" s="64">
        <v>46084</v>
      </c>
      <c r="S291" s="64">
        <v>46084</v>
      </c>
      <c r="T291" s="64">
        <v>46084</v>
      </c>
      <c r="U291" s="64" t="s">
        <v>76</v>
      </c>
      <c r="V291" s="64" t="s">
        <v>52</v>
      </c>
      <c r="W291" s="66">
        <f t="shared" ca="1" si="10"/>
        <v>28</v>
      </c>
      <c r="X29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91" s="64" t="s">
        <v>616</v>
      </c>
      <c r="Z291" s="64" t="s">
        <v>3913</v>
      </c>
      <c r="AA291" s="65" t="s">
        <v>3914</v>
      </c>
      <c r="AB291" s="64" t="s">
        <v>138</v>
      </c>
      <c r="AC291" s="64" t="s">
        <v>103</v>
      </c>
      <c r="AD291" s="65" t="s">
        <v>1752</v>
      </c>
      <c r="AE291" s="64" t="s">
        <v>2991</v>
      </c>
      <c r="AF291" s="64" t="s">
        <v>3915</v>
      </c>
      <c r="AG291" s="64" t="s">
        <v>66</v>
      </c>
      <c r="AH291" s="64" t="s">
        <v>66</v>
      </c>
      <c r="AI291" s="64" t="s">
        <v>66</v>
      </c>
      <c r="AJ291" s="65" t="s">
        <v>66</v>
      </c>
      <c r="AK291" s="64" t="s">
        <v>3916</v>
      </c>
      <c r="AL291" s="64" t="s">
        <v>3917</v>
      </c>
      <c r="AM291" s="64" t="s">
        <v>3918</v>
      </c>
      <c r="AN291" s="64" t="s">
        <v>3919</v>
      </c>
      <c r="AO291" s="64" t="s">
        <v>66</v>
      </c>
      <c r="AP291" s="85" t="s">
        <v>3920</v>
      </c>
    </row>
    <row r="292" spans="1:42" ht="18.75">
      <c r="A292" s="139">
        <v>291</v>
      </c>
      <c r="B292" s="66" t="s">
        <v>3921</v>
      </c>
      <c r="C292" s="66" t="s">
        <v>3807</v>
      </c>
      <c r="D292" s="77"/>
      <c r="E292" s="66" t="s">
        <v>3807</v>
      </c>
      <c r="F292" s="66" t="s">
        <v>1138</v>
      </c>
      <c r="G292" s="66" t="s">
        <v>3421</v>
      </c>
      <c r="H292" s="66" t="s">
        <v>612</v>
      </c>
      <c r="I292" s="71">
        <v>4</v>
      </c>
      <c r="J29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2" s="71" t="s">
        <v>2956</v>
      </c>
      <c r="L292" s="71" t="str">
        <f>IF(Table1[[#This Row],[LAST]]="","Unfilled","Filled")</f>
        <v>Filled</v>
      </c>
      <c r="M292" s="63" t="s">
        <v>3922</v>
      </c>
      <c r="N292" s="63" t="s">
        <v>3923</v>
      </c>
      <c r="O292" s="66" t="s">
        <v>3924</v>
      </c>
      <c r="P292" s="63"/>
      <c r="Q292" s="64">
        <v>28534</v>
      </c>
      <c r="R292" s="64">
        <v>45509</v>
      </c>
      <c r="S292" s="64">
        <v>45509</v>
      </c>
      <c r="T292" s="64">
        <v>45509</v>
      </c>
      <c r="U292" s="64" t="s">
        <v>51</v>
      </c>
      <c r="V292" s="64" t="s">
        <v>77</v>
      </c>
      <c r="W292" s="66">
        <f t="shared" ca="1" si="10"/>
        <v>48</v>
      </c>
      <c r="X29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2" s="64" t="s">
        <v>3925</v>
      </c>
      <c r="Z292" s="64" t="s">
        <v>3926</v>
      </c>
      <c r="AA292" s="65" t="s">
        <v>2766</v>
      </c>
      <c r="AB292" s="64" t="s">
        <v>190</v>
      </c>
      <c r="AC292" s="64" t="s">
        <v>103</v>
      </c>
      <c r="AD292" s="65" t="s">
        <v>656</v>
      </c>
      <c r="AE292" s="64" t="s">
        <v>2991</v>
      </c>
      <c r="AF292" s="64" t="s">
        <v>3927</v>
      </c>
      <c r="AG292" s="64" t="s">
        <v>66</v>
      </c>
      <c r="AH292" s="64" t="s">
        <v>66</v>
      </c>
      <c r="AI292" s="64" t="s">
        <v>66</v>
      </c>
      <c r="AJ292" s="65" t="s">
        <v>3928</v>
      </c>
      <c r="AK292" s="64" t="s">
        <v>3929</v>
      </c>
      <c r="AL292" s="64" t="s">
        <v>3930</v>
      </c>
      <c r="AM292" s="64" t="s">
        <v>3931</v>
      </c>
      <c r="AN292" s="64" t="s">
        <v>3932</v>
      </c>
      <c r="AO292" s="64" t="s">
        <v>66</v>
      </c>
      <c r="AP292" s="85" t="s">
        <v>3933</v>
      </c>
    </row>
    <row r="293" spans="1:42" ht="18.75">
      <c r="A293" s="139">
        <v>292</v>
      </c>
      <c r="B293" s="66" t="s">
        <v>3934</v>
      </c>
      <c r="C293" s="66" t="s">
        <v>3807</v>
      </c>
      <c r="D293" s="66"/>
      <c r="E293" s="66" t="s">
        <v>3807</v>
      </c>
      <c r="F293" s="66" t="s">
        <v>1138</v>
      </c>
      <c r="G293" s="66" t="s">
        <v>3421</v>
      </c>
      <c r="H293" s="66" t="s">
        <v>612</v>
      </c>
      <c r="I293" s="71">
        <v>4</v>
      </c>
      <c r="J29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3" s="71" t="s">
        <v>2956</v>
      </c>
      <c r="L293" s="71" t="str">
        <f>IF(Table1[[#This Row],[LAST]]="","Unfilled","Filled")</f>
        <v>Filled</v>
      </c>
      <c r="M293" s="66" t="s">
        <v>3935</v>
      </c>
      <c r="N293" s="66" t="s">
        <v>3936</v>
      </c>
      <c r="O293" s="66" t="s">
        <v>3937</v>
      </c>
      <c r="P293" s="63"/>
      <c r="Q293" s="64">
        <v>32850</v>
      </c>
      <c r="R293" s="64">
        <v>44319</v>
      </c>
      <c r="S293" s="64">
        <v>44319</v>
      </c>
      <c r="T293" s="64">
        <v>44319</v>
      </c>
      <c r="U293" s="64" t="s">
        <v>51</v>
      </c>
      <c r="V293" s="64" t="s">
        <v>52</v>
      </c>
      <c r="W293" s="66">
        <f t="shared" ca="1" si="10"/>
        <v>36</v>
      </c>
      <c r="X29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3" s="64" t="s">
        <v>3938</v>
      </c>
      <c r="Z293" s="64" t="s">
        <v>3939</v>
      </c>
      <c r="AA293" s="65" t="s">
        <v>618</v>
      </c>
      <c r="AB293" s="64" t="s">
        <v>2083</v>
      </c>
      <c r="AC293" s="64" t="s">
        <v>3685</v>
      </c>
      <c r="AD293" s="65">
        <v>1860</v>
      </c>
      <c r="AE293" s="64" t="s">
        <v>2991</v>
      </c>
      <c r="AF293" s="64" t="s">
        <v>3940</v>
      </c>
      <c r="AG293" s="64" t="s">
        <v>66</v>
      </c>
      <c r="AH293" s="64" t="s">
        <v>66</v>
      </c>
      <c r="AI293" s="64" t="s">
        <v>66</v>
      </c>
      <c r="AJ293" s="65" t="s">
        <v>3941</v>
      </c>
      <c r="AK293" s="64" t="s">
        <v>3942</v>
      </c>
      <c r="AL293" s="64" t="s">
        <v>3943</v>
      </c>
      <c r="AM293" s="64" t="s">
        <v>3944</v>
      </c>
      <c r="AN293" s="64" t="s">
        <v>3945</v>
      </c>
      <c r="AO293" s="64" t="s">
        <v>66</v>
      </c>
      <c r="AP293" s="64" t="s">
        <v>3946</v>
      </c>
    </row>
    <row r="294" spans="1:42" ht="18.75">
      <c r="A294" s="139">
        <v>293</v>
      </c>
      <c r="B294" s="66" t="s">
        <v>3947</v>
      </c>
      <c r="C294" s="66" t="s">
        <v>3807</v>
      </c>
      <c r="D294" s="66"/>
      <c r="E294" s="66" t="s">
        <v>3807</v>
      </c>
      <c r="F294" s="66" t="s">
        <v>1138</v>
      </c>
      <c r="G294" s="66" t="s">
        <v>3421</v>
      </c>
      <c r="H294" s="66" t="s">
        <v>612</v>
      </c>
      <c r="I294" s="71">
        <v>4</v>
      </c>
      <c r="J29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4" s="71" t="s">
        <v>2956</v>
      </c>
      <c r="L294" s="71" t="str">
        <f>IF(Table1[[#This Row],[LAST]]="","Unfilled","Filled")</f>
        <v>Filled</v>
      </c>
      <c r="M294" s="66" t="s">
        <v>3948</v>
      </c>
      <c r="N294" s="66" t="s">
        <v>3949</v>
      </c>
      <c r="O294" s="66" t="s">
        <v>739</v>
      </c>
      <c r="P294" s="63"/>
      <c r="Q294" s="64">
        <v>31583</v>
      </c>
      <c r="R294" s="64">
        <v>45147</v>
      </c>
      <c r="S294" s="64">
        <v>45147</v>
      </c>
      <c r="T294" s="64">
        <v>45147</v>
      </c>
      <c r="U294" s="64" t="s">
        <v>51</v>
      </c>
      <c r="V294" s="64" t="s">
        <v>77</v>
      </c>
      <c r="W294" s="66">
        <f t="shared" ca="1" si="10"/>
        <v>40</v>
      </c>
      <c r="X29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4" s="64" t="s">
        <v>154</v>
      </c>
      <c r="Z294" s="64" t="s">
        <v>3950</v>
      </c>
      <c r="AA294" s="65" t="s">
        <v>655</v>
      </c>
      <c r="AB294" s="64" t="s">
        <v>190</v>
      </c>
      <c r="AC294" s="64" t="s">
        <v>103</v>
      </c>
      <c r="AD294" s="65">
        <v>4102</v>
      </c>
      <c r="AE294" s="64" t="s">
        <v>3427</v>
      </c>
      <c r="AF294" s="64" t="s">
        <v>66</v>
      </c>
      <c r="AG294" s="64" t="s">
        <v>66</v>
      </c>
      <c r="AH294" s="64" t="s">
        <v>66</v>
      </c>
      <c r="AI294" s="64" t="s">
        <v>66</v>
      </c>
      <c r="AJ294" s="65" t="s">
        <v>3951</v>
      </c>
      <c r="AK294" s="64" t="s">
        <v>3952</v>
      </c>
      <c r="AL294" s="64" t="s">
        <v>3953</v>
      </c>
      <c r="AM294" s="64" t="s">
        <v>3954</v>
      </c>
      <c r="AN294" s="64" t="s">
        <v>3955</v>
      </c>
      <c r="AO294" s="64" t="s">
        <v>66</v>
      </c>
      <c r="AP294" s="64" t="s">
        <v>3956</v>
      </c>
    </row>
    <row r="295" spans="1:42" ht="18.75">
      <c r="A295" s="139">
        <v>294</v>
      </c>
      <c r="B295" s="66" t="s">
        <v>3957</v>
      </c>
      <c r="C295" s="66" t="s">
        <v>3807</v>
      </c>
      <c r="D295" s="66"/>
      <c r="E295" s="66" t="s">
        <v>3807</v>
      </c>
      <c r="F295" s="66" t="s">
        <v>1138</v>
      </c>
      <c r="G295" s="66" t="s">
        <v>3421</v>
      </c>
      <c r="H295" s="66" t="s">
        <v>612</v>
      </c>
      <c r="I295" s="71">
        <v>4</v>
      </c>
      <c r="J29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5" s="71" t="s">
        <v>2956</v>
      </c>
      <c r="L295" s="71" t="str">
        <f>IF(Table1[[#This Row],[LAST]]="","Unfilled","Filled")</f>
        <v>Filled</v>
      </c>
      <c r="M295" s="66" t="s">
        <v>3958</v>
      </c>
      <c r="N295" s="66" t="s">
        <v>3551</v>
      </c>
      <c r="O295" s="66" t="s">
        <v>3959</v>
      </c>
      <c r="P295" s="63"/>
      <c r="Q295" s="64">
        <v>34604</v>
      </c>
      <c r="R295" s="64">
        <v>44319</v>
      </c>
      <c r="S295" s="64">
        <v>44319</v>
      </c>
      <c r="T295" s="64">
        <v>44319</v>
      </c>
      <c r="U295" s="64" t="s">
        <v>76</v>
      </c>
      <c r="V295" s="64" t="s">
        <v>52</v>
      </c>
      <c r="W295" s="66">
        <f t="shared" ca="1" si="10"/>
        <v>31</v>
      </c>
      <c r="X29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5" s="64" t="s">
        <v>3960</v>
      </c>
      <c r="Z295" s="64" t="s">
        <v>3961</v>
      </c>
      <c r="AA295" s="65" t="s">
        <v>3962</v>
      </c>
      <c r="AB295" s="64" t="s">
        <v>3963</v>
      </c>
      <c r="AC295" s="64" t="s">
        <v>3964</v>
      </c>
      <c r="AD295" s="65">
        <v>3022</v>
      </c>
      <c r="AE295" s="64" t="s">
        <v>3427</v>
      </c>
      <c r="AF295" s="64" t="s">
        <v>66</v>
      </c>
      <c r="AG295" s="64" t="s">
        <v>66</v>
      </c>
      <c r="AH295" s="64" t="s">
        <v>66</v>
      </c>
      <c r="AI295" s="64" t="s">
        <v>66</v>
      </c>
      <c r="AJ295" s="65" t="s">
        <v>3965</v>
      </c>
      <c r="AK295" s="64" t="s">
        <v>3966</v>
      </c>
      <c r="AL295" s="64" t="s">
        <v>3967</v>
      </c>
      <c r="AM295" s="64" t="s">
        <v>3968</v>
      </c>
      <c r="AN295" s="64" t="s">
        <v>3969</v>
      </c>
      <c r="AO295" s="64" t="s">
        <v>66</v>
      </c>
      <c r="AP295" s="64" t="s">
        <v>3970</v>
      </c>
    </row>
    <row r="296" spans="1:42" ht="18.75">
      <c r="A296" s="139">
        <v>295</v>
      </c>
      <c r="B296" s="66" t="s">
        <v>3971</v>
      </c>
      <c r="C296" s="66" t="s">
        <v>3807</v>
      </c>
      <c r="D296" s="66"/>
      <c r="E296" s="66" t="s">
        <v>3807</v>
      </c>
      <c r="F296" s="66" t="s">
        <v>1138</v>
      </c>
      <c r="G296" s="66" t="s">
        <v>3421</v>
      </c>
      <c r="H296" s="66" t="s">
        <v>612</v>
      </c>
      <c r="I296" s="71">
        <v>4</v>
      </c>
      <c r="J29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6" s="71" t="s">
        <v>2956</v>
      </c>
      <c r="L296" s="71" t="str">
        <f>IF(Table1[[#This Row],[LAST]]="","Unfilled","Filled")</f>
        <v>Filled</v>
      </c>
      <c r="M296" s="66" t="s">
        <v>739</v>
      </c>
      <c r="N296" s="66" t="s">
        <v>3972</v>
      </c>
      <c r="O296" s="66" t="s">
        <v>3973</v>
      </c>
      <c r="P296" s="63"/>
      <c r="Q296" s="64">
        <v>28815</v>
      </c>
      <c r="R296" s="64">
        <v>45152</v>
      </c>
      <c r="S296" s="64">
        <v>45152</v>
      </c>
      <c r="T296" s="64">
        <v>45152</v>
      </c>
      <c r="U296" s="64" t="s">
        <v>76</v>
      </c>
      <c r="V296" s="64" t="s">
        <v>77</v>
      </c>
      <c r="W296" s="66">
        <f t="shared" ca="1" si="10"/>
        <v>47</v>
      </c>
      <c r="X29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296" s="64" t="s">
        <v>121</v>
      </c>
      <c r="Z296" s="64" t="s">
        <v>3974</v>
      </c>
      <c r="AA296" s="65" t="s">
        <v>3975</v>
      </c>
      <c r="AB296" s="64" t="s">
        <v>1184</v>
      </c>
      <c r="AC296" s="64" t="s">
        <v>103</v>
      </c>
      <c r="AD296" s="65">
        <v>4104</v>
      </c>
      <c r="AE296" s="64" t="s">
        <v>2991</v>
      </c>
      <c r="AF296" s="64" t="s">
        <v>3450</v>
      </c>
      <c r="AG296" s="64" t="s">
        <v>66</v>
      </c>
      <c r="AH296" s="64" t="s">
        <v>66</v>
      </c>
      <c r="AI296" s="64" t="s">
        <v>66</v>
      </c>
      <c r="AJ296" s="65" t="s">
        <v>3976</v>
      </c>
      <c r="AK296" s="64" t="s">
        <v>3977</v>
      </c>
      <c r="AL296" s="64" t="s">
        <v>3978</v>
      </c>
      <c r="AM296" s="64" t="s">
        <v>3979</v>
      </c>
      <c r="AN296" s="64" t="s">
        <v>3980</v>
      </c>
      <c r="AO296" s="64" t="s">
        <v>66</v>
      </c>
      <c r="AP296" s="64" t="s">
        <v>3981</v>
      </c>
    </row>
    <row r="297" spans="1:42" ht="18.75">
      <c r="A297" s="139">
        <v>296</v>
      </c>
      <c r="B297" s="66" t="s">
        <v>3982</v>
      </c>
      <c r="C297" s="66" t="s">
        <v>3807</v>
      </c>
      <c r="D297" s="66"/>
      <c r="E297" s="66" t="s">
        <v>3807</v>
      </c>
      <c r="F297" s="66" t="s">
        <v>1138</v>
      </c>
      <c r="G297" s="66" t="s">
        <v>3421</v>
      </c>
      <c r="H297" s="66" t="s">
        <v>612</v>
      </c>
      <c r="I297" s="71">
        <v>4</v>
      </c>
      <c r="J29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7" s="71" t="s">
        <v>2956</v>
      </c>
      <c r="L297" s="71" t="str">
        <f>IF(Table1[[#This Row],[LAST]]="","Unfilled","Filled")</f>
        <v>Filled</v>
      </c>
      <c r="M297" s="66" t="s">
        <v>348</v>
      </c>
      <c r="N297" s="66" t="s">
        <v>3983</v>
      </c>
      <c r="O297" s="66" t="s">
        <v>3984</v>
      </c>
      <c r="P297" s="63" t="s">
        <v>118</v>
      </c>
      <c r="Q297" s="64">
        <v>33149</v>
      </c>
      <c r="R297" s="64">
        <v>45734</v>
      </c>
      <c r="S297" s="64">
        <v>45734</v>
      </c>
      <c r="T297" s="64">
        <v>45734</v>
      </c>
      <c r="U297" s="64" t="s">
        <v>76</v>
      </c>
      <c r="V297" s="64" t="s">
        <v>52</v>
      </c>
      <c r="W297" s="66">
        <f t="shared" ca="1" si="10"/>
        <v>35</v>
      </c>
      <c r="X29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7" s="64" t="s">
        <v>616</v>
      </c>
      <c r="Z297" s="64" t="s">
        <v>3985</v>
      </c>
      <c r="AA297" s="65" t="s">
        <v>3986</v>
      </c>
      <c r="AB297" s="64" t="s">
        <v>138</v>
      </c>
      <c r="AC297" s="64" t="s">
        <v>103</v>
      </c>
      <c r="AD297" s="65" t="s">
        <v>1752</v>
      </c>
      <c r="AE297" s="64" t="s">
        <v>619</v>
      </c>
      <c r="AF297" s="64" t="s">
        <v>620</v>
      </c>
      <c r="AG297" s="64" t="s">
        <v>66</v>
      </c>
      <c r="AH297" s="64" t="s">
        <v>66</v>
      </c>
      <c r="AI297" s="64" t="s">
        <v>66</v>
      </c>
      <c r="AJ297" s="65" t="s">
        <v>3987</v>
      </c>
      <c r="AK297" s="64" t="s">
        <v>3988</v>
      </c>
      <c r="AL297" s="64" t="s">
        <v>3989</v>
      </c>
      <c r="AM297" s="64" t="s">
        <v>3990</v>
      </c>
      <c r="AN297" s="64" t="s">
        <v>3991</v>
      </c>
      <c r="AO297" s="13" t="s">
        <v>66</v>
      </c>
      <c r="AP297" s="85" t="s">
        <v>3992</v>
      </c>
    </row>
    <row r="298" spans="1:42" ht="18.75">
      <c r="A298" s="139">
        <v>297</v>
      </c>
      <c r="B298" s="66" t="s">
        <v>3993</v>
      </c>
      <c r="C298" s="66" t="s">
        <v>3807</v>
      </c>
      <c r="D298" s="66"/>
      <c r="E298" s="66" t="s">
        <v>3807</v>
      </c>
      <c r="F298" s="66" t="s">
        <v>1138</v>
      </c>
      <c r="G298" s="66" t="s">
        <v>3421</v>
      </c>
      <c r="H298" s="66" t="s">
        <v>612</v>
      </c>
      <c r="I298" s="71">
        <v>4</v>
      </c>
      <c r="J29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8" s="71" t="s">
        <v>2956</v>
      </c>
      <c r="L298" s="71" t="str">
        <f>IF(Table1[[#This Row],[LAST]]="","Unfilled","Filled")</f>
        <v>Filled</v>
      </c>
      <c r="M298" s="66" t="s">
        <v>3994</v>
      </c>
      <c r="N298" s="66" t="s">
        <v>3995</v>
      </c>
      <c r="O298" s="66" t="s">
        <v>3996</v>
      </c>
      <c r="P298" s="63"/>
      <c r="Q298" s="64">
        <v>31672</v>
      </c>
      <c r="R298" s="64">
        <v>45233</v>
      </c>
      <c r="S298" s="64">
        <v>45233</v>
      </c>
      <c r="T298" s="64">
        <v>45233</v>
      </c>
      <c r="U298" s="64" t="s">
        <v>76</v>
      </c>
      <c r="V298" s="64" t="s">
        <v>77</v>
      </c>
      <c r="W298" s="66">
        <f t="shared" ca="1" si="10"/>
        <v>39</v>
      </c>
      <c r="X29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298" s="64" t="s">
        <v>3997</v>
      </c>
      <c r="Z298" s="64" t="s">
        <v>3998</v>
      </c>
      <c r="AA298" s="65" t="s">
        <v>3999</v>
      </c>
      <c r="AB298" s="64" t="s">
        <v>1965</v>
      </c>
      <c r="AC298" s="64" t="s">
        <v>103</v>
      </c>
      <c r="AD298" s="65">
        <v>4106</v>
      </c>
      <c r="AE298" s="64" t="s">
        <v>2991</v>
      </c>
      <c r="AF298" s="64" t="s">
        <v>4000</v>
      </c>
      <c r="AG298" s="64" t="s">
        <v>66</v>
      </c>
      <c r="AH298" s="64" t="s">
        <v>66</v>
      </c>
      <c r="AI298" s="64" t="s">
        <v>66</v>
      </c>
      <c r="AJ298" s="65" t="s">
        <v>4001</v>
      </c>
      <c r="AK298" s="64" t="s">
        <v>4002</v>
      </c>
      <c r="AL298" s="64" t="s">
        <v>4003</v>
      </c>
      <c r="AM298" s="64" t="s">
        <v>4004</v>
      </c>
      <c r="AN298" s="64" t="s">
        <v>4005</v>
      </c>
      <c r="AO298" s="64" t="s">
        <v>4006</v>
      </c>
      <c r="AP298" s="64" t="s">
        <v>4007</v>
      </c>
    </row>
    <row r="299" spans="1:42" ht="18.75">
      <c r="A299" s="139">
        <v>298</v>
      </c>
      <c r="B299" s="66" t="s">
        <v>4008</v>
      </c>
      <c r="C299" s="66" t="s">
        <v>3807</v>
      </c>
      <c r="D299" s="66"/>
      <c r="E299" s="66" t="s">
        <v>3807</v>
      </c>
      <c r="F299" s="66" t="s">
        <v>1138</v>
      </c>
      <c r="G299" s="66" t="s">
        <v>3421</v>
      </c>
      <c r="H299" s="66" t="s">
        <v>612</v>
      </c>
      <c r="I299" s="71">
        <v>4</v>
      </c>
      <c r="J299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299" s="71" t="s">
        <v>2956</v>
      </c>
      <c r="L299" s="71" t="str">
        <f>IF(Table1[[#This Row],[LAST]]="","Unfilled","Filled")</f>
        <v>Filled</v>
      </c>
      <c r="M299" s="63" t="s">
        <v>4009</v>
      </c>
      <c r="N299" s="63" t="s">
        <v>4010</v>
      </c>
      <c r="O299" s="66" t="s">
        <v>4011</v>
      </c>
      <c r="P299" s="63"/>
      <c r="Q299" s="64">
        <v>36398</v>
      </c>
      <c r="R299" s="64">
        <v>45383</v>
      </c>
      <c r="S299" s="64">
        <v>45383</v>
      </c>
      <c r="T299" s="64">
        <v>45383</v>
      </c>
      <c r="U299" s="64" t="s">
        <v>76</v>
      </c>
      <c r="V299" s="64" t="s">
        <v>52</v>
      </c>
      <c r="W299" s="66">
        <f t="shared" ca="1" si="10"/>
        <v>26</v>
      </c>
      <c r="X29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20-29</v>
      </c>
      <c r="Y299" s="64" t="s">
        <v>3015</v>
      </c>
      <c r="Z299" s="64" t="s">
        <v>4012</v>
      </c>
      <c r="AA299" s="65" t="s">
        <v>4013</v>
      </c>
      <c r="AB299" s="64" t="s">
        <v>709</v>
      </c>
      <c r="AC299" s="64" t="s">
        <v>103</v>
      </c>
      <c r="AD299" s="65" t="s">
        <v>4014</v>
      </c>
      <c r="AE299" s="64" t="s">
        <v>2991</v>
      </c>
      <c r="AF299" s="64" t="s">
        <v>4000</v>
      </c>
      <c r="AG299" s="64" t="s">
        <v>66</v>
      </c>
      <c r="AH299" s="64" t="s">
        <v>66</v>
      </c>
      <c r="AI299" s="64" t="s">
        <v>66</v>
      </c>
      <c r="AJ299" s="65" t="s">
        <v>4015</v>
      </c>
      <c r="AK299" s="64" t="s">
        <v>4016</v>
      </c>
      <c r="AL299" s="64" t="s">
        <v>4017</v>
      </c>
      <c r="AM299" s="64" t="s">
        <v>4018</v>
      </c>
      <c r="AN299" s="64" t="s">
        <v>4019</v>
      </c>
      <c r="AO299" s="64" t="s">
        <v>66</v>
      </c>
      <c r="AP299" s="85" t="s">
        <v>4020</v>
      </c>
    </row>
    <row r="300" spans="1:42" ht="18.75">
      <c r="A300" s="139">
        <v>299</v>
      </c>
      <c r="B300" s="66" t="s">
        <v>4021</v>
      </c>
      <c r="C300" s="66" t="s">
        <v>3807</v>
      </c>
      <c r="D300" s="66"/>
      <c r="E300" s="66" t="s">
        <v>3807</v>
      </c>
      <c r="F300" s="66" t="s">
        <v>1138</v>
      </c>
      <c r="G300" s="66" t="s">
        <v>3421</v>
      </c>
      <c r="H300" s="66" t="s">
        <v>612</v>
      </c>
      <c r="I300" s="71">
        <v>4</v>
      </c>
      <c r="J300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300" s="71" t="s">
        <v>2956</v>
      </c>
      <c r="L300" s="71" t="str">
        <f>IF(Table1[[#This Row],[LAST]]="","Unfilled","Filled")</f>
        <v>Filled</v>
      </c>
      <c r="M300" s="66" t="s">
        <v>4022</v>
      </c>
      <c r="N300" s="66" t="s">
        <v>4023</v>
      </c>
      <c r="O300" s="66" t="s">
        <v>4024</v>
      </c>
      <c r="P300" s="63"/>
      <c r="Q300" s="64">
        <v>31729</v>
      </c>
      <c r="R300" s="64">
        <v>45233</v>
      </c>
      <c r="S300" s="64">
        <v>45233</v>
      </c>
      <c r="T300" s="64">
        <v>45233</v>
      </c>
      <c r="U300" s="64" t="s">
        <v>51</v>
      </c>
      <c r="V300" s="64" t="s">
        <v>77</v>
      </c>
      <c r="W300" s="66">
        <f t="shared" ca="1" si="10"/>
        <v>39</v>
      </c>
      <c r="X30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00" s="64" t="s">
        <v>1465</v>
      </c>
      <c r="Z300" s="64" t="s">
        <v>4025</v>
      </c>
      <c r="AA300" s="65" t="s">
        <v>1492</v>
      </c>
      <c r="AB300" s="64" t="s">
        <v>190</v>
      </c>
      <c r="AC300" s="64" t="s">
        <v>103</v>
      </c>
      <c r="AD300" s="65">
        <v>4102</v>
      </c>
      <c r="AE300" s="64" t="s">
        <v>2991</v>
      </c>
      <c r="AF300" s="64" t="s">
        <v>4000</v>
      </c>
      <c r="AG300" s="64" t="s">
        <v>66</v>
      </c>
      <c r="AH300" s="64" t="s">
        <v>66</v>
      </c>
      <c r="AI300" s="64" t="s">
        <v>66</v>
      </c>
      <c r="AJ300" s="65" t="s">
        <v>4026</v>
      </c>
      <c r="AK300" s="64" t="s">
        <v>4027</v>
      </c>
      <c r="AL300" s="64" t="s">
        <v>4028</v>
      </c>
      <c r="AM300" s="64" t="s">
        <v>4029</v>
      </c>
      <c r="AN300" s="64" t="s">
        <v>4030</v>
      </c>
      <c r="AO300" s="64" t="s">
        <v>4031</v>
      </c>
      <c r="AP300" s="64" t="s">
        <v>4032</v>
      </c>
    </row>
    <row r="301" spans="1:42" ht="18.75">
      <c r="A301" s="139">
        <v>300</v>
      </c>
      <c r="B301" s="143" t="s">
        <v>4033</v>
      </c>
      <c r="C301" s="143" t="s">
        <v>3807</v>
      </c>
      <c r="D301" s="143"/>
      <c r="E301" s="143" t="s">
        <v>3807</v>
      </c>
      <c r="F301" s="66" t="s">
        <v>1138</v>
      </c>
      <c r="G301" s="143" t="s">
        <v>3421</v>
      </c>
      <c r="H301" s="66" t="s">
        <v>612</v>
      </c>
      <c r="I301" s="145">
        <v>4</v>
      </c>
      <c r="J30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301" s="71" t="s">
        <v>2956</v>
      </c>
      <c r="L301" s="145" t="str">
        <f>IF(Table1[[#This Row],[LAST]]="","Unfilled","Filled")</f>
        <v>Filled</v>
      </c>
      <c r="M301" s="146" t="s">
        <v>4034</v>
      </c>
      <c r="N301" s="146" t="s">
        <v>4035</v>
      </c>
      <c r="O301" s="143" t="s">
        <v>4036</v>
      </c>
      <c r="P301" s="146"/>
      <c r="Q301" s="147">
        <v>28641</v>
      </c>
      <c r="R301" s="147">
        <v>45383</v>
      </c>
      <c r="S301" s="147">
        <v>45383</v>
      </c>
      <c r="T301" s="147">
        <v>45383</v>
      </c>
      <c r="U301" s="147" t="s">
        <v>76</v>
      </c>
      <c r="V301" s="147" t="s">
        <v>77</v>
      </c>
      <c r="W301" s="143">
        <f t="shared" ca="1" si="10"/>
        <v>48</v>
      </c>
      <c r="X301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1" s="147" t="s">
        <v>1052</v>
      </c>
      <c r="Z301" s="148">
        <v>298</v>
      </c>
      <c r="AA301" s="148" t="s">
        <v>2244</v>
      </c>
      <c r="AB301" s="147" t="s">
        <v>102</v>
      </c>
      <c r="AC301" s="147" t="s">
        <v>103</v>
      </c>
      <c r="AD301" s="148" t="s">
        <v>1106</v>
      </c>
      <c r="AE301" s="147" t="s">
        <v>2991</v>
      </c>
      <c r="AF301" s="147" t="s">
        <v>3450</v>
      </c>
      <c r="AG301" s="147" t="s">
        <v>66</v>
      </c>
      <c r="AH301" s="147" t="s">
        <v>66</v>
      </c>
      <c r="AI301" s="147" t="s">
        <v>66</v>
      </c>
      <c r="AJ301" s="148" t="s">
        <v>4037</v>
      </c>
      <c r="AK301" s="147" t="s">
        <v>4038</v>
      </c>
      <c r="AL301" s="147" t="s">
        <v>4039</v>
      </c>
      <c r="AM301" s="147" t="s">
        <v>4040</v>
      </c>
      <c r="AN301" s="147" t="s">
        <v>4041</v>
      </c>
      <c r="AO301" s="147" t="s">
        <v>66</v>
      </c>
      <c r="AP301" s="155" t="s">
        <v>4042</v>
      </c>
    </row>
    <row r="302" spans="1:42" ht="18.75">
      <c r="A302" s="139">
        <v>301</v>
      </c>
      <c r="B302" s="143" t="s">
        <v>4043</v>
      </c>
      <c r="C302" s="143" t="s">
        <v>3807</v>
      </c>
      <c r="D302" s="143"/>
      <c r="E302" s="143" t="s">
        <v>3807</v>
      </c>
      <c r="F302" s="66" t="s">
        <v>1138</v>
      </c>
      <c r="G302" s="143" t="s">
        <v>3421</v>
      </c>
      <c r="H302" s="66" t="s">
        <v>612</v>
      </c>
      <c r="I302" s="145">
        <v>4</v>
      </c>
      <c r="J302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17506</v>
      </c>
      <c r="K302" s="71" t="s">
        <v>2956</v>
      </c>
      <c r="L302" s="145" t="str">
        <f>IF(Table1[[#This Row],[LAST]]="","Unfilled","Filled")</f>
        <v>Filled</v>
      </c>
      <c r="M302" s="146" t="s">
        <v>4044</v>
      </c>
      <c r="N302" s="146" t="s">
        <v>4045</v>
      </c>
      <c r="O302" s="146" t="s">
        <v>4046</v>
      </c>
      <c r="P302" s="146"/>
      <c r="Q302" s="147">
        <v>31042</v>
      </c>
      <c r="R302" s="147">
        <v>45271</v>
      </c>
      <c r="S302" s="147">
        <v>45271</v>
      </c>
      <c r="T302" s="147">
        <v>45271</v>
      </c>
      <c r="U302" s="147" t="s">
        <v>76</v>
      </c>
      <c r="V302" s="147" t="s">
        <v>52</v>
      </c>
      <c r="W302" s="143">
        <f t="shared" ca="1" si="10"/>
        <v>41</v>
      </c>
      <c r="X302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2" s="147" t="s">
        <v>616</v>
      </c>
      <c r="Z302" s="147" t="s">
        <v>4047</v>
      </c>
      <c r="AA302" s="148" t="s">
        <v>2017</v>
      </c>
      <c r="AB302" s="147" t="s">
        <v>138</v>
      </c>
      <c r="AC302" s="147" t="s">
        <v>103</v>
      </c>
      <c r="AD302" s="148">
        <v>4114</v>
      </c>
      <c r="AE302" s="147" t="s">
        <v>2991</v>
      </c>
      <c r="AF302" s="147" t="s">
        <v>4000</v>
      </c>
      <c r="AG302" s="147" t="s">
        <v>66</v>
      </c>
      <c r="AH302" s="147" t="s">
        <v>66</v>
      </c>
      <c r="AI302" s="147" t="s">
        <v>66</v>
      </c>
      <c r="AJ302" s="148" t="s">
        <v>4048</v>
      </c>
      <c r="AK302" s="147" t="s">
        <v>4049</v>
      </c>
      <c r="AL302" s="147" t="s">
        <v>4050</v>
      </c>
      <c r="AM302" s="147" t="s">
        <v>4051</v>
      </c>
      <c r="AN302" s="147" t="s">
        <v>4052</v>
      </c>
      <c r="AO302" s="147" t="s">
        <v>66</v>
      </c>
      <c r="AP302" s="155" t="s">
        <v>4053</v>
      </c>
    </row>
    <row r="303" spans="1:42" ht="18.75">
      <c r="A303" s="139">
        <v>302</v>
      </c>
      <c r="B303" s="143" t="s">
        <v>4054</v>
      </c>
      <c r="C303" s="143" t="s">
        <v>4055</v>
      </c>
      <c r="D303" s="143"/>
      <c r="E303" s="143" t="s">
        <v>4056</v>
      </c>
      <c r="F303" s="143" t="s">
        <v>1017</v>
      </c>
      <c r="G303" s="143" t="s">
        <v>3293</v>
      </c>
      <c r="H303" s="66" t="s">
        <v>632</v>
      </c>
      <c r="I303" s="145">
        <v>3</v>
      </c>
      <c r="J303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3" s="71" t="s">
        <v>2956</v>
      </c>
      <c r="L303" s="145" t="str">
        <f>IF(Table1[[#This Row],[LAST]]="","Unfilled","Filled")</f>
        <v>Filled</v>
      </c>
      <c r="M303" s="143" t="s">
        <v>4057</v>
      </c>
      <c r="N303" s="143" t="s">
        <v>1463</v>
      </c>
      <c r="O303" s="143" t="s">
        <v>4058</v>
      </c>
      <c r="P303" s="146"/>
      <c r="Q303" s="147">
        <v>30164</v>
      </c>
      <c r="R303" s="147">
        <v>45264</v>
      </c>
      <c r="S303" s="147">
        <v>45264</v>
      </c>
      <c r="T303" s="147">
        <v>45264</v>
      </c>
      <c r="U303" s="147" t="s">
        <v>76</v>
      </c>
      <c r="V303" s="147" t="s">
        <v>77</v>
      </c>
      <c r="W303" s="143">
        <f t="shared" ca="1" si="10"/>
        <v>44</v>
      </c>
      <c r="X303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3" s="147" t="s">
        <v>154</v>
      </c>
      <c r="Z303" s="147" t="s">
        <v>4059</v>
      </c>
      <c r="AA303" s="148" t="s">
        <v>3320</v>
      </c>
      <c r="AB303" s="147" t="s">
        <v>190</v>
      </c>
      <c r="AC303" s="147" t="s">
        <v>103</v>
      </c>
      <c r="AD303" s="148">
        <v>4102</v>
      </c>
      <c r="AE303" s="147" t="s">
        <v>3117</v>
      </c>
      <c r="AF303" s="147" t="s">
        <v>4060</v>
      </c>
      <c r="AG303" s="147" t="s">
        <v>66</v>
      </c>
      <c r="AH303" s="147" t="s">
        <v>66</v>
      </c>
      <c r="AI303" s="147" t="s">
        <v>66</v>
      </c>
      <c r="AJ303" s="148" t="s">
        <v>4061</v>
      </c>
      <c r="AK303" s="147" t="s">
        <v>4062</v>
      </c>
      <c r="AL303" s="147" t="s">
        <v>4063</v>
      </c>
      <c r="AM303" s="147" t="s">
        <v>4064</v>
      </c>
      <c r="AN303" s="147" t="s">
        <v>4065</v>
      </c>
      <c r="AO303" s="147" t="s">
        <v>4066</v>
      </c>
      <c r="AP303" s="147" t="s">
        <v>4067</v>
      </c>
    </row>
    <row r="304" spans="1:42" ht="18.75">
      <c r="A304" s="139">
        <v>303</v>
      </c>
      <c r="B304" s="143" t="s">
        <v>4068</v>
      </c>
      <c r="C304" s="143" t="s">
        <v>4056</v>
      </c>
      <c r="D304" s="143"/>
      <c r="E304" s="143" t="s">
        <v>4056</v>
      </c>
      <c r="F304" s="143" t="s">
        <v>4069</v>
      </c>
      <c r="G304" s="143" t="s">
        <v>3293</v>
      </c>
      <c r="H304" s="66" t="s">
        <v>632</v>
      </c>
      <c r="I304" s="145">
        <v>3</v>
      </c>
      <c r="J304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4" s="71" t="s">
        <v>2956</v>
      </c>
      <c r="L304" s="145" t="str">
        <f>IF(Table1[[#This Row],[LAST]]="","Unfilled","Filled")</f>
        <v>Filled</v>
      </c>
      <c r="M304" s="143" t="s">
        <v>682</v>
      </c>
      <c r="N304" s="143" t="s">
        <v>4070</v>
      </c>
      <c r="O304" s="143" t="s">
        <v>4071</v>
      </c>
      <c r="P304" s="146"/>
      <c r="Q304" s="147">
        <v>26327</v>
      </c>
      <c r="R304" s="147">
        <v>45148</v>
      </c>
      <c r="S304" s="147">
        <v>45148</v>
      </c>
      <c r="T304" s="147">
        <v>45148</v>
      </c>
      <c r="U304" s="147" t="s">
        <v>51</v>
      </c>
      <c r="V304" s="147" t="s">
        <v>77</v>
      </c>
      <c r="W304" s="143">
        <f t="shared" ca="1" si="10"/>
        <v>54</v>
      </c>
      <c r="X304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Y304" s="147" t="s">
        <v>1465</v>
      </c>
      <c r="Z304" s="147" t="s">
        <v>4072</v>
      </c>
      <c r="AA304" s="148" t="s">
        <v>1039</v>
      </c>
      <c r="AB304" s="147" t="s">
        <v>190</v>
      </c>
      <c r="AC304" s="147" t="s">
        <v>103</v>
      </c>
      <c r="AD304" s="148">
        <v>4102</v>
      </c>
      <c r="AE304" s="147" t="s">
        <v>619</v>
      </c>
      <c r="AF304" s="147" t="s">
        <v>4073</v>
      </c>
      <c r="AG304" s="147" t="s">
        <v>66</v>
      </c>
      <c r="AH304" s="147" t="s">
        <v>66</v>
      </c>
      <c r="AI304" s="147" t="s">
        <v>66</v>
      </c>
      <c r="AJ304" s="148" t="s">
        <v>1307</v>
      </c>
      <c r="AK304" s="147" t="s">
        <v>4074</v>
      </c>
      <c r="AL304" s="147" t="s">
        <v>4075</v>
      </c>
      <c r="AM304" s="147" t="s">
        <v>4076</v>
      </c>
      <c r="AN304" s="147" t="s">
        <v>4077</v>
      </c>
      <c r="AO304" s="147" t="s">
        <v>66</v>
      </c>
      <c r="AP304" s="147" t="s">
        <v>4078</v>
      </c>
    </row>
    <row r="305" spans="1:42" ht="18.75">
      <c r="A305" s="139">
        <v>304</v>
      </c>
      <c r="B305" s="143" t="s">
        <v>4079</v>
      </c>
      <c r="C305" s="143" t="s">
        <v>4055</v>
      </c>
      <c r="D305" s="143"/>
      <c r="E305" s="143" t="s">
        <v>4056</v>
      </c>
      <c r="F305" s="143" t="s">
        <v>938</v>
      </c>
      <c r="G305" s="143" t="s">
        <v>3293</v>
      </c>
      <c r="H305" s="66" t="s">
        <v>46</v>
      </c>
      <c r="I305" s="145">
        <v>3</v>
      </c>
      <c r="J305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5" s="71" t="s">
        <v>2956</v>
      </c>
      <c r="L305" s="145" t="str">
        <f>IF(Table1[[#This Row],[LAST]]="","Unfilled","Filled")</f>
        <v>Filled</v>
      </c>
      <c r="M305" s="143" t="s">
        <v>4080</v>
      </c>
      <c r="N305" s="143" t="s">
        <v>4081</v>
      </c>
      <c r="O305" s="143" t="s">
        <v>739</v>
      </c>
      <c r="P305" s="146"/>
      <c r="Q305" s="147">
        <v>32090</v>
      </c>
      <c r="R305" s="147">
        <v>44874</v>
      </c>
      <c r="S305" s="147">
        <v>44874</v>
      </c>
      <c r="T305" s="147">
        <v>44874</v>
      </c>
      <c r="U305" s="147" t="s">
        <v>51</v>
      </c>
      <c r="V305" s="147" t="s">
        <v>52</v>
      </c>
      <c r="W305" s="143">
        <f t="shared" ca="1" si="10"/>
        <v>38</v>
      </c>
      <c r="X305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Y305" s="147" t="s">
        <v>56</v>
      </c>
      <c r="Z305" s="147" t="s">
        <v>4082</v>
      </c>
      <c r="AA305" s="148" t="s">
        <v>3483</v>
      </c>
      <c r="AB305" s="147" t="s">
        <v>237</v>
      </c>
      <c r="AC305" s="147" t="s">
        <v>103</v>
      </c>
      <c r="AD305" s="148">
        <v>4107</v>
      </c>
      <c r="AE305" s="147" t="s">
        <v>3427</v>
      </c>
      <c r="AF305" s="147" t="s">
        <v>66</v>
      </c>
      <c r="AG305" s="147" t="s">
        <v>66</v>
      </c>
      <c r="AH305" s="147" t="s">
        <v>66</v>
      </c>
      <c r="AI305" s="147" t="s">
        <v>66</v>
      </c>
      <c r="AJ305" s="148" t="s">
        <v>4083</v>
      </c>
      <c r="AK305" s="147" t="s">
        <v>4084</v>
      </c>
      <c r="AL305" s="147" t="s">
        <v>4085</v>
      </c>
      <c r="AM305" s="147" t="s">
        <v>4086</v>
      </c>
      <c r="AN305" s="147" t="s">
        <v>4087</v>
      </c>
      <c r="AO305" s="147" t="s">
        <v>4088</v>
      </c>
      <c r="AP305" s="147" t="s">
        <v>4089</v>
      </c>
    </row>
    <row r="306" spans="1:42" ht="18.75">
      <c r="A306" s="139">
        <v>305</v>
      </c>
      <c r="B306" s="143" t="s">
        <v>4090</v>
      </c>
      <c r="C306" s="143" t="s">
        <v>4056</v>
      </c>
      <c r="D306" s="143"/>
      <c r="E306" s="143" t="s">
        <v>4056</v>
      </c>
      <c r="F306" s="143" t="s">
        <v>1065</v>
      </c>
      <c r="G306" s="143" t="s">
        <v>3293</v>
      </c>
      <c r="H306" s="66" t="s">
        <v>46</v>
      </c>
      <c r="I306" s="145">
        <v>3</v>
      </c>
      <c r="J306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6" s="71" t="s">
        <v>2956</v>
      </c>
      <c r="L306" s="145" t="str">
        <f>IF(Table1[[#This Row],[LAST]]="","Unfilled","Filled")</f>
        <v>Filled</v>
      </c>
      <c r="M306" s="143" t="s">
        <v>2872</v>
      </c>
      <c r="N306" s="143" t="s">
        <v>4091</v>
      </c>
      <c r="O306" s="143" t="s">
        <v>4092</v>
      </c>
      <c r="P306" s="146"/>
      <c r="Q306" s="147">
        <v>28657</v>
      </c>
      <c r="R306" s="147">
        <v>45147</v>
      </c>
      <c r="S306" s="147">
        <v>45147</v>
      </c>
      <c r="T306" s="147">
        <v>45147</v>
      </c>
      <c r="U306" s="147" t="s">
        <v>51</v>
      </c>
      <c r="V306" s="147" t="s">
        <v>77</v>
      </c>
      <c r="W306" s="143">
        <f t="shared" ca="1" si="10"/>
        <v>48</v>
      </c>
      <c r="X306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6" s="147" t="s">
        <v>3627</v>
      </c>
      <c r="Z306" s="147">
        <v>595</v>
      </c>
      <c r="AA306" s="148" t="s">
        <v>4093</v>
      </c>
      <c r="AB306" s="147" t="s">
        <v>1184</v>
      </c>
      <c r="AC306" s="147" t="s">
        <v>103</v>
      </c>
      <c r="AD306" s="148">
        <v>4104</v>
      </c>
      <c r="AE306" s="147" t="s">
        <v>3427</v>
      </c>
      <c r="AF306" s="147" t="s">
        <v>66</v>
      </c>
      <c r="AG306" s="147" t="s">
        <v>66</v>
      </c>
      <c r="AH306" s="147" t="s">
        <v>66</v>
      </c>
      <c r="AI306" s="147" t="s">
        <v>66</v>
      </c>
      <c r="AJ306" s="148" t="s">
        <v>3856</v>
      </c>
      <c r="AK306" s="147" t="s">
        <v>4094</v>
      </c>
      <c r="AL306" s="147" t="s">
        <v>4095</v>
      </c>
      <c r="AM306" s="147" t="s">
        <v>4096</v>
      </c>
      <c r="AN306" s="147" t="s">
        <v>4097</v>
      </c>
      <c r="AO306" s="147" t="s">
        <v>66</v>
      </c>
      <c r="AP306" s="147" t="s">
        <v>4098</v>
      </c>
    </row>
    <row r="307" spans="1:42" ht="18.75">
      <c r="A307" s="139">
        <v>306</v>
      </c>
      <c r="B307" s="143" t="s">
        <v>4099</v>
      </c>
      <c r="C307" s="143" t="s">
        <v>4100</v>
      </c>
      <c r="D307" s="143"/>
      <c r="E307" s="143" t="s">
        <v>4100</v>
      </c>
      <c r="F307" s="143" t="s">
        <v>3141</v>
      </c>
      <c r="G307" s="143" t="s">
        <v>4101</v>
      </c>
      <c r="H307" s="66" t="s">
        <v>632</v>
      </c>
      <c r="I307" s="145">
        <v>3</v>
      </c>
      <c r="J307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16486</v>
      </c>
      <c r="K307" s="71" t="s">
        <v>2956</v>
      </c>
      <c r="L307" s="145" t="str">
        <f>IF(Table1[[#This Row],[LAST]]="","Unfilled","Filled")</f>
        <v>Filled</v>
      </c>
      <c r="M307" s="146" t="s">
        <v>4102</v>
      </c>
      <c r="N307" s="146" t="s">
        <v>4103</v>
      </c>
      <c r="O307" s="146" t="s">
        <v>4104</v>
      </c>
      <c r="P307" s="146"/>
      <c r="Q307" s="147">
        <v>28277</v>
      </c>
      <c r="R307" s="147">
        <v>44725</v>
      </c>
      <c r="S307" s="147">
        <v>44725</v>
      </c>
      <c r="T307" s="147">
        <v>44725</v>
      </c>
      <c r="U307" s="147" t="s">
        <v>51</v>
      </c>
      <c r="V307" s="147" t="s">
        <v>77</v>
      </c>
      <c r="W307" s="143">
        <f t="shared" ca="1" si="10"/>
        <v>49</v>
      </c>
      <c r="X307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Y307" s="147" t="s">
        <v>4105</v>
      </c>
      <c r="Z307" s="147" t="s">
        <v>4106</v>
      </c>
      <c r="AA307" s="148" t="s">
        <v>1054</v>
      </c>
      <c r="AB307" s="147" t="s">
        <v>190</v>
      </c>
      <c r="AC307" s="147" t="s">
        <v>103</v>
      </c>
      <c r="AD307" s="148">
        <v>4102</v>
      </c>
      <c r="AE307" s="147" t="s">
        <v>2991</v>
      </c>
      <c r="AF307" s="147" t="s">
        <v>4000</v>
      </c>
      <c r="AG307" s="147" t="s">
        <v>66</v>
      </c>
      <c r="AH307" s="147" t="s">
        <v>66</v>
      </c>
      <c r="AI307" s="147" t="s">
        <v>66</v>
      </c>
      <c r="AJ307" s="148" t="s">
        <v>4107</v>
      </c>
      <c r="AK307" s="147" t="s">
        <v>4108</v>
      </c>
      <c r="AL307" s="147" t="s">
        <v>4109</v>
      </c>
      <c r="AM307" s="147" t="s">
        <v>4110</v>
      </c>
      <c r="AN307" s="147" t="s">
        <v>4111</v>
      </c>
      <c r="AO307" s="147" t="s">
        <v>66</v>
      </c>
      <c r="AP307" s="147" t="s">
        <v>4112</v>
      </c>
    </row>
    <row r="308" spans="1:42" ht="18.75">
      <c r="A308" s="139">
        <v>307</v>
      </c>
      <c r="B308" s="143" t="s">
        <v>4113</v>
      </c>
      <c r="C308" s="143" t="s">
        <v>4114</v>
      </c>
      <c r="D308" s="143"/>
      <c r="E308" s="66" t="s">
        <v>4114</v>
      </c>
      <c r="F308" s="66" t="s">
        <v>3141</v>
      </c>
      <c r="G308" s="66" t="s">
        <v>4114</v>
      </c>
      <c r="H308" s="66" t="s">
        <v>632</v>
      </c>
      <c r="I308" s="145">
        <v>2</v>
      </c>
      <c r="J308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15522</v>
      </c>
      <c r="K308" s="71" t="s">
        <v>2956</v>
      </c>
      <c r="L308" s="145" t="str">
        <f>IF(Table1[[#This Row],[LAST]]="","Unfilled","Filled")</f>
        <v>Filled</v>
      </c>
      <c r="M308" s="146" t="s">
        <v>4115</v>
      </c>
      <c r="N308" s="146" t="s">
        <v>4116</v>
      </c>
      <c r="O308" s="146" t="s">
        <v>1725</v>
      </c>
      <c r="P308" s="146"/>
      <c r="Q308" s="147">
        <v>24267</v>
      </c>
      <c r="R308" s="147">
        <v>45273</v>
      </c>
      <c r="S308" s="147">
        <v>45273</v>
      </c>
      <c r="T308" s="147">
        <v>45273</v>
      </c>
      <c r="U308" s="147" t="s">
        <v>51</v>
      </c>
      <c r="V308" s="147" t="s">
        <v>77</v>
      </c>
      <c r="W308" s="143">
        <f t="shared" ca="1" si="10"/>
        <v>60</v>
      </c>
      <c r="X308" s="143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60 and above</v>
      </c>
      <c r="Y308" s="147" t="s">
        <v>154</v>
      </c>
      <c r="Z308" s="147" t="s">
        <v>4117</v>
      </c>
      <c r="AA308" s="148" t="s">
        <v>4118</v>
      </c>
      <c r="AB308" s="147" t="s">
        <v>138</v>
      </c>
      <c r="AC308" s="147" t="s">
        <v>103</v>
      </c>
      <c r="AD308" s="148">
        <v>4114</v>
      </c>
      <c r="AE308" s="147" t="s">
        <v>3427</v>
      </c>
      <c r="AF308" s="147" t="s">
        <v>66</v>
      </c>
      <c r="AG308" s="147" t="s">
        <v>66</v>
      </c>
      <c r="AH308" s="147" t="s">
        <v>66</v>
      </c>
      <c r="AI308" s="147" t="s">
        <v>66</v>
      </c>
      <c r="AJ308" s="148" t="s">
        <v>4119</v>
      </c>
      <c r="AK308" s="147" t="s">
        <v>4120</v>
      </c>
      <c r="AL308" s="147" t="s">
        <v>4121</v>
      </c>
      <c r="AM308" s="147" t="s">
        <v>4122</v>
      </c>
      <c r="AN308" s="147" t="s">
        <v>4123</v>
      </c>
      <c r="AO308" s="147" t="s">
        <v>66</v>
      </c>
      <c r="AP308" s="155" t="s">
        <v>4124</v>
      </c>
    </row>
    <row r="320" spans="1:42">
      <c r="AM320" t="s">
        <v>802</v>
      </c>
    </row>
  </sheetData>
  <hyperlinks>
    <hyperlink ref="AP2" r:id="rId1" xr:uid="{00000000-0004-0000-0000-000000000000}"/>
    <hyperlink ref="AP4" r:id="rId2" xr:uid="{00000000-0004-0000-0000-000001000000}"/>
    <hyperlink ref="AP5" r:id="rId3" xr:uid="{00000000-0004-0000-0000-000002000000}"/>
    <hyperlink ref="AP141" r:id="rId4" xr:uid="{00000000-0004-0000-0000-000003000000}"/>
    <hyperlink ref="AP120" r:id="rId5" xr:uid="{00000000-0004-0000-0000-000004000000}"/>
    <hyperlink ref="AP235" r:id="rId6" xr:uid="{00000000-0004-0000-0000-000005000000}"/>
    <hyperlink ref="AP189" r:id="rId7" xr:uid="{00000000-0004-0000-0000-000006000000}"/>
    <hyperlink ref="AP222" r:id="rId8" xr:uid="{00000000-0004-0000-0000-000007000000}"/>
    <hyperlink ref="AP53" r:id="rId9" xr:uid="{00000000-0004-0000-0000-000008000000}"/>
    <hyperlink ref="AP197" r:id="rId10" xr:uid="{00000000-0004-0000-0000-000009000000}"/>
    <hyperlink ref="AP8" r:id="rId11" xr:uid="{00000000-0004-0000-0000-00000A000000}"/>
    <hyperlink ref="AP302" r:id="rId12" xr:uid="{00000000-0004-0000-0000-00000B000000}"/>
    <hyperlink ref="AP158" r:id="rId13" xr:uid="{00000000-0004-0000-0000-00000C000000}"/>
    <hyperlink ref="AP159" r:id="rId14" xr:uid="{00000000-0004-0000-0000-00000D000000}"/>
    <hyperlink ref="AP284" r:id="rId15" xr:uid="{00000000-0004-0000-0000-00000E000000}"/>
    <hyperlink ref="AP46" r:id="rId16" xr:uid="{00000000-0004-0000-0000-00000F000000}"/>
    <hyperlink ref="AP156" r:id="rId17" xr:uid="{00000000-0004-0000-0000-000010000000}"/>
    <hyperlink ref="AP131" r:id="rId18" xr:uid="{00000000-0004-0000-0000-000011000000}"/>
    <hyperlink ref="AP282" r:id="rId19" xr:uid="{00000000-0004-0000-0000-000012000000}"/>
    <hyperlink ref="AP299" r:id="rId20" xr:uid="{00000000-0004-0000-0000-000013000000}"/>
    <hyperlink ref="AP301" r:id="rId21" xr:uid="{00000000-0004-0000-0000-000014000000}"/>
    <hyperlink ref="AP172" r:id="rId22" xr:uid="{00000000-0004-0000-0000-000015000000}"/>
    <hyperlink ref="AP283" r:id="rId23" xr:uid="{00000000-0004-0000-0000-000016000000}"/>
    <hyperlink ref="AP41" r:id="rId24" xr:uid="{00000000-0004-0000-0000-000017000000}"/>
    <hyperlink ref="AP49" r:id="rId25" xr:uid="{00000000-0004-0000-0000-000018000000}"/>
    <hyperlink ref="AP51" r:id="rId26" xr:uid="{00000000-0004-0000-0000-000019000000}"/>
    <hyperlink ref="AP231" r:id="rId27" xr:uid="{00000000-0004-0000-0000-00001A000000}"/>
    <hyperlink ref="AP171" r:id="rId28" xr:uid="{00000000-0004-0000-0000-00001B000000}"/>
    <hyperlink ref="AP164" r:id="rId29" xr:uid="{00000000-0004-0000-0000-00001C000000}"/>
    <hyperlink ref="AP13" r:id="rId30" xr:uid="{00000000-0004-0000-0000-00001D000000}"/>
    <hyperlink ref="AP288" r:id="rId31" xr:uid="{00000000-0004-0000-0000-00001E000000}"/>
    <hyperlink ref="AP196" r:id="rId32" xr:uid="{00000000-0004-0000-0000-00001F000000}"/>
    <hyperlink ref="AP138" r:id="rId33" xr:uid="{00000000-0004-0000-0000-000020000000}"/>
    <hyperlink ref="AP121" r:id="rId34" xr:uid="{00000000-0004-0000-0000-000021000000}"/>
    <hyperlink ref="AP60" r:id="rId35" xr:uid="{00000000-0004-0000-0000-000022000000}"/>
    <hyperlink ref="AP65" r:id="rId36" xr:uid="{00000000-0004-0000-0000-000023000000}"/>
    <hyperlink ref="AP204" r:id="rId37" xr:uid="{00000000-0004-0000-0000-000024000000}"/>
    <hyperlink ref="AP217" r:id="rId38" xr:uid="{00000000-0004-0000-0000-000025000000}"/>
    <hyperlink ref="AP228" r:id="rId39" xr:uid="{00000000-0004-0000-0000-000026000000}"/>
    <hyperlink ref="AP245" r:id="rId40" xr:uid="{00000000-0004-0000-0000-000027000000}"/>
    <hyperlink ref="AP275" r:id="rId41" xr:uid="{00000000-0004-0000-0000-000028000000}"/>
    <hyperlink ref="AP308" r:id="rId42" xr:uid="{00000000-0004-0000-0000-000029000000}"/>
    <hyperlink ref="AP127" r:id="rId43" xr:uid="{00000000-0004-0000-0000-00002A000000}"/>
    <hyperlink ref="AP292" r:id="rId44" xr:uid="{00000000-0004-0000-0000-00002B000000}"/>
    <hyperlink ref="AP247" r:id="rId45" xr:uid="{00000000-0004-0000-0000-00002C000000}"/>
    <hyperlink ref="AP31" r:id="rId46" xr:uid="{00000000-0004-0000-0000-00002D000000}"/>
    <hyperlink ref="AP25" r:id="rId47" xr:uid="{00000000-0004-0000-0000-00002E000000}"/>
    <hyperlink ref="AP281" r:id="rId48" xr:uid="{00000000-0004-0000-0000-00002F000000}"/>
    <hyperlink ref="AP18" r:id="rId49" xr:uid="{00000000-0004-0000-0000-000030000000}"/>
    <hyperlink ref="AP43" r:id="rId50" xr:uid="{00000000-0004-0000-0000-000031000000}"/>
    <hyperlink ref="AP170" r:id="rId51" xr:uid="{00000000-0004-0000-0000-000032000000}"/>
    <hyperlink ref="AP167" r:id="rId52" xr:uid="{00000000-0004-0000-0000-000033000000}"/>
    <hyperlink ref="AP165" r:id="rId53" xr:uid="{00000000-0004-0000-0000-000034000000}"/>
    <hyperlink ref="AP179" r:id="rId54" xr:uid="{00000000-0004-0000-0000-000035000000}"/>
    <hyperlink ref="AP27" r:id="rId55" xr:uid="{00000000-0004-0000-0000-000036000000}"/>
    <hyperlink ref="AP136" r:id="rId56" xr:uid="{00000000-0004-0000-0000-000037000000}"/>
    <hyperlink ref="AP216" r:id="rId57" xr:uid="{00000000-0004-0000-0000-000038000000}"/>
    <hyperlink ref="AP144" r:id="rId58" xr:uid="{00000000-0004-0000-0000-000039000000}"/>
    <hyperlink ref="AP45" r:id="rId59" xr:uid="{00000000-0004-0000-0000-00003A000000}"/>
    <hyperlink ref="AP40" r:id="rId60" xr:uid="{00000000-0004-0000-0000-00003B000000}"/>
    <hyperlink ref="AP233" r:id="rId61" xr:uid="{00000000-0004-0000-0000-00003C000000}"/>
    <hyperlink ref="AP19" r:id="rId62" xr:uid="{00000000-0004-0000-0000-00003D000000}"/>
    <hyperlink ref="AP36" r:id="rId63" xr:uid="{00000000-0004-0000-0000-00003E000000}"/>
    <hyperlink ref="AP297" r:id="rId64" xr:uid="{00000000-0004-0000-0000-00003F000000}"/>
    <hyperlink ref="AP54" r:id="rId65" xr:uid="{00000000-0004-0000-0000-000040000000}"/>
    <hyperlink ref="AP130" r:id="rId66" xr:uid="{00000000-0004-0000-0000-000041000000}"/>
    <hyperlink ref="AP83" r:id="rId67" xr:uid="{00000000-0004-0000-0000-000042000000}"/>
    <hyperlink ref="AP86" r:id="rId68" xr:uid="{00000000-0004-0000-0000-000043000000}"/>
    <hyperlink ref="AP248" r:id="rId69" xr:uid="{00000000-0004-0000-0000-000044000000}"/>
    <hyperlink ref="AP249" r:id="rId70" xr:uid="{00000000-0004-0000-0000-000045000000}"/>
    <hyperlink ref="AP129" r:id="rId71" xr:uid="{00000000-0004-0000-0000-000046000000}"/>
    <hyperlink ref="AP205" r:id="rId72" xr:uid="{00000000-0004-0000-0000-000047000000}"/>
    <hyperlink ref="AP191" r:id="rId73" xr:uid="{00000000-0004-0000-0000-000048000000}"/>
    <hyperlink ref="AP192" r:id="rId74" xr:uid="{00000000-0004-0000-0000-000049000000}"/>
    <hyperlink ref="AP193" r:id="rId75" xr:uid="{00000000-0004-0000-0000-00004A000000}"/>
    <hyperlink ref="AP194" r:id="rId76" xr:uid="{00000000-0004-0000-0000-00004B000000}"/>
    <hyperlink ref="AP195" r:id="rId77" xr:uid="{00000000-0004-0000-0000-00004C000000}"/>
    <hyperlink ref="AP190" r:id="rId78" xr:uid="{00000000-0004-0000-0000-00004D000000}"/>
    <hyperlink ref="AP174" r:id="rId79" xr:uid="{00000000-0004-0000-0000-00004E000000}"/>
    <hyperlink ref="AP175" r:id="rId80" xr:uid="{00000000-0004-0000-0000-00004F000000}"/>
    <hyperlink ref="AP177" r:id="rId81" xr:uid="{00000000-0004-0000-0000-000050000000}"/>
    <hyperlink ref="AP176" r:id="rId82" xr:uid="{00000000-0004-0000-0000-000051000000}"/>
    <hyperlink ref="AP178" r:id="rId83" xr:uid="{00000000-0004-0000-0000-000052000000}"/>
    <hyperlink ref="AP173" r:id="rId84" xr:uid="{00000000-0004-0000-0000-000053000000}"/>
    <hyperlink ref="AP270" r:id="rId85" xr:uid="{00000000-0004-0000-0000-000054000000}"/>
    <hyperlink ref="AP11" r:id="rId86" xr:uid="{00000000-0004-0000-0000-000055000000}"/>
    <hyperlink ref="AP125" r:id="rId87" xr:uid="{00000000-0004-0000-0000-000056000000}"/>
    <hyperlink ref="AP21" r:id="rId88" xr:uid="{00000000-0004-0000-0000-000057000000}"/>
    <hyperlink ref="AP142" r:id="rId89" xr:uid="{00000000-0004-0000-0000-000058000000}"/>
    <hyperlink ref="AP137" r:id="rId90" xr:uid="{00000000-0004-0000-0000-000059000000}"/>
    <hyperlink ref="AP291" r:id="rId91" xr:uid="{00000000-0004-0000-0000-00005A000000}"/>
    <hyperlink ref="AP150" r:id="rId92" xr:uid="{00000000-0004-0000-0000-00005B000000}"/>
    <hyperlink ref="AP132" r:id="rId93" xr:uid="{00000000-0004-0000-0000-00005C000000}"/>
    <hyperlink ref="AP139" r:id="rId94" xr:uid="{00000000-0004-0000-0000-00005D000000}"/>
    <hyperlink ref="AP34" r:id="rId95" xr:uid="{00000000-0004-0000-0000-00005E000000}"/>
    <hyperlink ref="AP81" r:id="rId96" xr:uid="{00000000-0004-0000-0000-00005F000000}"/>
    <hyperlink ref="AP135" r:id="rId97" xr:uid="{00000000-0004-0000-0000-000060000000}"/>
    <hyperlink ref="AP148" r:id="rId98" xr:uid="{00000000-0004-0000-0000-000061000000}"/>
    <hyperlink ref="AP160" r:id="rId99" xr:uid="{00000000-0004-0000-0000-000062000000}"/>
    <hyperlink ref="AP181" r:id="rId100" xr:uid="{00000000-0004-0000-0000-000063000000}"/>
    <hyperlink ref="AP3" r:id="rId101" xr:uid="{00000000-0004-0000-0000-000064000000}"/>
    <hyperlink ref="AP118" r:id="rId102" xr:uid="{00000000-0004-0000-0000-000065000000}"/>
    <hyperlink ref="AP64" r:id="rId103" xr:uid="{00000000-0004-0000-0000-000066000000}"/>
    <hyperlink ref="AP230" r:id="rId104" xr:uid="{00000000-0004-0000-0000-000067000000}"/>
    <hyperlink ref="AP232" r:id="rId105" xr:uid="{00000000-0004-0000-0000-000068000000}"/>
  </hyperlinks>
  <pageMargins left="0.25" right="0.25" top="0.75" bottom="0.75" header="0.3" footer="0.3"/>
  <pageSetup paperSize="5" scale="49" orientation="landscape" verticalDpi="360" r:id="rId106"/>
  <legacyDrawing r:id="rId107"/>
  <tableParts count="1">
    <tablePart r:id="rId1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F154"/>
  <sheetViews>
    <sheetView view="pageBreakPreview" zoomScale="115" zoomScaleNormal="100" workbookViewId="0">
      <selection activeCell="BF25" sqref="BF25"/>
    </sheetView>
  </sheetViews>
  <sheetFormatPr defaultColWidth="9.140625" defaultRowHeight="15"/>
  <cols>
    <col min="1" max="27" width="2.42578125" customWidth="1"/>
    <col min="28" max="28" width="3.28515625" customWidth="1"/>
    <col min="29" max="41" width="2.42578125" customWidth="1"/>
    <col min="42" max="44" width="1.28515625" customWidth="1"/>
    <col min="45" max="672" width="2.42578125" customWidth="1"/>
  </cols>
  <sheetData>
    <row r="1" spans="2:84" ht="15.75">
      <c r="V1" s="114" t="s">
        <v>4125</v>
      </c>
    </row>
    <row r="2" spans="2:84" ht="15" customHeight="1">
      <c r="F2" s="115"/>
      <c r="G2" s="115"/>
      <c r="H2" s="115"/>
      <c r="I2" s="115"/>
      <c r="J2" s="115"/>
      <c r="V2" s="114" t="s">
        <v>4126</v>
      </c>
      <c r="AS2" s="171" t="s">
        <v>4127</v>
      </c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</row>
    <row r="3" spans="2:84" ht="15" customHeight="1">
      <c r="F3" s="115"/>
      <c r="G3" s="115"/>
      <c r="H3" s="115"/>
      <c r="I3" s="115"/>
      <c r="J3" s="115"/>
      <c r="V3" s="117" t="s">
        <v>4128</v>
      </c>
      <c r="AS3" s="172" t="s">
        <v>4129</v>
      </c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2"/>
      <c r="BS3" s="172"/>
      <c r="BT3" s="172"/>
      <c r="BU3" s="172"/>
      <c r="BV3" s="172"/>
      <c r="BW3" s="172"/>
      <c r="BX3" s="172"/>
      <c r="BY3" s="172"/>
      <c r="BZ3" s="172"/>
      <c r="CA3" s="172"/>
      <c r="CB3" s="172"/>
      <c r="CC3" s="172"/>
      <c r="CD3" s="172"/>
      <c r="CE3" s="172"/>
    </row>
    <row r="4" spans="2:84" ht="15" customHeight="1">
      <c r="F4" s="119"/>
      <c r="G4" s="119"/>
      <c r="H4" s="119"/>
      <c r="I4" s="119"/>
      <c r="J4" s="119"/>
      <c r="V4" s="120" t="s">
        <v>4130</v>
      </c>
    </row>
    <row r="5" spans="2:84" ht="15" customHeight="1">
      <c r="F5" s="121"/>
      <c r="G5" s="121"/>
      <c r="H5" s="121"/>
      <c r="I5" s="121"/>
      <c r="J5" s="121"/>
      <c r="V5" s="122" t="s">
        <v>4131</v>
      </c>
    </row>
    <row r="6" spans="2:84">
      <c r="F6" s="123"/>
      <c r="G6" s="123"/>
      <c r="H6" s="123"/>
      <c r="I6" s="123"/>
      <c r="J6" s="123"/>
      <c r="V6" s="122" t="s">
        <v>4132</v>
      </c>
    </row>
    <row r="7" spans="2:84">
      <c r="F7" s="123"/>
      <c r="G7" s="123"/>
      <c r="H7" s="123"/>
      <c r="I7" s="123"/>
      <c r="J7" s="123"/>
      <c r="V7" s="122"/>
    </row>
    <row r="8" spans="2:84" ht="25.5" customHeight="1">
      <c r="B8" s="172" t="s">
        <v>4133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24"/>
      <c r="X8" s="173" t="s">
        <v>4134</v>
      </c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25"/>
      <c r="AQ8" s="125"/>
      <c r="AR8" s="125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B8" s="174"/>
      <c r="CC8" s="174"/>
      <c r="CD8" s="174"/>
      <c r="CE8" s="174"/>
      <c r="CF8" s="174"/>
    </row>
    <row r="9" spans="2:84" ht="15.75" customHeight="1">
      <c r="B9" s="181" t="s">
        <v>4135</v>
      </c>
      <c r="C9" s="181"/>
      <c r="D9" s="181"/>
      <c r="E9" s="181"/>
      <c r="F9" s="181"/>
      <c r="G9" s="181"/>
      <c r="H9" s="181"/>
      <c r="I9" s="181"/>
      <c r="J9" s="181"/>
      <c r="K9" s="182">
        <f ca="1">TODAY()</f>
        <v>46252</v>
      </c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24"/>
      <c r="X9" s="116"/>
      <c r="Y9" s="116"/>
      <c r="Z9" s="116"/>
      <c r="AA9" s="116"/>
      <c r="AB9" s="172" t="s">
        <v>4135</v>
      </c>
      <c r="AC9" s="172"/>
      <c r="AD9" s="179">
        <f ca="1">TODAY()</f>
        <v>46252</v>
      </c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27"/>
      <c r="AP9" s="128"/>
      <c r="AQ9" s="128"/>
      <c r="AR9" s="128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</row>
    <row r="10" spans="2:84">
      <c r="H10" s="129"/>
    </row>
    <row r="11" spans="2:84" ht="15.75">
      <c r="H11" s="129"/>
      <c r="T11" s="120"/>
    </row>
    <row r="12" spans="2:84">
      <c r="H12" s="129"/>
      <c r="T12" s="129"/>
    </row>
    <row r="13" spans="2:84">
      <c r="T13" s="129"/>
    </row>
    <row r="14" spans="2:84">
      <c r="T14" s="129"/>
    </row>
    <row r="22" spans="2:56" ht="15.75">
      <c r="B22" s="172" t="s">
        <v>4136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18"/>
      <c r="AQ22" s="118"/>
      <c r="AR22" s="118"/>
    </row>
    <row r="23" spans="2:56" ht="15.75">
      <c r="B23" s="178" t="s">
        <v>4135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9">
        <f ca="1">TODAY()</f>
        <v>46252</v>
      </c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26"/>
      <c r="AQ23" s="126"/>
      <c r="AR23" s="126"/>
      <c r="BD23" t="s">
        <v>802</v>
      </c>
    </row>
    <row r="51" spans="2:52">
      <c r="B51" s="130" t="s">
        <v>4137</v>
      </c>
      <c r="Z51" s="130" t="s">
        <v>4138</v>
      </c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</row>
    <row r="52" spans="2:52"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</row>
    <row r="54" spans="2:52">
      <c r="B54" s="130" t="s">
        <v>4139</v>
      </c>
      <c r="S54" s="132"/>
      <c r="T54" s="132"/>
      <c r="U54" s="132"/>
      <c r="V54" s="132"/>
      <c r="W54" s="132"/>
      <c r="X54" s="132"/>
      <c r="Z54" s="130" t="s">
        <v>4140</v>
      </c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2"/>
      <c r="AM54" s="132"/>
    </row>
    <row r="55" spans="2:52">
      <c r="B55" s="132" t="s">
        <v>3027</v>
      </c>
      <c r="S55" s="132"/>
      <c r="T55" s="132"/>
      <c r="U55" s="132"/>
      <c r="V55" s="132"/>
      <c r="W55" s="132"/>
      <c r="X55" s="132"/>
      <c r="Z55" s="130" t="s">
        <v>4141</v>
      </c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2"/>
      <c r="AM55" s="132"/>
      <c r="AZ55">
        <v>7</v>
      </c>
    </row>
    <row r="57" spans="2:52" ht="18.75">
      <c r="B57" s="180" t="s">
        <v>4142</v>
      </c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</row>
    <row r="58" spans="2:52" ht="18.75">
      <c r="B58" s="175" t="s">
        <v>4143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6">
        <f ca="1">TODAY()</f>
        <v>46252</v>
      </c>
      <c r="V58" s="176"/>
      <c r="W58" s="176"/>
      <c r="X58" s="176"/>
      <c r="Y58" s="176"/>
      <c r="Z58" s="176"/>
      <c r="AA58" s="176"/>
      <c r="AB58" s="176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</row>
    <row r="77" spans="2:39">
      <c r="B77" s="130"/>
      <c r="C77" s="131"/>
      <c r="D77" s="131"/>
      <c r="E77" s="131"/>
      <c r="F77" s="131"/>
      <c r="G77" s="131"/>
      <c r="Z77" s="130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</row>
    <row r="78" spans="2:39"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</row>
    <row r="80" spans="2:39"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2"/>
      <c r="AM80" s="132"/>
    </row>
    <row r="81" spans="2:39"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2"/>
      <c r="AM81" s="132"/>
    </row>
    <row r="100" spans="2:39">
      <c r="B100" s="130" t="s">
        <v>4137</v>
      </c>
      <c r="Z100" s="130" t="s">
        <v>4138</v>
      </c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</row>
    <row r="101" spans="2:39"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</row>
    <row r="104" spans="2:39">
      <c r="B104" s="130" t="s">
        <v>4139</v>
      </c>
      <c r="S104" s="132"/>
      <c r="T104" s="132"/>
      <c r="U104" s="132"/>
      <c r="V104" s="132"/>
      <c r="W104" s="132"/>
      <c r="X104" s="132"/>
      <c r="Z104" s="130" t="s">
        <v>4140</v>
      </c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2"/>
      <c r="AM104" s="132"/>
    </row>
    <row r="105" spans="2:39">
      <c r="B105" s="132" t="s">
        <v>3027</v>
      </c>
      <c r="S105" s="132"/>
      <c r="T105" s="132"/>
      <c r="U105" s="132"/>
      <c r="V105" s="132"/>
      <c r="W105" s="132"/>
      <c r="X105" s="132"/>
      <c r="Z105" s="130" t="s">
        <v>4141</v>
      </c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2"/>
      <c r="AM105" s="132"/>
    </row>
    <row r="148" spans="2:39">
      <c r="B148" s="130" t="s">
        <v>4137</v>
      </c>
      <c r="Z148" s="130" t="s">
        <v>4138</v>
      </c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</row>
    <row r="149" spans="2:39"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</row>
    <row r="153" spans="2:39">
      <c r="B153" s="130" t="s">
        <v>4139</v>
      </c>
      <c r="S153" s="132"/>
      <c r="T153" s="132"/>
      <c r="U153" s="132"/>
      <c r="V153" s="132"/>
      <c r="W153" s="132"/>
      <c r="X153" s="132"/>
      <c r="Z153" s="130" t="s">
        <v>4140</v>
      </c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2"/>
      <c r="AM153" s="132"/>
    </row>
    <row r="154" spans="2:39">
      <c r="B154" s="132" t="s">
        <v>3027</v>
      </c>
      <c r="S154" s="132"/>
      <c r="T154" s="132"/>
      <c r="U154" s="132"/>
      <c r="V154" s="132"/>
      <c r="W154" s="132"/>
      <c r="X154" s="132"/>
      <c r="Z154" s="130" t="s">
        <v>4141</v>
      </c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2"/>
      <c r="AM154" s="132"/>
    </row>
  </sheetData>
  <mergeCells count="17">
    <mergeCell ref="B58:T58"/>
    <mergeCell ref="U58:AB58"/>
    <mergeCell ref="BM9:CF9"/>
    <mergeCell ref="B22:AO22"/>
    <mergeCell ref="B23:T23"/>
    <mergeCell ref="U23:AO23"/>
    <mergeCell ref="B57:AN57"/>
    <mergeCell ref="B9:J9"/>
    <mergeCell ref="K9:V9"/>
    <mergeCell ref="AB9:AC9"/>
    <mergeCell ref="AD9:AN9"/>
    <mergeCell ref="AS9:BL9"/>
    <mergeCell ref="AS2:CE2"/>
    <mergeCell ref="AS3:CE3"/>
    <mergeCell ref="B8:V8"/>
    <mergeCell ref="X8:AO8"/>
    <mergeCell ref="AS8:CF8"/>
  </mergeCells>
  <pageMargins left="0.23622047244094499" right="0.23622047244094499" top="0.74803149606299202" bottom="0.74803149606299202" header="0.31496062992126" footer="0.31496062992126"/>
  <pageSetup paperSize="14" orientation="portrait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Z196"/>
  <sheetViews>
    <sheetView topLeftCell="A118" workbookViewId="0">
      <selection activeCell="C141" sqref="C141"/>
    </sheetView>
  </sheetViews>
  <sheetFormatPr defaultColWidth="9" defaultRowHeight="15"/>
  <cols>
    <col min="1" max="1" width="37.140625" customWidth="1"/>
    <col min="14" max="14" width="26.140625" customWidth="1"/>
    <col min="15" max="15" width="9.7109375" customWidth="1"/>
    <col min="20" max="20" width="26.28515625" customWidth="1"/>
  </cols>
  <sheetData>
    <row r="4" spans="1:26">
      <c r="A4" s="184" t="s">
        <v>4144</v>
      </c>
      <c r="B4" s="184" t="s">
        <v>4145</v>
      </c>
      <c r="C4" s="184"/>
      <c r="D4" s="184" t="s">
        <v>4146</v>
      </c>
      <c r="N4" s="185" t="s">
        <v>4144</v>
      </c>
      <c r="O4" s="91" t="s">
        <v>4147</v>
      </c>
      <c r="P4" s="184" t="s">
        <v>4148</v>
      </c>
      <c r="Q4" s="184"/>
      <c r="R4" s="185" t="s">
        <v>4146</v>
      </c>
      <c r="T4" s="185" t="s">
        <v>4144</v>
      </c>
      <c r="U4" s="184" t="s">
        <v>4147</v>
      </c>
      <c r="V4" s="184"/>
      <c r="W4" s="184"/>
      <c r="X4" s="184" t="s">
        <v>4148</v>
      </c>
      <c r="Y4" s="184"/>
      <c r="Z4" s="185" t="s">
        <v>4146</v>
      </c>
    </row>
    <row r="5" spans="1:26">
      <c r="A5" s="184"/>
      <c r="B5" s="92" t="s">
        <v>1421</v>
      </c>
      <c r="C5" s="92" t="s">
        <v>4149</v>
      </c>
      <c r="D5" s="184"/>
      <c r="N5" s="186"/>
      <c r="O5" s="93" t="s">
        <v>2956</v>
      </c>
      <c r="P5" s="92" t="s">
        <v>52</v>
      </c>
      <c r="Q5" s="92" t="s">
        <v>77</v>
      </c>
      <c r="R5" s="186"/>
      <c r="T5" s="186"/>
      <c r="U5" s="93" t="s">
        <v>2956</v>
      </c>
      <c r="V5" s="93" t="s">
        <v>95</v>
      </c>
      <c r="W5" s="93" t="s">
        <v>47</v>
      </c>
      <c r="X5" s="91" t="s">
        <v>52</v>
      </c>
      <c r="Y5" s="91" t="s">
        <v>77</v>
      </c>
      <c r="Z5" s="186"/>
    </row>
    <row r="6" spans="1:26" ht="29.25" customHeight="1">
      <c r="A6" s="94" t="s">
        <v>632</v>
      </c>
      <c r="B6" s="94">
        <f>COUNTIFS(Table1[26],FormulaSheet!$A6,Table1[FILLED&amp;UNFILLED],FormulaSheet!$B5)</f>
        <v>52</v>
      </c>
      <c r="C6" s="94">
        <f>COUNTIFS(Table1[26],FormulaSheet!$A6,Table1[FILLED&amp;UNFILLED],FormulaSheet!$C5)</f>
        <v>2</v>
      </c>
      <c r="D6" s="95">
        <f>SUM(B6:C6)</f>
        <v>54</v>
      </c>
      <c r="N6" s="96" t="s">
        <v>632</v>
      </c>
      <c r="O6" s="96">
        <f>COUNTIFS(Table1[26],FormulaSheet!N6,Table1[Level2],FormulaSheet!O5)</f>
        <v>33</v>
      </c>
      <c r="P6" s="97">
        <f>COUNTIFS(Table1[26],FormulaSheet!N6,Table1[GENDER],FormulaSheet!P5,Table1[Level2],FormulaSheet!O5)</f>
        <v>16</v>
      </c>
      <c r="Q6" s="97">
        <f>COUNTIFS(Table1[26],FormulaSheet!N6,Table1[GENDER],FormulaSheet!Q5,Table1[Level2],FormulaSheet!O5)</f>
        <v>15</v>
      </c>
      <c r="R6" s="98">
        <f>SUM(P6:Q6)</f>
        <v>31</v>
      </c>
      <c r="T6" s="96" t="s">
        <v>632</v>
      </c>
      <c r="U6" s="96">
        <f>O6</f>
        <v>33</v>
      </c>
      <c r="V6" s="96">
        <f>O14</f>
        <v>21</v>
      </c>
      <c r="W6" s="96">
        <v>0</v>
      </c>
      <c r="X6" s="97">
        <f>P6+P14</f>
        <v>23</v>
      </c>
      <c r="Y6" s="97">
        <f>Q6+Q14</f>
        <v>29</v>
      </c>
      <c r="Z6" s="98">
        <f>SUM(X6:Y6)</f>
        <v>52</v>
      </c>
    </row>
    <row r="7" spans="1:26" ht="21.75" customHeight="1">
      <c r="A7" s="94" t="s">
        <v>612</v>
      </c>
      <c r="B7" s="94">
        <f>COUNTIFS(Table1[26],FormulaSheet!$A7,Table1[FILLED&amp;UNFILLED],FormulaSheet!$B5)</f>
        <v>138</v>
      </c>
      <c r="C7" s="94">
        <f>COUNTIFS(Table1[26],FormulaSheet!$A7,Table1[FILLED&amp;UNFILLED],FormulaSheet!$C5)</f>
        <v>3</v>
      </c>
      <c r="D7" s="95">
        <f t="shared" ref="D7:D8" si="0">SUM(B7:C7)</f>
        <v>141</v>
      </c>
      <c r="N7" s="96" t="s">
        <v>612</v>
      </c>
      <c r="O7" s="96">
        <f>COUNTIFS(Table1[26],FormulaSheet!N7,Table1[Level2],FormulaSheet!O5)</f>
        <v>42</v>
      </c>
      <c r="P7" s="97">
        <f>COUNTIFS(Table1[26],FormulaSheet!N7,Table1[GENDER],FormulaSheet!P5,Table1[Level2],FormulaSheet!O5)</f>
        <v>12</v>
      </c>
      <c r="Q7" s="97">
        <f>COUNTIFS(Table1[26],FormulaSheet!N7,Table1[GENDER],FormulaSheet!Q5,Table1[Level2],FormulaSheet!O5)</f>
        <v>30</v>
      </c>
      <c r="R7" s="98">
        <f>SUM(P7:Q7)</f>
        <v>42</v>
      </c>
      <c r="T7" s="96" t="s">
        <v>612</v>
      </c>
      <c r="U7" s="96">
        <f t="shared" ref="U7:U8" si="1">O7</f>
        <v>42</v>
      </c>
      <c r="V7" s="96">
        <f t="shared" ref="V7:V8" si="2">O15</f>
        <v>99</v>
      </c>
      <c r="W7" s="96">
        <v>0</v>
      </c>
      <c r="X7" s="97">
        <f>P7+P15</f>
        <v>37</v>
      </c>
      <c r="Y7" s="97">
        <f t="shared" ref="Y7" si="3">Q7+Q15</f>
        <v>101</v>
      </c>
      <c r="Z7" s="98">
        <f>SUM(X7:Y7)</f>
        <v>138</v>
      </c>
    </row>
    <row r="8" spans="1:26" ht="23.25" customHeight="1">
      <c r="A8" s="94" t="s">
        <v>46</v>
      </c>
      <c r="B8" s="94">
        <f>COUNTIFS(Table1[26],FormulaSheet!$A8,Table1[FILLED&amp;UNFILLED],FormulaSheet!$B5)</f>
        <v>108</v>
      </c>
      <c r="C8" s="94">
        <f>COUNTIFS(Table1[26],FormulaSheet!$A8,Table1[FILLED&amp;UNFILLED],FormulaSheet!$C5)</f>
        <v>4</v>
      </c>
      <c r="D8" s="95">
        <f t="shared" si="0"/>
        <v>112</v>
      </c>
      <c r="N8" s="96" t="s">
        <v>46</v>
      </c>
      <c r="O8" s="96">
        <f>COUNTIFS(Table1[26],FormulaSheet!N8,Table1[Level2],FormulaSheet!O5)</f>
        <v>19</v>
      </c>
      <c r="P8" s="97">
        <f>COUNTIFS(Table1[26],FormulaSheet!N8,Table1[GENDER],FormulaSheet!P5,Table1[Level2],FormulaSheet!O5)</f>
        <v>8</v>
      </c>
      <c r="Q8" s="97">
        <f>COUNTIFS(Table1[26],FormulaSheet!N8,Table1[GENDER],FormulaSheet!Q5,Table1[Level2],FormulaSheet!O5)</f>
        <v>11</v>
      </c>
      <c r="R8" s="98">
        <f>SUM(P8:Q8)</f>
        <v>19</v>
      </c>
      <c r="T8" s="96" t="s">
        <v>46</v>
      </c>
      <c r="U8" s="96">
        <f t="shared" si="1"/>
        <v>19</v>
      </c>
      <c r="V8" s="96">
        <f t="shared" si="2"/>
        <v>91</v>
      </c>
      <c r="W8" s="96">
        <f>R25</f>
        <v>2</v>
      </c>
      <c r="X8" s="97">
        <f>P8+P16+P24</f>
        <v>41</v>
      </c>
      <c r="Y8" s="97">
        <f>Q8+Q16+Q24</f>
        <v>66</v>
      </c>
      <c r="Z8" s="98">
        <f>SUM(X8:Y8)</f>
        <v>107</v>
      </c>
    </row>
    <row r="9" spans="1:26">
      <c r="A9" s="99" t="s">
        <v>4146</v>
      </c>
      <c r="B9" s="100">
        <f>SUM(B6:B8)</f>
        <v>298</v>
      </c>
      <c r="C9" s="100">
        <f t="shared" ref="C9:D9" si="4">SUM(C6:C8)</f>
        <v>9</v>
      </c>
      <c r="D9" s="100">
        <f t="shared" si="4"/>
        <v>307</v>
      </c>
      <c r="N9" s="99" t="s">
        <v>4146</v>
      </c>
      <c r="O9" s="99">
        <f>SUM(O6:O8)</f>
        <v>94</v>
      </c>
      <c r="P9" s="99">
        <f t="shared" ref="P9:R9" si="5">SUM(P6:P8)</f>
        <v>36</v>
      </c>
      <c r="Q9" s="99">
        <f t="shared" si="5"/>
        <v>56</v>
      </c>
      <c r="R9" s="99">
        <f t="shared" si="5"/>
        <v>92</v>
      </c>
      <c r="T9" s="99" t="s">
        <v>4146</v>
      </c>
      <c r="U9" s="99">
        <f>SUM(U6:U8)</f>
        <v>94</v>
      </c>
      <c r="V9" s="99">
        <f t="shared" ref="V9:W9" si="6">SUM(V6:V8)</f>
        <v>211</v>
      </c>
      <c r="W9" s="99">
        <f t="shared" si="6"/>
        <v>2</v>
      </c>
      <c r="X9" s="99">
        <f t="shared" ref="X9:Z9" si="7">SUM(X6:X8)</f>
        <v>101</v>
      </c>
      <c r="Y9" s="99">
        <f t="shared" si="7"/>
        <v>196</v>
      </c>
      <c r="Z9" s="99">
        <f t="shared" si="7"/>
        <v>297</v>
      </c>
    </row>
    <row r="12" spans="1:26">
      <c r="N12" s="185" t="s">
        <v>4144</v>
      </c>
      <c r="O12" s="91" t="s">
        <v>4147</v>
      </c>
      <c r="P12" s="184" t="s">
        <v>4148</v>
      </c>
      <c r="Q12" s="184"/>
      <c r="R12" s="185" t="s">
        <v>4146</v>
      </c>
    </row>
    <row r="13" spans="1:26">
      <c r="A13" s="185" t="s">
        <v>4144</v>
      </c>
      <c r="B13" s="184" t="s">
        <v>4148</v>
      </c>
      <c r="C13" s="184"/>
      <c r="D13" s="185" t="s">
        <v>4146</v>
      </c>
      <c r="N13" s="186"/>
      <c r="O13" s="93" t="s">
        <v>95</v>
      </c>
      <c r="P13" s="92" t="s">
        <v>52</v>
      </c>
      <c r="Q13" s="92" t="s">
        <v>77</v>
      </c>
      <c r="R13" s="186"/>
    </row>
    <row r="14" spans="1:26" ht="30">
      <c r="A14" s="186"/>
      <c r="B14" s="92" t="s">
        <v>52</v>
      </c>
      <c r="C14" s="92" t="s">
        <v>77</v>
      </c>
      <c r="D14" s="186"/>
      <c r="N14" s="96" t="s">
        <v>632</v>
      </c>
      <c r="O14" s="96">
        <f>COUNTIFS(Table1[26],FormulaSheet!N14,Table1[Level2],FormulaSheet!O13)</f>
        <v>21</v>
      </c>
      <c r="P14" s="97">
        <f>COUNTIFS(Table1[26],FormulaSheet!N14,Table1[GENDER],FormulaSheet!P13,Table1[Level2],FormulaSheet!O13)</f>
        <v>7</v>
      </c>
      <c r="Q14" s="97">
        <f>COUNTIFS(Table1[26],FormulaSheet!N14,Table1[GENDER],FormulaSheet!Q13,Table1[Level2],FormulaSheet!O13)</f>
        <v>14</v>
      </c>
      <c r="R14" s="98">
        <f>SUM(P14:Q14)</f>
        <v>21</v>
      </c>
    </row>
    <row r="15" spans="1:26" ht="30">
      <c r="A15" s="96" t="s">
        <v>632</v>
      </c>
      <c r="B15" s="97">
        <f>COUNTIFS(Table1[26],FormulaSheet!A15,Table1[GENDER],FormulaSheet!B14)</f>
        <v>23</v>
      </c>
      <c r="C15" s="97">
        <f>COUNTIFS(Table1[26],FormulaSheet!A15,Table1[GENDER],FormulaSheet!C14)</f>
        <v>29</v>
      </c>
      <c r="D15" s="98">
        <f>SUM(B15:C15)</f>
        <v>52</v>
      </c>
      <c r="N15" s="96" t="s">
        <v>612</v>
      </c>
      <c r="O15" s="96">
        <f>COUNTIFS(Table1[26],FormulaSheet!N15,Table1[Level2],FormulaSheet!O13)</f>
        <v>99</v>
      </c>
      <c r="P15" s="97">
        <f>COUNTIFS(Table1[26],FormulaSheet!N15,Table1[GENDER],FormulaSheet!P13,Table1[Level2],FormulaSheet!O13)</f>
        <v>25</v>
      </c>
      <c r="Q15" s="97">
        <f>COUNTIFS(Table1[26],FormulaSheet!N15,Table1[GENDER],FormulaSheet!Q13,Table1[Level2],FormulaSheet!O13)</f>
        <v>71</v>
      </c>
      <c r="R15" s="98">
        <f>SUM(P15:Q15)</f>
        <v>96</v>
      </c>
    </row>
    <row r="16" spans="1:26">
      <c r="A16" s="96" t="s">
        <v>612</v>
      </c>
      <c r="B16" s="97">
        <f>COUNTIFS(Table1[26],FormulaSheet!A16,Table1[GENDER],FormulaSheet!B14)</f>
        <v>37</v>
      </c>
      <c r="C16" s="97">
        <f>COUNTIFS(Table1[26],FormulaSheet!A16,Table1[GENDER],FormulaSheet!C14)</f>
        <v>101</v>
      </c>
      <c r="D16" s="98">
        <f>SUM(B16:C16)</f>
        <v>138</v>
      </c>
      <c r="N16" s="96" t="s">
        <v>46</v>
      </c>
      <c r="O16" s="96">
        <f>COUNTIFS(Table1[26],FormulaSheet!N16,Table1[Level2],FormulaSheet!O13)</f>
        <v>91</v>
      </c>
      <c r="P16" s="97">
        <f>COUNTIFS(Table1[26],FormulaSheet!N16,Table1[GENDER],FormulaSheet!P13,Table1[Level2],FormulaSheet!O13)</f>
        <v>32</v>
      </c>
      <c r="Q16" s="97">
        <f>COUNTIFS(Table1[26],FormulaSheet!N16,Table1[GENDER],FormulaSheet!Q13,Table1[Level2],FormulaSheet!O13)</f>
        <v>54</v>
      </c>
      <c r="R16" s="98">
        <f>SUM(P16:Q16)</f>
        <v>86</v>
      </c>
    </row>
    <row r="17" spans="1:18">
      <c r="A17" s="96" t="s">
        <v>46</v>
      </c>
      <c r="B17" s="97">
        <f>COUNTIFS(Table1[26],FormulaSheet!A17,Table1[GENDER],FormulaSheet!B14)</f>
        <v>41</v>
      </c>
      <c r="C17" s="97">
        <f>COUNTIFS(Table1[26],FormulaSheet!A17,Table1[GENDER],FormulaSheet!C14)</f>
        <v>66</v>
      </c>
      <c r="D17" s="98">
        <f>SUM(B17:C17)</f>
        <v>107</v>
      </c>
      <c r="N17" s="99" t="s">
        <v>4146</v>
      </c>
      <c r="O17" s="99">
        <f>SUM(O14:O16)</f>
        <v>211</v>
      </c>
      <c r="P17" s="99">
        <f t="shared" ref="P17:R17" si="8">SUM(P14:P16)</f>
        <v>64</v>
      </c>
      <c r="Q17" s="99">
        <f t="shared" si="8"/>
        <v>139</v>
      </c>
      <c r="R17" s="99">
        <f t="shared" si="8"/>
        <v>203</v>
      </c>
    </row>
    <row r="18" spans="1:18">
      <c r="A18" s="99" t="s">
        <v>4146</v>
      </c>
      <c r="B18" s="100">
        <f>SUM(B15:B17)</f>
        <v>101</v>
      </c>
      <c r="C18" s="100">
        <f t="shared" ref="C18:D18" si="9">SUM(C15:C17)</f>
        <v>196</v>
      </c>
      <c r="D18" s="100">
        <f t="shared" si="9"/>
        <v>297</v>
      </c>
    </row>
    <row r="20" spans="1:18">
      <c r="N20" s="185" t="s">
        <v>4144</v>
      </c>
      <c r="O20" s="91" t="s">
        <v>4147</v>
      </c>
      <c r="P20" s="184" t="s">
        <v>4148</v>
      </c>
      <c r="Q20" s="184"/>
      <c r="R20" s="185" t="s">
        <v>4146</v>
      </c>
    </row>
    <row r="21" spans="1:18">
      <c r="N21" s="186"/>
      <c r="O21" s="93" t="s">
        <v>47</v>
      </c>
      <c r="P21" s="92" t="s">
        <v>52</v>
      </c>
      <c r="Q21" s="92" t="s">
        <v>77</v>
      </c>
      <c r="R21" s="186"/>
    </row>
    <row r="22" spans="1:18" ht="30">
      <c r="A22" s="101"/>
      <c r="B22" s="101"/>
      <c r="C22" s="101"/>
      <c r="D22" s="101"/>
      <c r="N22" s="96" t="s">
        <v>632</v>
      </c>
      <c r="O22" s="96">
        <f>COUNTIFS(Table1[26],FormulaSheet!N22,Table1[Level2],FormulaSheet!O21)</f>
        <v>0</v>
      </c>
      <c r="P22" s="97">
        <f>COUNTIFS(Table1[26],FormulaSheet!N22,Table1[GENDER],FormulaSheet!P21,Table1[Level2],FormulaSheet!O21)</f>
        <v>0</v>
      </c>
      <c r="Q22" s="97">
        <f>COUNTIFS(Table1[26],FormulaSheet!N22,Table1[GENDER],FormulaSheet!Q21,Table1[Level2],FormulaSheet!O21)</f>
        <v>0</v>
      </c>
      <c r="R22" s="98">
        <f>SUM(P22:Q22)</f>
        <v>0</v>
      </c>
    </row>
    <row r="23" spans="1:18">
      <c r="A23" s="188" t="s">
        <v>632</v>
      </c>
      <c r="B23" s="184" t="s">
        <v>4145</v>
      </c>
      <c r="C23" s="184"/>
      <c r="D23" s="185" t="s">
        <v>4146</v>
      </c>
      <c r="N23" s="96" t="s">
        <v>612</v>
      </c>
      <c r="O23" s="96">
        <f>COUNTIFS(Table1[26],FormulaSheet!N23,Table1[Level2],FormulaSheet!O22)</f>
        <v>0</v>
      </c>
      <c r="P23" s="97">
        <f>COUNTIFS(Table1[26],FormulaSheet!N23,Table1[GENDER],FormulaSheet!P22,Table1[Level2],FormulaSheet!O22)</f>
        <v>0</v>
      </c>
      <c r="Q23" s="97">
        <f>COUNTIFS(Table1[26],FormulaSheet!N23,Table1[GENDER],FormulaSheet!Q22,Table1[Level2],FormulaSheet!O22)</f>
        <v>0</v>
      </c>
      <c r="R23" s="98">
        <f>SUM(P23:Q23)</f>
        <v>0</v>
      </c>
    </row>
    <row r="24" spans="1:18">
      <c r="A24" s="189"/>
      <c r="B24" s="102" t="s">
        <v>1421</v>
      </c>
      <c r="C24" s="102" t="s">
        <v>4149</v>
      </c>
      <c r="D24" s="186"/>
      <c r="N24" s="96" t="s">
        <v>46</v>
      </c>
      <c r="O24" s="96">
        <f>COUNTIFS(Table1[26],FormulaSheet!N24,Table1[Level2],FormulaSheet!O21)</f>
        <v>2</v>
      </c>
      <c r="P24" s="97">
        <f>COUNTIFS(Table1[26],FormulaSheet!N24,Table1[GENDER],FormulaSheet!P21,Table1[Level2],FormulaSheet!O21)</f>
        <v>1</v>
      </c>
      <c r="Q24" s="97">
        <f>COUNTIFS(Table1[26],FormulaSheet!N24,Table1[GENDER],FormulaSheet!Q21,Table1[Level2],FormulaSheet!O21)</f>
        <v>1</v>
      </c>
      <c r="R24" s="98">
        <f>SUM(P24:Q24)</f>
        <v>2</v>
      </c>
    </row>
    <row r="25" spans="1:18">
      <c r="A25" s="103" t="s">
        <v>888</v>
      </c>
      <c r="B25" s="104">
        <f>COUNTIFS(Table1[CADRE],FormulaSheet!$A25,Table1[26],FormulaSheet!A23,Table1[FILLED&amp;UNFILLED],FormulaSheet!B$24)</f>
        <v>2</v>
      </c>
      <c r="C25" s="104">
        <f>COUNTIFS(Table1[CADRE],FormulaSheet!$A25,Table1[FILLED&amp;UNFILLED],FormulaSheet!C$24)</f>
        <v>0</v>
      </c>
      <c r="D25" s="105">
        <f>SUM(B25:C25)</f>
        <v>2</v>
      </c>
      <c r="N25" s="99" t="s">
        <v>4146</v>
      </c>
      <c r="O25" s="99">
        <f>SUM(O22:O24)</f>
        <v>2</v>
      </c>
      <c r="P25" s="99">
        <f t="shared" ref="P25:R25" si="10">SUM(P22:P24)</f>
        <v>1</v>
      </c>
      <c r="Q25" s="99">
        <f t="shared" si="10"/>
        <v>1</v>
      </c>
      <c r="R25" s="99">
        <f t="shared" si="10"/>
        <v>2</v>
      </c>
    </row>
    <row r="26" spans="1:18">
      <c r="A26" s="103" t="s">
        <v>3293</v>
      </c>
      <c r="B26" s="104">
        <f>COUNTIFS(Table1[CADRE],FormulaSheet!$A26,Table1[26],FormulaSheet!A23,Table1[FILLED&amp;UNFILLED],FormulaSheet!B$24)</f>
        <v>15</v>
      </c>
      <c r="C26" s="104">
        <f>COUNTIFS(Table1[CADRE],FormulaSheet!$A26,Table1[FILLED&amp;UNFILLED],FormulaSheet!C$24)</f>
        <v>1</v>
      </c>
      <c r="D26" s="105">
        <f t="shared" ref="D26:D35" si="11">SUM(B26:C26)</f>
        <v>16</v>
      </c>
    </row>
    <row r="27" spans="1:18">
      <c r="A27" s="103" t="s">
        <v>2955</v>
      </c>
      <c r="B27" s="104">
        <f>COUNTIFS(Table1[CADRE],FormulaSheet!$A27,Table1[26],FormulaSheet!A23,Table1[FILLED&amp;UNFILLED],FormulaSheet!B$24)</f>
        <v>10</v>
      </c>
      <c r="C27" s="104">
        <f>COUNTIFS(Table1[CADRE],FormulaSheet!$A27,Table1[FILLED&amp;UNFILLED],FormulaSheet!C$24)</f>
        <v>1</v>
      </c>
      <c r="D27" s="105">
        <f t="shared" si="11"/>
        <v>11</v>
      </c>
    </row>
    <row r="28" spans="1:18">
      <c r="A28" s="103" t="s">
        <v>631</v>
      </c>
      <c r="B28" s="104">
        <f>COUNTIFS(Table1[CADRE],FormulaSheet!$A28,Table1[26],FormulaSheet!A23,Table1[FILLED&amp;UNFILLED],FormulaSheet!B$24)</f>
        <v>15</v>
      </c>
      <c r="C28" s="104">
        <f>COUNTIFS(Table1[CADRE],FormulaSheet!$A28,Table1[FILLED&amp;UNFILLED],FormulaSheet!C$24)</f>
        <v>0</v>
      </c>
      <c r="D28" s="105">
        <f t="shared" si="11"/>
        <v>15</v>
      </c>
    </row>
    <row r="29" spans="1:18">
      <c r="A29" s="103" t="s">
        <v>2535</v>
      </c>
      <c r="B29" s="104">
        <f>COUNTIFS(Table1[CADRE],FormulaSheet!$A29,Table1[FILLED&amp;UNFILLED],FormulaSheet!B$24)</f>
        <v>2</v>
      </c>
      <c r="C29" s="104">
        <f>COUNTIFS(Table1[CADRE],FormulaSheet!$A29,Table1[FILLED&amp;UNFILLED],FormulaSheet!C$24)</f>
        <v>0</v>
      </c>
      <c r="D29" s="105">
        <f t="shared" si="11"/>
        <v>2</v>
      </c>
    </row>
    <row r="30" spans="1:18">
      <c r="A30" s="103" t="s">
        <v>906</v>
      </c>
      <c r="B30" s="104">
        <f>COUNTIFS(Table1[CADRE],FormulaSheet!$A30,Table1[FILLED&amp;UNFILLED],FormulaSheet!B$24)</f>
        <v>2</v>
      </c>
      <c r="C30" s="104">
        <f>COUNTIFS(Table1[CADRE],FormulaSheet!$A30,Table1[FILLED&amp;UNFILLED],FormulaSheet!C$24)</f>
        <v>0</v>
      </c>
      <c r="D30" s="105">
        <f t="shared" si="11"/>
        <v>2</v>
      </c>
    </row>
    <row r="31" spans="1:18">
      <c r="A31" s="103" t="s">
        <v>3140</v>
      </c>
      <c r="B31" s="104">
        <f>COUNTIFS(Table1[CADRE],FormulaSheet!$A31,Table1[FILLED&amp;UNFILLED],FormulaSheet!B$24)</f>
        <v>1</v>
      </c>
      <c r="C31" s="104">
        <f>COUNTIFS(Table1[CADRE],FormulaSheet!$A31,Table1[FILLED&amp;UNFILLED],FormulaSheet!C$24)</f>
        <v>0</v>
      </c>
      <c r="D31" s="105">
        <f t="shared" si="11"/>
        <v>1</v>
      </c>
    </row>
    <row r="32" spans="1:18">
      <c r="A32" s="103" t="s">
        <v>4101</v>
      </c>
      <c r="B32" s="104">
        <f>COUNTIFS(Table1[CADRE],FormulaSheet!$A32,Table1[FILLED&amp;UNFILLED],FormulaSheet!B$24)</f>
        <v>1</v>
      </c>
      <c r="C32" s="104">
        <f>COUNTIFS(Table1[CADRE],FormulaSheet!$A32,Table1[FILLED&amp;UNFILLED],FormulaSheet!C$24)</f>
        <v>0</v>
      </c>
      <c r="D32" s="105">
        <f t="shared" si="11"/>
        <v>1</v>
      </c>
    </row>
    <row r="33" spans="1:4">
      <c r="A33" s="103" t="s">
        <v>3154</v>
      </c>
      <c r="B33" s="104">
        <f>COUNTIFS(Table1[CADRE],FormulaSheet!$A33,Table1[FILLED&amp;UNFILLED],FormulaSheet!B$24)</f>
        <v>2</v>
      </c>
      <c r="C33" s="104">
        <f>COUNTIFS(Table1[CADRE],FormulaSheet!$A33,Table1[FILLED&amp;UNFILLED],FormulaSheet!C$24)</f>
        <v>0</v>
      </c>
      <c r="D33" s="105">
        <f t="shared" si="11"/>
        <v>2</v>
      </c>
    </row>
    <row r="34" spans="1:4">
      <c r="A34" s="103" t="s">
        <v>4114</v>
      </c>
      <c r="B34" s="104">
        <f>COUNTIFS(Table1[CADRE],FormulaSheet!$A34,Table1[FILLED&amp;UNFILLED],FormulaSheet!B$24)</f>
        <v>1</v>
      </c>
      <c r="C34" s="104">
        <f>COUNTIFS(Table1[CADRE],FormulaSheet!$A34,Table1[FILLED&amp;UNFILLED],FormulaSheet!C$24)</f>
        <v>0</v>
      </c>
      <c r="D34" s="105">
        <f t="shared" si="11"/>
        <v>1</v>
      </c>
    </row>
    <row r="35" spans="1:4">
      <c r="A35" s="103" t="s">
        <v>3185</v>
      </c>
      <c r="B35" s="104">
        <f>COUNTIFS(Table1[CADRE],FormulaSheet!$A35,Table1[FILLED&amp;UNFILLED],FormulaSheet!B$24)</f>
        <v>1</v>
      </c>
      <c r="C35" s="104">
        <f>COUNTIFS(Table1[CADRE],FormulaSheet!$A35,Table1[FILLED&amp;UNFILLED],FormulaSheet!C$24)</f>
        <v>0</v>
      </c>
      <c r="D35" s="105">
        <f t="shared" si="11"/>
        <v>1</v>
      </c>
    </row>
    <row r="36" spans="1:4">
      <c r="A36" s="99" t="s">
        <v>4146</v>
      </c>
      <c r="B36" s="100">
        <f t="shared" ref="B36:D36" si="12">SUM(B25:B35)</f>
        <v>52</v>
      </c>
      <c r="C36" s="100">
        <f t="shared" si="12"/>
        <v>2</v>
      </c>
      <c r="D36" s="100">
        <f t="shared" si="12"/>
        <v>54</v>
      </c>
    </row>
    <row r="37" spans="1:4">
      <c r="A37" s="103"/>
      <c r="B37" s="104"/>
      <c r="C37" s="104"/>
    </row>
    <row r="38" spans="1:4">
      <c r="A38" s="103"/>
      <c r="B38" s="104"/>
      <c r="C38" s="104"/>
    </row>
    <row r="39" spans="1:4">
      <c r="A39" s="185" t="s">
        <v>46</v>
      </c>
      <c r="B39" s="184" t="s">
        <v>4145</v>
      </c>
      <c r="C39" s="184"/>
      <c r="D39" s="185" t="s">
        <v>4146</v>
      </c>
    </row>
    <row r="40" spans="1:4">
      <c r="A40" s="186"/>
      <c r="B40" s="102" t="s">
        <v>1421</v>
      </c>
      <c r="C40" s="102" t="s">
        <v>4149</v>
      </c>
      <c r="D40" s="186"/>
    </row>
    <row r="41" spans="1:4">
      <c r="A41" s="103" t="s">
        <v>3293</v>
      </c>
      <c r="B41" s="104">
        <f>COUNTIFS(Table1[CADRE],FormulaSheet!$A41,Table1[26],FormulaSheet!$A39,Table1[FILLED&amp;UNFILLED],FormulaSheet!B$40)</f>
        <v>2</v>
      </c>
      <c r="C41" s="104">
        <f>COUNTIFS(Table1[26],FormulaSheet!$A41,Table1[SALARY GRADE],FormulaSheet!$A39,Table1[LAST],FormulaSheet!C$40)</f>
        <v>0</v>
      </c>
      <c r="D41" s="105">
        <f t="shared" ref="D41:D61" si="13">SUM(B41:C41)</f>
        <v>2</v>
      </c>
    </row>
    <row r="42" spans="1:4">
      <c r="A42" s="103" t="s">
        <v>2955</v>
      </c>
      <c r="B42" s="104">
        <f>COUNTIFS(Table1[CADRE],FormulaSheet!$A42,Table1[26],FormulaSheet!$A39,Table1[FILLED&amp;UNFILLED],FormulaSheet!B$40)</f>
        <v>6</v>
      </c>
      <c r="C42" s="104">
        <f>COUNTIFS(Table1[CADRE],FormulaSheet!$A42,Table1[26],FormulaSheet!$A39,Table1[FILLED&amp;UNFILLED],FormulaSheet!C$40)</f>
        <v>0</v>
      </c>
      <c r="D42" s="105">
        <f t="shared" si="13"/>
        <v>6</v>
      </c>
    </row>
    <row r="43" spans="1:4">
      <c r="A43" s="103" t="s">
        <v>631</v>
      </c>
      <c r="B43" s="104">
        <f>COUNTIFS(Table1[CADRE],FormulaSheet!$A43,Table1[26],FormulaSheet!$A39,Table1[FILLED&amp;UNFILLED],FormulaSheet!B$40)</f>
        <v>3</v>
      </c>
      <c r="C43" s="104">
        <f>COUNTIFS(Table1[CADRE],FormulaSheet!$A43,Table1[26],FormulaSheet!$A39,Table1[FILLED&amp;UNFILLED],FormulaSheet!C$40)</f>
        <v>0</v>
      </c>
      <c r="D43" s="105">
        <f t="shared" si="13"/>
        <v>3</v>
      </c>
    </row>
    <row r="44" spans="1:4">
      <c r="A44" s="103" t="s">
        <v>1763</v>
      </c>
      <c r="B44" s="104">
        <f>COUNTIFS(Table1[CADRE],FormulaSheet!$A44,Table1[FILLED&amp;UNFILLED],FormulaSheet!B$40)</f>
        <v>1</v>
      </c>
      <c r="C44" s="104">
        <f>COUNTIFS(Table1[CADRE],FormulaSheet!$A44,Table1[FILLED&amp;UNFILLED],FormulaSheet!C$40)</f>
        <v>0</v>
      </c>
      <c r="D44" s="105">
        <f t="shared" si="13"/>
        <v>1</v>
      </c>
    </row>
    <row r="45" spans="1:4">
      <c r="A45" s="103" t="s">
        <v>3624</v>
      </c>
      <c r="B45" s="104">
        <f>COUNTIFS(Table1[CADRE],FormulaSheet!$A45,Table1[FILLED&amp;UNFILLED],FormulaSheet!B$40)</f>
        <v>3</v>
      </c>
      <c r="C45" s="104">
        <f>COUNTIFS(Table1[CADRE],FormulaSheet!$A45,Table1[FILLED&amp;UNFILLED],FormulaSheet!C$40)</f>
        <v>0</v>
      </c>
      <c r="D45" s="105">
        <f t="shared" si="13"/>
        <v>3</v>
      </c>
    </row>
    <row r="46" spans="1:4">
      <c r="A46" s="103" t="s">
        <v>3126</v>
      </c>
      <c r="B46" s="104">
        <f>COUNTIFS(Table1[CADRE],FormulaSheet!$A46,Table1[FILLED&amp;UNFILLED],FormulaSheet!B$40)</f>
        <v>1</v>
      </c>
      <c r="C46" s="104">
        <f>COUNTIFS(Table1[CADRE],FormulaSheet!$A46,Table1[FILLED&amp;UNFILLED],FormulaSheet!C$40)</f>
        <v>0</v>
      </c>
      <c r="D46" s="105">
        <f t="shared" si="13"/>
        <v>1</v>
      </c>
    </row>
    <row r="47" spans="1:4">
      <c r="A47" s="103" t="s">
        <v>3733</v>
      </c>
      <c r="B47" s="104">
        <f>COUNTIFS(Table1[CADRE],FormulaSheet!$A47,Table1[FILLED&amp;UNFILLED],FormulaSheet!B$40)</f>
        <v>1</v>
      </c>
      <c r="C47" s="104">
        <f>COUNTIFS(Table1[CADRE],FormulaSheet!$A47,Table1[FILLED&amp;UNFILLED],FormulaSheet!C$40)</f>
        <v>0</v>
      </c>
      <c r="D47" s="105">
        <f t="shared" si="13"/>
        <v>1</v>
      </c>
    </row>
    <row r="48" spans="1:4">
      <c r="A48" s="103" t="s">
        <v>341</v>
      </c>
      <c r="B48" s="104">
        <f>COUNTIFS(Table1[CADRE],FormulaSheet!$A48,Table1[FILLED&amp;UNFILLED],FormulaSheet!B$40)</f>
        <v>1</v>
      </c>
      <c r="C48" s="104">
        <f>COUNTIFS(Table1[CADRE],FormulaSheet!$A48,Table1[FILLED&amp;UNFILLED],FormulaSheet!C$40)</f>
        <v>1</v>
      </c>
      <c r="D48" s="105">
        <f t="shared" si="13"/>
        <v>2</v>
      </c>
    </row>
    <row r="49" spans="1:4">
      <c r="A49" s="103" t="s">
        <v>2564</v>
      </c>
      <c r="B49" s="104">
        <f>COUNTIFS(Table1[CADRE],FormulaSheet!$A49,Table1[FILLED&amp;UNFILLED],FormulaSheet!B$40)</f>
        <v>1</v>
      </c>
      <c r="C49" s="104">
        <f>COUNTIFS(Table1[CADRE],FormulaSheet!$A49,Table1[FILLED&amp;UNFILLED],FormulaSheet!C$40)</f>
        <v>0</v>
      </c>
      <c r="D49" s="105">
        <f t="shared" si="13"/>
        <v>1</v>
      </c>
    </row>
    <row r="50" spans="1:4">
      <c r="A50" s="103" t="s">
        <v>3745</v>
      </c>
      <c r="B50" s="104">
        <f>COUNTIFS(Table1[CADRE],FormulaSheet!$A50,Table1[FILLED&amp;UNFILLED],FormulaSheet!B$40)</f>
        <v>5</v>
      </c>
      <c r="C50" s="104">
        <f>COUNTIFS(Table1[CADRE],FormulaSheet!$A50,Table1[FILLED&amp;UNFILLED],FormulaSheet!C$40)</f>
        <v>0</v>
      </c>
      <c r="D50" s="105">
        <f t="shared" si="13"/>
        <v>5</v>
      </c>
    </row>
    <row r="51" spans="1:4">
      <c r="A51" s="103" t="s">
        <v>4150</v>
      </c>
      <c r="B51" s="104">
        <f>COUNTIFS(Table1[CADRE],FormulaSheet!$A51,Table1[FILLED&amp;UNFILLED],FormulaSheet!B$40)</f>
        <v>0</v>
      </c>
      <c r="C51" s="104">
        <f>COUNTIFS(Table1[CADRE],FormulaSheet!$A51,Table1[FILLED&amp;UNFILLED],FormulaSheet!C$40)</f>
        <v>0</v>
      </c>
      <c r="D51" s="105">
        <f t="shared" si="13"/>
        <v>0</v>
      </c>
    </row>
    <row r="52" spans="1:4">
      <c r="A52" s="103" t="s">
        <v>1035</v>
      </c>
      <c r="B52" s="104">
        <f>COUNTIFS(Table1[CADRE],FormulaSheet!$A52,Table1[FILLED&amp;UNFILLED],FormulaSheet!B$40)</f>
        <v>13</v>
      </c>
      <c r="C52" s="104">
        <f>COUNTIFS(Table1[CADRE],FormulaSheet!$A52,Table1[FILLED&amp;UNFILLED],FormulaSheet!C$40)</f>
        <v>1</v>
      </c>
      <c r="D52" s="105">
        <f t="shared" si="13"/>
        <v>14</v>
      </c>
    </row>
    <row r="53" spans="1:4">
      <c r="A53" s="103" t="s">
        <v>1066</v>
      </c>
      <c r="B53" s="104">
        <f>COUNTIFS(Table1[CADRE],FormulaSheet!$A53,Table1[FILLED&amp;UNFILLED],FormulaSheet!B$40)</f>
        <v>2</v>
      </c>
      <c r="C53" s="104">
        <f>COUNTIFS(Table1[CADRE],FormulaSheet!$A53,Table1[FILLED&amp;UNFILLED],FormulaSheet!C$40)</f>
        <v>0</v>
      </c>
      <c r="D53" s="105">
        <f t="shared" si="13"/>
        <v>2</v>
      </c>
    </row>
    <row r="54" spans="1:4">
      <c r="A54" s="103" t="s">
        <v>1084</v>
      </c>
      <c r="B54" s="104">
        <f>COUNTIFS(Table1[CADRE],FormulaSheet!$A54,Table1[FILLED&amp;UNFILLED],FormulaSheet!B$40)</f>
        <v>6</v>
      </c>
      <c r="C54" s="104">
        <f>COUNTIFS(Table1[CADRE],FormulaSheet!$A54,Table1[FILLED&amp;UNFILLED],FormulaSheet!C$40)</f>
        <v>0</v>
      </c>
      <c r="D54" s="105">
        <f t="shared" si="13"/>
        <v>6</v>
      </c>
    </row>
    <row r="55" spans="1:4">
      <c r="A55" s="103" t="s">
        <v>45</v>
      </c>
      <c r="B55" s="104">
        <f>COUNTIFS(Table1[CADRE],FormulaSheet!$A55,Table1[FILLED&amp;UNFILLED],FormulaSheet!B$40)</f>
        <v>51</v>
      </c>
      <c r="C55" s="104">
        <f>COUNTIFS(Table1[CADRE],FormulaSheet!$A55,Table1[FILLED&amp;UNFILLED],FormulaSheet!C$40)</f>
        <v>0</v>
      </c>
      <c r="D55" s="105">
        <f t="shared" si="13"/>
        <v>51</v>
      </c>
    </row>
    <row r="56" spans="1:4">
      <c r="A56" s="103" t="s">
        <v>2486</v>
      </c>
      <c r="B56" s="104">
        <f>COUNTIFS(Table1[CADRE],FormulaSheet!$A56,Table1[FILLED&amp;UNFILLED],FormulaSheet!B$40)</f>
        <v>1</v>
      </c>
      <c r="C56" s="104">
        <f>COUNTIFS(Table1[CADRE],FormulaSheet!$A56,Table1[FILLED&amp;UNFILLED],FormulaSheet!C$40)</f>
        <v>0</v>
      </c>
      <c r="D56" s="105">
        <f t="shared" si="13"/>
        <v>1</v>
      </c>
    </row>
    <row r="57" spans="1:4">
      <c r="A57" s="103" t="s">
        <v>1100</v>
      </c>
      <c r="B57" s="104">
        <f>COUNTIFS(Table1[CADRE],FormulaSheet!$A57,Table1[FILLED&amp;UNFILLED],FormulaSheet!B$40)</f>
        <v>3</v>
      </c>
      <c r="C57" s="104">
        <f>COUNTIFS(Table1[CADRE],FormulaSheet!$A57,Table1[FILLED&amp;UNFILLED],FormulaSheet!C$40)</f>
        <v>2</v>
      </c>
      <c r="D57" s="105">
        <f t="shared" si="13"/>
        <v>5</v>
      </c>
    </row>
    <row r="58" spans="1:4">
      <c r="A58" s="103" t="s">
        <v>2581</v>
      </c>
      <c r="B58" s="104">
        <f>COUNTIFS(Table1[CADRE],FormulaSheet!$A58,Table1[FILLED&amp;UNFILLED],FormulaSheet!B$40)</f>
        <v>3</v>
      </c>
      <c r="C58" s="104">
        <f>COUNTIFS(Table1[CADRE],FormulaSheet!$A58,Table1[FILLED&amp;UNFILLED],FormulaSheet!C$40)</f>
        <v>0</v>
      </c>
      <c r="D58" s="105">
        <f t="shared" si="13"/>
        <v>3</v>
      </c>
    </row>
    <row r="59" spans="1:4">
      <c r="A59" s="103" t="s">
        <v>3169</v>
      </c>
      <c r="B59" s="104">
        <f>COUNTIFS(Table1[CADRE],FormulaSheet!$A59,Table1[FILLED&amp;UNFILLED],FormulaSheet!B$40)</f>
        <v>1</v>
      </c>
      <c r="C59" s="104">
        <f>COUNTIFS(Table1[CADRE],FormulaSheet!$A59,Table1[FILLED&amp;UNFILLED],FormulaSheet!C$40)</f>
        <v>0</v>
      </c>
      <c r="D59" s="105">
        <f t="shared" si="13"/>
        <v>1</v>
      </c>
    </row>
    <row r="60" spans="1:4">
      <c r="A60" s="103" t="s">
        <v>1118</v>
      </c>
      <c r="B60" s="104">
        <f>COUNTIFS(Table1[CADRE],FormulaSheet!$A60,Table1[FILLED&amp;UNFILLED],FormulaSheet!B$40)</f>
        <v>3</v>
      </c>
      <c r="C60" s="104">
        <f>COUNTIFS(Table1[CADRE],FormulaSheet!$A60,Table1[FILLED&amp;UNFILLED],FormulaSheet!C$40)</f>
        <v>0</v>
      </c>
      <c r="D60" s="105">
        <f t="shared" si="13"/>
        <v>3</v>
      </c>
    </row>
    <row r="61" spans="1:4">
      <c r="A61" s="103" t="s">
        <v>2519</v>
      </c>
      <c r="B61" s="104">
        <f>COUNTIFS(Table1[CADRE],FormulaSheet!$A61,Table1[FILLED&amp;UNFILLED],FormulaSheet!B$40)</f>
        <v>1</v>
      </c>
      <c r="C61" s="104">
        <f>COUNTIFS(Table1[CADRE],FormulaSheet!$A61,Table1[FILLED&amp;UNFILLED],FormulaSheet!C$40)</f>
        <v>0</v>
      </c>
      <c r="D61" s="105">
        <f t="shared" si="13"/>
        <v>1</v>
      </c>
    </row>
    <row r="62" spans="1:4">
      <c r="A62" s="99" t="s">
        <v>4146</v>
      </c>
      <c r="B62" s="100">
        <f>SUM(B41:B61)</f>
        <v>108</v>
      </c>
      <c r="C62" s="100">
        <f t="shared" ref="C62:D62" si="14">SUM(C41:C61)</f>
        <v>4</v>
      </c>
      <c r="D62" s="100">
        <f t="shared" si="14"/>
        <v>112</v>
      </c>
    </row>
    <row r="63" spans="1:4">
      <c r="A63" s="103"/>
      <c r="B63" s="104"/>
      <c r="C63" s="104"/>
    </row>
    <row r="64" spans="1:4">
      <c r="A64" s="103"/>
      <c r="B64" s="104"/>
      <c r="C64" s="104"/>
    </row>
    <row r="65" spans="1:7">
      <c r="A65" s="185" t="s">
        <v>612</v>
      </c>
      <c r="B65" s="184" t="s">
        <v>4145</v>
      </c>
      <c r="C65" s="184"/>
      <c r="D65" s="185" t="s">
        <v>4146</v>
      </c>
    </row>
    <row r="66" spans="1:7">
      <c r="A66" s="186"/>
      <c r="B66" s="102" t="s">
        <v>1421</v>
      </c>
      <c r="C66" s="102" t="s">
        <v>4149</v>
      </c>
      <c r="D66" s="186"/>
    </row>
    <row r="67" spans="1:7">
      <c r="A67" s="103" t="s">
        <v>3293</v>
      </c>
      <c r="B67" s="104">
        <f>COUNTIFS(Table1[CADRE],FormulaSheet!$A67,Table1[26],FormulaSheet!A65,Table1[FILLED&amp;UNFILLED],FormulaSheet!B$66)</f>
        <v>1</v>
      </c>
      <c r="C67" s="104">
        <f>COUNTIFS(Table1[CADRE],FormulaSheet!$A67,Table1[26],FormulaSheet!$A65,Table1[FILLED&amp;UNFILLED],FormulaSheet!C$66)</f>
        <v>0</v>
      </c>
      <c r="D67" s="105">
        <f t="shared" ref="D67:D70" si="15">SUM(B67:C67)</f>
        <v>1</v>
      </c>
    </row>
    <row r="68" spans="1:7">
      <c r="A68" s="103" t="s">
        <v>2986</v>
      </c>
      <c r="B68" s="104">
        <f>COUNTIFS(Table1[CADRE],FormulaSheet!$A68,Table1[FILLED&amp;UNFILLED],FormulaSheet!B$66)</f>
        <v>3</v>
      </c>
      <c r="C68" s="104">
        <f>COUNTIFS(Table1[CADRE],FormulaSheet!$A68,Table1[FILLED&amp;UNFILLED],FormulaSheet!C$66)</f>
        <v>0</v>
      </c>
      <c r="D68" s="105">
        <f t="shared" si="15"/>
        <v>3</v>
      </c>
    </row>
    <row r="69" spans="1:7">
      <c r="A69" s="103" t="s">
        <v>611</v>
      </c>
      <c r="B69" s="104">
        <f>COUNTIFS(Table1[CADRE],FormulaSheet!$A69,Table1[FILLED&amp;UNFILLED],FormulaSheet!B$66)</f>
        <v>96</v>
      </c>
      <c r="C69" s="104">
        <f>COUNTIFS(Table1[CADRE],FormulaSheet!$A69,Table1[FILLED&amp;UNFILLED],FormulaSheet!C$66)</f>
        <v>3</v>
      </c>
      <c r="D69" s="105">
        <f t="shared" si="15"/>
        <v>99</v>
      </c>
    </row>
    <row r="70" spans="1:7">
      <c r="A70" s="103" t="s">
        <v>3421</v>
      </c>
      <c r="B70" s="104">
        <f>COUNTIFS(Table1[CADRE],FormulaSheet!$A70,Table1[FILLED&amp;UNFILLED],FormulaSheet!B$66)</f>
        <v>38</v>
      </c>
      <c r="C70" s="104">
        <f>COUNTIFS(Table1[CADRE],FormulaSheet!$A70,Table1[FILLED&amp;UNFILLED],FormulaSheet!C$66)</f>
        <v>0</v>
      </c>
      <c r="D70" s="105">
        <f t="shared" si="15"/>
        <v>38</v>
      </c>
    </row>
    <row r="71" spans="1:7">
      <c r="A71" s="99" t="s">
        <v>4146</v>
      </c>
      <c r="B71" s="100">
        <f>SUM(B67:B70)</f>
        <v>138</v>
      </c>
      <c r="C71" s="100">
        <f>SUM(C67:C70)</f>
        <v>3</v>
      </c>
      <c r="D71" s="100">
        <f>SUM(D67:D70)</f>
        <v>141</v>
      </c>
    </row>
    <row r="72" spans="1:7">
      <c r="A72" s="103"/>
      <c r="B72" s="104"/>
      <c r="C72" s="104"/>
    </row>
    <row r="75" spans="1:7">
      <c r="A75" s="187" t="s">
        <v>4151</v>
      </c>
      <c r="B75" s="187" t="s">
        <v>4152</v>
      </c>
      <c r="C75" s="187"/>
      <c r="D75" s="187"/>
      <c r="E75" s="187"/>
      <c r="F75" s="187"/>
      <c r="G75" s="187" t="s">
        <v>4146</v>
      </c>
    </row>
    <row r="76" spans="1:7" ht="30">
      <c r="A76" s="187"/>
      <c r="B76" s="106" t="s">
        <v>4153</v>
      </c>
      <c r="C76" s="106" t="s">
        <v>4154</v>
      </c>
      <c r="D76" s="106" t="s">
        <v>4155</v>
      </c>
      <c r="E76" s="106" t="s">
        <v>4156</v>
      </c>
      <c r="F76" s="106" t="s">
        <v>4157</v>
      </c>
      <c r="G76" s="187"/>
    </row>
    <row r="77" spans="1:7" ht="30">
      <c r="A77" s="96" t="s">
        <v>632</v>
      </c>
      <c r="B77" s="107">
        <f ca="1">COUNTIFS(Table1[26],FormulaSheet!A77,Table1[AGE GROUP],FormulaSheet!B76)</f>
        <v>10</v>
      </c>
      <c r="C77" s="107">
        <f ca="1">COUNTIFS(Table1[26],FormulaSheet!A77,Table1[AGE GROUP],FormulaSheet!C76)</f>
        <v>17</v>
      </c>
      <c r="D77" s="107">
        <f ca="1">COUNTIFS(Table1[26],FormulaSheet!A77,Table1[AGE GROUP],FormulaSheet!D76)</f>
        <v>18</v>
      </c>
      <c r="E77" s="107">
        <f ca="1">COUNTIFS(Table1[26],FormulaSheet!A77,Table1[AGE GROUP],FormulaSheet!E76)</f>
        <v>5</v>
      </c>
      <c r="F77" s="107">
        <f ca="1">COUNTIFS(Table1[26],FormulaSheet!A77,Table1[AGE GROUP],FormulaSheet!F76)</f>
        <v>2</v>
      </c>
      <c r="G77" s="108">
        <f ca="1">SUM(B77:F77)</f>
        <v>52</v>
      </c>
    </row>
    <row r="78" spans="1:7">
      <c r="A78" s="96" t="s">
        <v>612</v>
      </c>
      <c r="B78" s="107">
        <f ca="1">COUNTIFS(Table1[26],FormulaSheet!A78,Table1[AGE GROUP],FormulaSheet!B76)</f>
        <v>5</v>
      </c>
      <c r="C78" s="107">
        <f ca="1">COUNTIFS(Table1[26],FormulaSheet!A78,Table1[AGE GROUP],FormulaSheet!C76)</f>
        <v>84</v>
      </c>
      <c r="D78" s="107">
        <f ca="1">COUNTIFS(Table1[26],FormulaSheet!A78,Table1[AGE GROUP],FormulaSheet!D76)</f>
        <v>38</v>
      </c>
      <c r="E78" s="107">
        <f ca="1">COUNTIFS(Table1[26],FormulaSheet!A78,Table1[AGE GROUP],FormulaSheet!E76)</f>
        <v>11</v>
      </c>
      <c r="F78" s="107">
        <f ca="1">COUNTIFS(Table1[26],FormulaSheet!A78,Table1[AGE GROUP],FormulaSheet!F76)</f>
        <v>0</v>
      </c>
      <c r="G78" s="108">
        <f t="shared" ref="G78:G80" ca="1" si="16">SUM(B78:F78)</f>
        <v>138</v>
      </c>
    </row>
    <row r="79" spans="1:7">
      <c r="A79" s="96" t="s">
        <v>46</v>
      </c>
      <c r="B79" s="107">
        <f ca="1">COUNTIFS(Table1[26],FormulaSheet!A79,Table1[AGE GROUP],FormulaSheet!B76)</f>
        <v>12</v>
      </c>
      <c r="C79" s="107">
        <f ca="1">COUNTIFS(Table1[26],FormulaSheet!A79,Table1[AGE GROUP],FormulaSheet!C76)</f>
        <v>54</v>
      </c>
      <c r="D79" s="107">
        <f ca="1">COUNTIFS(Table1[26],FormulaSheet!A79,Table1[AGE GROUP],FormulaSheet!D76)</f>
        <v>21</v>
      </c>
      <c r="E79" s="107">
        <f ca="1">COUNTIFS(Table1[26],FormulaSheet!A79,Table1[AGE GROUP],FormulaSheet!E76)</f>
        <v>17</v>
      </c>
      <c r="F79" s="107">
        <f ca="1">COUNTIFS(Table1[26],FormulaSheet!A79,Table1[AGE GROUP],FormulaSheet!F76)</f>
        <v>3</v>
      </c>
      <c r="G79" s="108">
        <f t="shared" ca="1" si="16"/>
        <v>107</v>
      </c>
    </row>
    <row r="80" spans="1:7">
      <c r="A80" s="109" t="s">
        <v>4146</v>
      </c>
      <c r="B80" s="110">
        <f ca="1">SUM(B77:B79)</f>
        <v>27</v>
      </c>
      <c r="C80" s="110">
        <f ca="1">SUM(C77:C79)</f>
        <v>155</v>
      </c>
      <c r="D80" s="110">
        <f ca="1">SUM(D77:D79)</f>
        <v>77</v>
      </c>
      <c r="E80" s="110">
        <f ca="1">SUM(E77:E79)</f>
        <v>33</v>
      </c>
      <c r="F80" s="110">
        <f ca="1">SUM(F77:F79)</f>
        <v>5</v>
      </c>
      <c r="G80" s="110">
        <f t="shared" ca="1" si="16"/>
        <v>297</v>
      </c>
    </row>
    <row r="89" spans="1:4">
      <c r="A89" s="188" t="s">
        <v>632</v>
      </c>
      <c r="B89" s="184" t="s">
        <v>4145</v>
      </c>
      <c r="C89" s="184"/>
      <c r="D89" s="185" t="s">
        <v>4146</v>
      </c>
    </row>
    <row r="90" spans="1:4">
      <c r="A90" s="189"/>
      <c r="B90" s="102" t="s">
        <v>1421</v>
      </c>
      <c r="C90" s="102" t="s">
        <v>4149</v>
      </c>
      <c r="D90" s="186"/>
    </row>
    <row r="91" spans="1:4">
      <c r="A91" s="103" t="s">
        <v>1232</v>
      </c>
      <c r="B91">
        <f>COUNTIFS(Table1[Parentetical],FormulaSheet!A91,Table1[26],FormulaSheet!A89,Table1[FILLED&amp;UNFILLED],FormulaSheet!B90)</f>
        <v>1</v>
      </c>
      <c r="C91">
        <f>COUNTIFS(Table1[Parentetical],FormulaSheet!A91,Table1[26],FormulaSheet!A89,Table1[FILLED&amp;UNFILLED],FormulaSheet!C90)</f>
        <v>0</v>
      </c>
      <c r="D91">
        <f>B91+C91</f>
        <v>1</v>
      </c>
    </row>
    <row r="92" spans="1:4">
      <c r="A92" s="103" t="s">
        <v>886</v>
      </c>
      <c r="B92">
        <f>COUNTIFS(Table1[Parentetical],FormulaSheet!A92,Table1[26],FormulaSheet!A89,Table1[FILLED&amp;UNFILLED],FormulaSheet!B90)</f>
        <v>1</v>
      </c>
      <c r="C92">
        <f>COUNTIFS(Table1[Parentetical],FormulaSheet!A92,Table1[26],FormulaSheet!A89,Table1[FILLED&amp;UNFILLED],FormulaSheet!C90)</f>
        <v>0</v>
      </c>
      <c r="D92">
        <f t="shared" ref="D92:D114" si="17">B92+C92</f>
        <v>1</v>
      </c>
    </row>
    <row r="93" spans="1:4">
      <c r="A93" s="103" t="s">
        <v>4056</v>
      </c>
      <c r="B93">
        <f>COUNTIFS(Table1[Parentetical],FormulaSheet!A93,Table1[26],FormulaSheet!A89,Table1[FILLED&amp;UNFILLED],FormulaSheet!B90)</f>
        <v>2</v>
      </c>
      <c r="C93">
        <f>COUNTIFS(Table1[Parentetical],FormulaSheet!A93,Table1[26],FormulaSheet!A89,Table1[FILLED&amp;UNFILLED],FormulaSheet!C90)</f>
        <v>0</v>
      </c>
      <c r="D93">
        <f t="shared" si="17"/>
        <v>2</v>
      </c>
    </row>
    <row r="94" spans="1:4">
      <c r="A94" s="103" t="s">
        <v>3663</v>
      </c>
      <c r="B94">
        <f>COUNTIFS(Table1[Parentetical],FormulaSheet!A94,Table1[26],FormulaSheet!A89,Table1[FILLED&amp;UNFILLED],FormulaSheet!B90)</f>
        <v>5</v>
      </c>
      <c r="C94">
        <f>COUNTIFS(Table1[Parentetical],FormulaSheet!A94,Table1[26],FormulaSheet!A89,Table1[FILLED&amp;UNFILLED],FormulaSheet!C90)</f>
        <v>1</v>
      </c>
      <c r="D94">
        <f t="shared" si="17"/>
        <v>6</v>
      </c>
    </row>
    <row r="95" spans="1:4">
      <c r="A95" s="103" t="s">
        <v>3292</v>
      </c>
      <c r="B95">
        <f>COUNTIFS(Table1[Parentetical],FormulaSheet!A95,Table1[26],FormulaSheet!A89,Table1[FILLED&amp;UNFILLED],FormulaSheet!B90)</f>
        <v>8</v>
      </c>
      <c r="C95">
        <f>COUNTIFS(Table1[Parentetical],FormulaSheet!A95,Table1[26],FormulaSheet!A89,Table1[FILLED&amp;UNFILLED],FormulaSheet!C90)</f>
        <v>0</v>
      </c>
      <c r="D95">
        <f t="shared" si="17"/>
        <v>8</v>
      </c>
    </row>
    <row r="96" spans="1:4">
      <c r="A96" s="103" t="s">
        <v>3200</v>
      </c>
      <c r="B96">
        <f>COUNTIFS(Table1[Parentetical],FormulaSheet!A96,Table1[26],FormulaSheet!A89,Table1[FILLED&amp;UNFILLED],FormulaSheet!B90)</f>
        <v>3</v>
      </c>
      <c r="C96">
        <f>COUNTIFS(Table1[Parentetical],FormulaSheet!A96,Table1[26],FormulaSheet!A89,Table1[FILLED&amp;UNFILLED],FormulaSheet!C90)</f>
        <v>0</v>
      </c>
      <c r="D96">
        <f t="shared" si="17"/>
        <v>3</v>
      </c>
    </row>
    <row r="97" spans="1:4">
      <c r="A97" s="103" t="s">
        <v>3027</v>
      </c>
      <c r="B97">
        <f>COUNTIFS(Table1[Parentetical],FormulaSheet!A97,Table1[26],FormulaSheet!A89,Table1[FILLED&amp;UNFILLED],FormulaSheet!B90)</f>
        <v>5</v>
      </c>
      <c r="C97">
        <f>COUNTIFS(Table1[Parentetical],FormulaSheet!A97,Table1[26],FormulaSheet!A89,Table1[FILLED&amp;UNFILLED],FormulaSheet!C90)</f>
        <v>1</v>
      </c>
      <c r="D97">
        <f t="shared" si="17"/>
        <v>6</v>
      </c>
    </row>
    <row r="98" spans="1:4">
      <c r="A98" s="103" t="s">
        <v>2954</v>
      </c>
      <c r="B98">
        <f>COUNTIFS(Table1[Parentetical],FormulaSheet!A98,Table1[26],FormulaSheet!A89,Table1[FILLED&amp;UNFILLED],FormulaSheet!B90)</f>
        <v>2</v>
      </c>
      <c r="C98">
        <f>COUNTIFS(Table1[Parentetical],FormulaSheet!A98,Table1[26],FormulaSheet!A89,Table1[FILLED&amp;UNFILLED],FormulaSheet!C90)</f>
        <v>0</v>
      </c>
      <c r="D98">
        <f t="shared" si="17"/>
        <v>2</v>
      </c>
    </row>
    <row r="99" spans="1:4">
      <c r="A99" s="103" t="s">
        <v>2869</v>
      </c>
      <c r="B99">
        <f>COUNTIFS(Table1[Parentetical],FormulaSheet!A99,Table1[26],FormulaSheet!A89,Table1[FILLED&amp;UNFILLED],FormulaSheet!B90)</f>
        <v>3</v>
      </c>
      <c r="C99">
        <f>COUNTIFS(Table1[Parentetical],FormulaSheet!A99,Table1[26],FormulaSheet!A89,Table1[FILLED&amp;UNFILLED],FormulaSheet!C90)</f>
        <v>0</v>
      </c>
      <c r="D99">
        <f t="shared" si="17"/>
        <v>3</v>
      </c>
    </row>
    <row r="100" spans="1:4">
      <c r="A100" s="103" t="s">
        <v>2597</v>
      </c>
      <c r="B100">
        <f>COUNTIFS(Table1[Parentetical],FormulaSheet!A100,Table1[26],FormulaSheet!A89,Table1[FILLED&amp;UNFILLED],FormulaSheet!B90)</f>
        <v>3</v>
      </c>
      <c r="C100">
        <f>COUNTIFS(Table1[Parentetical],FormulaSheet!A100,Table1[26],FormulaSheet!A89,Table1[FILLED&amp;UNFILLED],FormulaSheet!C90)</f>
        <v>0</v>
      </c>
      <c r="D100">
        <f t="shared" si="17"/>
        <v>3</v>
      </c>
    </row>
    <row r="101" spans="1:4">
      <c r="A101" s="103" t="s">
        <v>2549</v>
      </c>
      <c r="B101">
        <f>COUNTIFS(Table1[Parentetical],FormulaSheet!A101,Table1[26],FormulaSheet!A89,Table1[FILLED&amp;UNFILLED],FormulaSheet!B90)</f>
        <v>1</v>
      </c>
      <c r="C101">
        <f>COUNTIFS(Table1[Parentetical],FormulaSheet!A101,Table1[26],FormulaSheet!A89,Table1[FILLED&amp;UNFILLED],FormulaSheet!C90)</f>
        <v>0</v>
      </c>
      <c r="D101">
        <f t="shared" si="17"/>
        <v>1</v>
      </c>
    </row>
    <row r="102" spans="1:4">
      <c r="A102" s="103" t="s">
        <v>1722</v>
      </c>
      <c r="B102">
        <f>COUNTIFS(Table1[Parentetical],FormulaSheet!A102,Table1[26],FormulaSheet!A89,Table1[FILLED&amp;UNFILLED],FormulaSheet!B90)</f>
        <v>2</v>
      </c>
      <c r="C102">
        <f>COUNTIFS(Table1[Parentetical],FormulaSheet!A102,Table1[26],FormulaSheet!A89,Table1[FILLED&amp;UNFILLED],FormulaSheet!C90)</f>
        <v>0</v>
      </c>
      <c r="D102">
        <f t="shared" si="17"/>
        <v>2</v>
      </c>
    </row>
    <row r="103" spans="1:4">
      <c r="A103" s="103" t="s">
        <v>937</v>
      </c>
      <c r="B103">
        <f>COUNTIFS(Table1[Parentetical],FormulaSheet!A103,Table1[26],FormulaSheet!A89,Table1[FILLED&amp;UNFILLED],FormulaSheet!B90)</f>
        <v>5</v>
      </c>
      <c r="C103">
        <f>COUNTIFS(Table1[Parentetical],FormulaSheet!A103,Table1[26],FormulaSheet!A89,Table1[FILLED&amp;UNFILLED],FormulaSheet!C90)</f>
        <v>0</v>
      </c>
      <c r="D103">
        <f t="shared" si="17"/>
        <v>5</v>
      </c>
    </row>
    <row r="104" spans="1:4">
      <c r="A104" s="103" t="s">
        <v>2533</v>
      </c>
      <c r="B104">
        <f>COUNTIFS(Table1[Parentetical],FormulaSheet!A104,Table1[26],FormulaSheet!A89,Table1[FILLED&amp;UNFILLED],FormulaSheet!B90)</f>
        <v>1</v>
      </c>
      <c r="C104">
        <f>COUNTIFS(Table1[Parentetical],FormulaSheet!A104,Table1[26],FormulaSheet!A90,Table1[FILLED&amp;UNFILLED],FormulaSheet!C91)</f>
        <v>0</v>
      </c>
      <c r="D104">
        <f t="shared" ref="D104" si="18">B104+C104</f>
        <v>1</v>
      </c>
    </row>
    <row r="105" spans="1:4">
      <c r="A105" s="103" t="s">
        <v>2639</v>
      </c>
      <c r="B105">
        <f>COUNTIFS(Table1[Parentetical],FormulaSheet!A105,Table1[26],FormulaSheet!A89,Table1[FILLED&amp;UNFILLED],FormulaSheet!B90)</f>
        <v>1</v>
      </c>
      <c r="C105">
        <f>COUNTIFS(Table1[Parentetical],FormulaSheet!A105,Table1[26],FormulaSheet!A89,Table1[FILLED&amp;UNFILLED],FormulaSheet!C90)</f>
        <v>0</v>
      </c>
      <c r="D105">
        <f t="shared" si="17"/>
        <v>1</v>
      </c>
    </row>
    <row r="106" spans="1:4">
      <c r="A106" s="103" t="s">
        <v>1246</v>
      </c>
      <c r="B106">
        <f>COUNTIFS(Table1[Parentetical],FormulaSheet!A106,Table1[26],FormulaSheet!A89,Table1[FILLED&amp;UNFILLED],FormulaSheet!B90)</f>
        <v>1</v>
      </c>
      <c r="C106">
        <f>COUNTIFS(Table1[Parentetical],FormulaSheet!A106,Table1[26],FormulaSheet!A89,Table1[FILLED&amp;UNFILLED],FormulaSheet!C90)</f>
        <v>0</v>
      </c>
      <c r="D106">
        <f t="shared" si="17"/>
        <v>1</v>
      </c>
    </row>
    <row r="107" spans="1:4">
      <c r="A107" s="103" t="s">
        <v>904</v>
      </c>
      <c r="B107">
        <f>COUNTIFS(Table1[Parentetical],FormulaSheet!A107,Table1[26],FormulaSheet!A89,Table1[FILLED&amp;UNFILLED],FormulaSheet!B90)</f>
        <v>1</v>
      </c>
      <c r="C107">
        <f>COUNTIFS(Table1[Parentetical],FormulaSheet!A107,Table1[26],FormulaSheet!A89,Table1[FILLED&amp;UNFILLED],FormulaSheet!C90)</f>
        <v>0</v>
      </c>
      <c r="D107">
        <f t="shared" si="17"/>
        <v>1</v>
      </c>
    </row>
    <row r="108" spans="1:4">
      <c r="A108" s="103" t="s">
        <v>3140</v>
      </c>
      <c r="B108">
        <f>COUNTIFS(Table1[Parentetical],FormulaSheet!A108,Table1[26],FormulaSheet!A89,Table1[FILLED&amp;UNFILLED],FormulaSheet!B90)</f>
        <v>1</v>
      </c>
      <c r="C108">
        <f>COUNTIFS(Table1[Parentetical],FormulaSheet!A108,Table1[26],FormulaSheet!A89,Table1[FILLED&amp;UNFILLED],FormulaSheet!C90)</f>
        <v>0</v>
      </c>
      <c r="D108">
        <f t="shared" si="17"/>
        <v>1</v>
      </c>
    </row>
    <row r="109" spans="1:4">
      <c r="A109" s="103" t="s">
        <v>4100</v>
      </c>
      <c r="B109">
        <f>COUNTIFS(Table1[Parentetical],FormulaSheet!A109,Table1[26],FormulaSheet!A89,Table1[FILLED&amp;UNFILLED],FormulaSheet!B90)</f>
        <v>1</v>
      </c>
      <c r="C109">
        <f>COUNTIFS(Table1[Parentetical],FormulaSheet!A109,Table1[26],FormulaSheet!A89,Table1[FILLED&amp;UNFILLED],FormulaSheet!C90)</f>
        <v>0</v>
      </c>
      <c r="D109">
        <f t="shared" si="17"/>
        <v>1</v>
      </c>
    </row>
    <row r="110" spans="1:4">
      <c r="A110" s="103" t="s">
        <v>3153</v>
      </c>
      <c r="B110">
        <f>COUNTIFS(Table1[Parentetical],FormulaSheet!A110,Table1[26],FormulaSheet!A89,Table1[FILLED&amp;UNFILLED],FormulaSheet!B90)</f>
        <v>1</v>
      </c>
      <c r="C110">
        <f>COUNTIFS(Table1[Parentetical],FormulaSheet!A110,Table1[26],FormulaSheet!A89,Table1[FILLED&amp;UNFILLED],FormulaSheet!C90)</f>
        <v>0</v>
      </c>
      <c r="D110">
        <f t="shared" si="17"/>
        <v>1</v>
      </c>
    </row>
    <row r="111" spans="1:4">
      <c r="A111" s="103" t="s">
        <v>3407</v>
      </c>
      <c r="B111">
        <f>COUNTIFS(Table1[Parentetical],FormulaSheet!A111,Table1[26],FormulaSheet!A89,Table1[FILLED&amp;UNFILLED],FormulaSheet!B90)</f>
        <v>1</v>
      </c>
      <c r="C111">
        <f>COUNTIFS(Table1[Parentetical],FormulaSheet!A111,Table1[26],FormulaSheet!A89,Table1[FILLED&amp;UNFILLED],FormulaSheet!C90)</f>
        <v>0</v>
      </c>
      <c r="D111">
        <f t="shared" si="17"/>
        <v>1</v>
      </c>
    </row>
    <row r="112" spans="1:4">
      <c r="A112" s="103" t="s">
        <v>4114</v>
      </c>
      <c r="B112">
        <f>COUNTIFS(Table1[Parentetical],FormulaSheet!A112,Table1[26],FormulaSheet!A89,Table1[FILLED&amp;UNFILLED],FormulaSheet!B90)</f>
        <v>1</v>
      </c>
      <c r="C112">
        <f>COUNTIFS(Table1[Parentetical],FormulaSheet!A112,Table1[26],FormulaSheet!A89,Table1[FILLED&amp;UNFILLED],FormulaSheet!C90)</f>
        <v>0</v>
      </c>
      <c r="D112">
        <f t="shared" si="17"/>
        <v>1</v>
      </c>
    </row>
    <row r="113" spans="1:4">
      <c r="A113" s="103" t="s">
        <v>629</v>
      </c>
      <c r="B113">
        <f>COUNTIFS(Table1[Parentetical],FormulaSheet!A113,Table1[26],FormulaSheet!A89,Table1[FILLED&amp;UNFILLED],FormulaSheet!B90)</f>
        <v>1</v>
      </c>
      <c r="C113">
        <f>COUNTIFS(Table1[Parentetical],FormulaSheet!A113,Table1[26],FormulaSheet!A89,Table1[FILLED&amp;UNFILLED],FormulaSheet!C90)</f>
        <v>0</v>
      </c>
      <c r="D113">
        <f t="shared" si="17"/>
        <v>1</v>
      </c>
    </row>
    <row r="114" spans="1:4">
      <c r="A114" s="103" t="s">
        <v>3184</v>
      </c>
      <c r="B114">
        <f>COUNTIFS(Table1[Parentetical],FormulaSheet!A114,Table1[26],FormulaSheet!A89,Table1[FILLED&amp;UNFILLED],FormulaSheet!B90)</f>
        <v>1</v>
      </c>
      <c r="C114">
        <f>COUNTIFS(Table1[Parentetical],FormulaSheet!A114,Table1[26],FormulaSheet!A89,Table1[FILLED&amp;UNFILLED],FormulaSheet!C90)</f>
        <v>0</v>
      </c>
      <c r="D114">
        <f t="shared" si="17"/>
        <v>1</v>
      </c>
    </row>
    <row r="115" spans="1:4">
      <c r="A115" s="99" t="s">
        <v>4146</v>
      </c>
      <c r="B115" s="111">
        <f>SUM(B91:B114)</f>
        <v>52</v>
      </c>
      <c r="C115" s="111">
        <f>SUM(C91:C114)</f>
        <v>2</v>
      </c>
      <c r="D115" s="111">
        <f>SUM(D91:D114)</f>
        <v>54</v>
      </c>
    </row>
    <row r="118" spans="1:4">
      <c r="A118" s="185" t="s">
        <v>46</v>
      </c>
      <c r="B118" s="184" t="s">
        <v>4145</v>
      </c>
      <c r="C118" s="184"/>
      <c r="D118" s="185" t="s">
        <v>4146</v>
      </c>
    </row>
    <row r="119" spans="1:4">
      <c r="A119" s="186"/>
      <c r="B119" s="102" t="s">
        <v>1421</v>
      </c>
      <c r="C119" s="102" t="s">
        <v>4149</v>
      </c>
      <c r="D119" s="186"/>
    </row>
    <row r="120" spans="1:4">
      <c r="A120" s="103" t="s">
        <v>4056</v>
      </c>
      <c r="B120">
        <f>COUNTIFS(Table1[Parentetical],FormulaSheet!A120,Table1[26],FormulaSheet!A118,Table1[FILLED&amp;UNFILLED],FormulaSheet!B119)</f>
        <v>2</v>
      </c>
      <c r="C120">
        <f>COUNTIFS(Table1[Parentetical],FormulaSheet!A120,Table1[26],FormulaSheet!A118,Table1[FILLED&amp;UNFILLED],FormulaSheet!C119)</f>
        <v>0</v>
      </c>
      <c r="D120">
        <f>B120+C120</f>
        <v>2</v>
      </c>
    </row>
    <row r="121" spans="1:4">
      <c r="A121" s="103" t="s">
        <v>3200</v>
      </c>
      <c r="B121">
        <f>COUNTIFS(Table1[Parentetical],FormulaSheet!A121,Table1[26],FormulaSheet!A118,Table1[FILLED&amp;UNFILLED],FormulaSheet!B119)</f>
        <v>4</v>
      </c>
      <c r="C121">
        <f>COUNTIFS(Table1[Parentetical],FormulaSheet!A121,Table1[26],FormulaSheet!A118,Table1[FILLED&amp;UNFILLED],FormulaSheet!C119)</f>
        <v>0</v>
      </c>
      <c r="D121">
        <f t="shared" ref="D121:D157" si="19">B121+C121</f>
        <v>4</v>
      </c>
    </row>
    <row r="122" spans="1:4">
      <c r="A122" s="103" t="s">
        <v>3027</v>
      </c>
      <c r="B122">
        <f>COUNTIFS(Table1[Parentetical],FormulaSheet!A122,Table1[26],FormulaSheet!A118,Table1[FILLED&amp;UNFILLED],FormulaSheet!B119)</f>
        <v>2</v>
      </c>
      <c r="C122">
        <f>COUNTIFS(Table1[Parentetical],FormulaSheet!A122,Table1[26],FormulaSheet!A118,Table1[FILLED&amp;UNFILLED],FormulaSheet!C119)</f>
        <v>0</v>
      </c>
      <c r="D122">
        <f t="shared" si="19"/>
        <v>2</v>
      </c>
    </row>
    <row r="123" spans="1:4">
      <c r="A123" s="103" t="s">
        <v>2869</v>
      </c>
      <c r="B123">
        <f>COUNTIFS(Table1[Parentetical],FormulaSheet!A123,Table1[26],FormulaSheet!A118,Table1[FILLED&amp;UNFILLED],FormulaSheet!B119)</f>
        <v>1</v>
      </c>
      <c r="C123">
        <f>COUNTIFS(Table1[Parentetical],FormulaSheet!A123,Table1[26],FormulaSheet!A118,Table1[FILLED&amp;UNFILLED],FormulaSheet!C119)</f>
        <v>0</v>
      </c>
      <c r="D123">
        <f t="shared" si="19"/>
        <v>1</v>
      </c>
    </row>
    <row r="124" spans="1:4">
      <c r="A124" s="103" t="s">
        <v>1722</v>
      </c>
      <c r="B124">
        <f>COUNTIFS(Table1[Parentetical],FormulaSheet!A124,Table1[26],FormulaSheet!A118,Table1[FILLED&amp;UNFILLED],FormulaSheet!B119)</f>
        <v>1</v>
      </c>
      <c r="C124">
        <f>COUNTIFS(Table1[Parentetical],FormulaSheet!A124,Table1[26],FormulaSheet!A118,Table1[FILLED&amp;UNFILLED],FormulaSheet!C119)</f>
        <v>0</v>
      </c>
      <c r="D124">
        <f t="shared" si="19"/>
        <v>1</v>
      </c>
    </row>
    <row r="125" spans="1:4">
      <c r="A125" s="103" t="s">
        <v>937</v>
      </c>
      <c r="B125">
        <f>COUNTIFS(Table1[Parentetical],FormulaSheet!A125,Table1[26],FormulaSheet!A118,Table1[FILLED&amp;UNFILLED],FormulaSheet!B119)</f>
        <v>1</v>
      </c>
      <c r="C125">
        <f>COUNTIFS(Table1[Parentetical],FormulaSheet!A125,Table1[26],FormulaSheet!A118,Table1[FILLED&amp;UNFILLED],FormulaSheet!C119)</f>
        <v>0</v>
      </c>
      <c r="D125">
        <f t="shared" si="19"/>
        <v>1</v>
      </c>
    </row>
    <row r="126" spans="1:4">
      <c r="A126" s="103" t="s">
        <v>1763</v>
      </c>
      <c r="B126">
        <f>COUNTIFS(Table1[Parentetical],FormulaSheet!A126,Table1[26],FormulaSheet!A118,Table1[FILLED&amp;UNFILLED],FormulaSheet!B119)</f>
        <v>1</v>
      </c>
      <c r="C126">
        <f>COUNTIFS(Table1[Parentetical],FormulaSheet!A126,Table1[26],FormulaSheet!A118,Table1[FILLED&amp;UNFILLED],FormulaSheet!C119)</f>
        <v>0</v>
      </c>
      <c r="D126">
        <f t="shared" si="19"/>
        <v>1</v>
      </c>
    </row>
    <row r="127" spans="1:4">
      <c r="A127" s="103" t="s">
        <v>71</v>
      </c>
      <c r="B127">
        <f>COUNTIFS(Table1[Parentetical],FormulaSheet!A127,Table1[26],FormulaSheet!A118,Table1[FILLED&amp;UNFILLED],FormulaSheet!B119)</f>
        <v>1</v>
      </c>
      <c r="C127">
        <f>COUNTIFS(Table1[Parentetical],FormulaSheet!A127,Table1[26],FormulaSheet!A118,Table1[FILLED&amp;UNFILLED],FormulaSheet!C119)</f>
        <v>0</v>
      </c>
      <c r="D127">
        <f t="shared" si="19"/>
        <v>1</v>
      </c>
    </row>
    <row r="128" spans="1:4">
      <c r="A128" s="103" t="s">
        <v>3623</v>
      </c>
      <c r="B128">
        <f>COUNTIFS(Table1[Parentetical],FormulaSheet!A128,Table1[26],FormulaSheet!A118,Table1[FILLED&amp;UNFILLED],FormulaSheet!B119)</f>
        <v>3</v>
      </c>
      <c r="C128">
        <f>COUNTIFS(Table1[Parentetical],FormulaSheet!A128,Table1[26],FormulaSheet!A118,Table1[FILLED&amp;UNFILLED],FormulaSheet!C119)</f>
        <v>0</v>
      </c>
      <c r="D128">
        <f t="shared" si="19"/>
        <v>3</v>
      </c>
    </row>
    <row r="129" spans="1:4">
      <c r="A129" s="103" t="s">
        <v>3125</v>
      </c>
      <c r="B129">
        <f>COUNTIFS(Table1[Parentetical],FormulaSheet!A129,Table1[26],FormulaSheet!A118,Table1[FILLED&amp;UNFILLED],FormulaSheet!B119)</f>
        <v>1</v>
      </c>
      <c r="C129">
        <f>COUNTIFS(Table1[Parentetical],FormulaSheet!A129,Table1[26],FormulaSheet!A118,Table1[FILLED&amp;UNFILLED],FormulaSheet!C119)</f>
        <v>0</v>
      </c>
      <c r="D129">
        <f t="shared" si="19"/>
        <v>1</v>
      </c>
    </row>
    <row r="130" spans="1:4">
      <c r="A130" s="103" t="s">
        <v>3733</v>
      </c>
      <c r="B130">
        <f>COUNTIFS(Table1[Parentetical],FormulaSheet!A130,Table1[26],FormulaSheet!A118,Table1[FILLED&amp;UNFILLED],FormulaSheet!B119)</f>
        <v>1</v>
      </c>
      <c r="C130">
        <f>COUNTIFS(Table1[Parentetical],FormulaSheet!A130,Table1[26],FormulaSheet!A118,Table1[FILLED&amp;UNFILLED],FormulaSheet!C119)</f>
        <v>0</v>
      </c>
      <c r="D130">
        <f t="shared" si="19"/>
        <v>1</v>
      </c>
    </row>
    <row r="131" spans="1:4">
      <c r="A131" s="103" t="s">
        <v>1134</v>
      </c>
      <c r="B131">
        <f>COUNTIFS(Table1[Parentetical],FormulaSheet!A131,Table1[26],FormulaSheet!A118,Table1[FILLED&amp;UNFILLED],FormulaSheet!B119)</f>
        <v>0</v>
      </c>
      <c r="C131">
        <f>COUNTIFS(Table1[Parentetical],FormulaSheet!A131,Table1[26],FormulaSheet!A118,Table1[FILLED&amp;UNFILLED],FormulaSheet!C119)</f>
        <v>1</v>
      </c>
      <c r="D131">
        <f t="shared" si="19"/>
        <v>1</v>
      </c>
    </row>
    <row r="132" spans="1:4">
      <c r="A132" s="103" t="s">
        <v>339</v>
      </c>
      <c r="B132">
        <f>COUNTIFS(Table1[Parentetical],FormulaSheet!A132,Table1[26],FormulaSheet!A118,Table1[FILLED&amp;UNFILLED],FormulaSheet!B119)</f>
        <v>1</v>
      </c>
      <c r="C132">
        <f>COUNTIFS(Table1[Parentetical],FormulaSheet!A132,Table1[26],FormulaSheet!A118,Table1[FILLED&amp;UNFILLED],FormulaSheet!C119)</f>
        <v>0</v>
      </c>
      <c r="D132">
        <f t="shared" si="19"/>
        <v>1</v>
      </c>
    </row>
    <row r="133" spans="1:4">
      <c r="A133" s="103" t="s">
        <v>2563</v>
      </c>
      <c r="B133">
        <f>COUNTIFS(Table1[Parentetical],FormulaSheet!A133,Table1[26],FormulaSheet!A118,Table1[FILLED&amp;UNFILLED],FormulaSheet!B119)</f>
        <v>1</v>
      </c>
      <c r="C133">
        <f>COUNTIFS(Table1[Parentetical],FormulaSheet!A133,Table1[26],FormulaSheet!A118,Table1[FILLED&amp;UNFILLED],FormulaSheet!C119)</f>
        <v>0</v>
      </c>
      <c r="D133">
        <f t="shared" si="19"/>
        <v>1</v>
      </c>
    </row>
    <row r="134" spans="1:4">
      <c r="A134" s="103" t="s">
        <v>3744</v>
      </c>
      <c r="B134">
        <f>COUNTIFS(Table1[Parentetical],FormulaSheet!A134,Table1[26],FormulaSheet!A118,Table1[FILLED&amp;UNFILLED],FormulaSheet!B119)</f>
        <v>5</v>
      </c>
      <c r="C134">
        <f>COUNTIFS(Table1[Parentetical],FormulaSheet!A134,Table1[26],FormulaSheet!A118,Table1[FILLED&amp;UNFILLED],FormulaSheet!C119)</f>
        <v>0</v>
      </c>
      <c r="D134">
        <f t="shared" si="19"/>
        <v>5</v>
      </c>
    </row>
    <row r="135" spans="1:4">
      <c r="A135" s="103" t="s">
        <v>43</v>
      </c>
      <c r="B135">
        <f>COUNTIFS(Table1[Parentetical],FormulaSheet!A135,Table1[26],FormulaSheet!A118,Table1[FILLED&amp;UNFILLED],FormulaSheet!B119)</f>
        <v>1</v>
      </c>
      <c r="C135">
        <f>COUNTIFS(Table1[Parentetical],FormulaSheet!A135,Table1[26],FormulaSheet!A118,Table1[FILLED&amp;UNFILLED],FormulaSheet!C119)</f>
        <v>0</v>
      </c>
      <c r="D135">
        <f t="shared" si="19"/>
        <v>1</v>
      </c>
    </row>
    <row r="136" spans="1:4">
      <c r="A136" s="103" t="s">
        <v>4158</v>
      </c>
      <c r="B136">
        <f>COUNTIFS(Table1[Parentetical],FormulaSheet!A136,Table1[26],FormulaSheet!A118,Table1[FILLED&amp;UNFILLED],FormulaSheet!B119)</f>
        <v>0</v>
      </c>
      <c r="C136">
        <f>COUNTIFS(Table1[Parentetical],FormulaSheet!A136,Table1[26],FormulaSheet!A118,Table1[FILLED&amp;UNFILLED],FormulaSheet!C119)</f>
        <v>0</v>
      </c>
      <c r="D136">
        <f t="shared" si="19"/>
        <v>0</v>
      </c>
    </row>
    <row r="137" spans="1:4">
      <c r="A137" s="103" t="s">
        <v>650</v>
      </c>
      <c r="B137">
        <f>COUNTIFS(Table1[Parentetical],FormulaSheet!A137,Table1[26],FormulaSheet!A118,Table1[FILLED&amp;UNFILLED],FormulaSheet!B119)</f>
        <v>16</v>
      </c>
      <c r="C137">
        <f>COUNTIFS(Table1[Parentetical],FormulaSheet!A137,Table1[26],FormulaSheet!A118,Table1[FILLED&amp;UNFILLED],FormulaSheet!C119)</f>
        <v>0</v>
      </c>
      <c r="D137">
        <f t="shared" si="19"/>
        <v>16</v>
      </c>
    </row>
    <row r="138" spans="1:4">
      <c r="A138" s="103" t="s">
        <v>359</v>
      </c>
      <c r="B138">
        <f>COUNTIFS(Table1[Parentetical],FormulaSheet!A138,Table1[26],FormulaSheet!A118,Table1[FILLED&amp;UNFILLED],FormulaSheet!B119)</f>
        <v>6</v>
      </c>
      <c r="C138">
        <f>COUNTIFS(Table1[Parentetical],FormulaSheet!A138,Table1[26],FormulaSheet!A118,Table1[FILLED&amp;UNFILLED],FormulaSheet!C119)</f>
        <v>0</v>
      </c>
      <c r="D138">
        <f t="shared" si="19"/>
        <v>6</v>
      </c>
    </row>
    <row r="139" spans="1:4">
      <c r="A139" s="103" t="s">
        <v>441</v>
      </c>
      <c r="B139">
        <f>COUNTIFS(Table1[Parentetical],FormulaSheet!A139,Table1[26],FormulaSheet!A118,Table1[FILLED&amp;UNFILLED],FormulaSheet!B119)</f>
        <v>12</v>
      </c>
      <c r="C139">
        <f>COUNTIFS(Table1[Parentetical],FormulaSheet!A139,Table1[26],FormulaSheet!A118,Table1[FILLED&amp;UNFILLED],FormulaSheet!C119)</f>
        <v>0</v>
      </c>
      <c r="D139">
        <f t="shared" si="19"/>
        <v>12</v>
      </c>
    </row>
    <row r="140" spans="1:4">
      <c r="A140" s="103" t="s">
        <v>93</v>
      </c>
      <c r="B140">
        <f>COUNTIFS(Table1[Parentetical],FormulaSheet!A140,Table1[26],FormulaSheet!A118,Table1[FILLED&amp;UNFILLED],FormulaSheet!B119)</f>
        <v>15</v>
      </c>
      <c r="C140">
        <f>COUNTIFS(Table1[Parentetical],FormulaSheet!A140,Table1[26],FormulaSheet!A118,Table1[FILLED&amp;UNFILLED],FormulaSheet!C119)</f>
        <v>0</v>
      </c>
      <c r="D140">
        <f t="shared" si="19"/>
        <v>15</v>
      </c>
    </row>
    <row r="141" spans="1:4">
      <c r="A141" s="103" t="s">
        <v>2653</v>
      </c>
      <c r="B141">
        <f>COUNTIFS(Table1[Parentetical],FormulaSheet!A141,Table1[26],FormulaSheet!A118,Table1[FILLED&amp;UNFILLED],FormulaSheet!B119)</f>
        <v>7</v>
      </c>
      <c r="C141">
        <f>COUNTIFS(Table1[Parentetical],FormulaSheet!A141,Table1[26],FormulaSheet!A118,Table1[FILLED&amp;UNFILLED],FormulaSheet!C119)</f>
        <v>1</v>
      </c>
      <c r="D141">
        <f t="shared" si="19"/>
        <v>8</v>
      </c>
    </row>
    <row r="142" spans="1:4">
      <c r="A142" s="103" t="s">
        <v>1780</v>
      </c>
      <c r="B142">
        <f>COUNTIFS(Table1[Parentetical],FormulaSheet!A142,Table1[26],FormulaSheet!A118,Table1[FILLED&amp;UNFILLED],FormulaSheet!B119)</f>
        <v>4</v>
      </c>
      <c r="C142">
        <f>COUNTIFS(Table1[Parentetical],FormulaSheet!A142,Table1[26],FormulaSheet!A118,Table1[FILLED&amp;UNFILLED],FormulaSheet!C119)</f>
        <v>0</v>
      </c>
      <c r="D142">
        <f t="shared" si="19"/>
        <v>4</v>
      </c>
    </row>
    <row r="143" spans="1:4">
      <c r="A143" s="103" t="s">
        <v>1034</v>
      </c>
      <c r="B143">
        <f>COUNTIFS(Table1[Parentetical],FormulaSheet!A143,Table1[26],FormulaSheet!A118,Table1[FILLED&amp;UNFILLED],FormulaSheet!B119)</f>
        <v>2</v>
      </c>
      <c r="C143">
        <f>COUNTIFS(Table1[Parentetical],FormulaSheet!A143,Table1[26],FormulaSheet!A118,Table1[FILLED&amp;UNFILLED],FormulaSheet!C119)</f>
        <v>0</v>
      </c>
      <c r="D143">
        <f t="shared" si="19"/>
        <v>2</v>
      </c>
    </row>
    <row r="144" spans="1:4">
      <c r="A144" s="103" t="s">
        <v>2746</v>
      </c>
      <c r="B144">
        <f>COUNTIFS(Table1[Parentetical],FormulaSheet!A144,Table1[26],FormulaSheet!A118,Table1[FILLED&amp;UNFILLED],FormulaSheet!B119)</f>
        <v>1</v>
      </c>
      <c r="C144">
        <f>COUNTIFS(Table1[Parentetical],FormulaSheet!A144,Table1[26],FormulaSheet!A118,Table1[FILLED&amp;UNFILLED],FormulaSheet!C119)</f>
        <v>0</v>
      </c>
      <c r="D144">
        <f t="shared" si="19"/>
        <v>1</v>
      </c>
    </row>
    <row r="145" spans="1:4">
      <c r="A145" s="103" t="s">
        <v>1064</v>
      </c>
      <c r="B145">
        <f>COUNTIFS(Table1[Parentetical],FormulaSheet!A145,Table1[26],FormulaSheet!A118,Table1[FILLED&amp;UNFILLED],FormulaSheet!B119)</f>
        <v>1</v>
      </c>
      <c r="C145">
        <f>COUNTIFS(Table1[Parentetical],FormulaSheet!A145,Table1[26],FormulaSheet!A118,Table1[FILLED&amp;UNFILLED],FormulaSheet!C119)</f>
        <v>0</v>
      </c>
      <c r="D145">
        <f t="shared" si="19"/>
        <v>1</v>
      </c>
    </row>
    <row r="146" spans="1:4">
      <c r="A146" s="103" t="s">
        <v>2760</v>
      </c>
      <c r="B146">
        <f>COUNTIFS(Table1[Parentetical],FormulaSheet!A146,Table1[26],FormulaSheet!A118,Table1[FILLED&amp;UNFILLED],FormulaSheet!B119)</f>
        <v>5</v>
      </c>
      <c r="C146">
        <f>COUNTIFS(Table1[Parentetical],FormulaSheet!A146,Table1[26],FormulaSheet!A118,Table1[FILLED&amp;UNFILLED],FormulaSheet!C119)</f>
        <v>0</v>
      </c>
      <c r="D146">
        <f t="shared" si="19"/>
        <v>5</v>
      </c>
    </row>
    <row r="147" spans="1:4">
      <c r="A147" s="103" t="s">
        <v>1082</v>
      </c>
      <c r="B147">
        <f>COUNTIFS(Table1[Parentetical],FormulaSheet!A147,Table1[26],FormulaSheet!A118,Table1[FILLED&amp;UNFILLED],FormulaSheet!B119)</f>
        <v>1</v>
      </c>
      <c r="C147">
        <f>COUNTIFS(Table1[Parentetical],FormulaSheet!A147,Table1[26],FormulaSheet!A118,Table1[FILLED&amp;UNFILLED],FormulaSheet!C119)</f>
        <v>0</v>
      </c>
      <c r="D147">
        <f t="shared" si="19"/>
        <v>1</v>
      </c>
    </row>
    <row r="148" spans="1:4">
      <c r="A148" s="103" t="s">
        <v>2485</v>
      </c>
      <c r="B148">
        <f>COUNTIFS(Table1[Parentetical],FormulaSheet!A148,Table1[26],FormulaSheet!A118,Table1[FILLED&amp;UNFILLED],FormulaSheet!B119)</f>
        <v>1</v>
      </c>
      <c r="C148">
        <f>COUNTIFS(Table1[Parentetical],FormulaSheet!A148,Table1[26],FormulaSheet!A118,Table1[FILLED&amp;UNFILLED],FormulaSheet!C119)</f>
        <v>0</v>
      </c>
      <c r="D148">
        <f t="shared" si="19"/>
        <v>1</v>
      </c>
    </row>
    <row r="149" spans="1:4">
      <c r="A149" s="103" t="s">
        <v>2826</v>
      </c>
      <c r="B149">
        <f>COUNTIFS(Table1[Parentetical],FormulaSheet!A149,Table1[26],FormulaSheet!A118,Table1[FILLED&amp;UNFILLED],FormulaSheet!B119)</f>
        <v>1</v>
      </c>
      <c r="C149">
        <f>COUNTIFS(Table1[Parentetical],FormulaSheet!A149,Table1[26],FormulaSheet!A118,Table1[FILLED&amp;UNFILLED],FormulaSheet!C119)</f>
        <v>1</v>
      </c>
      <c r="D149">
        <f t="shared" si="19"/>
        <v>2</v>
      </c>
    </row>
    <row r="150" spans="1:4">
      <c r="A150" s="103" t="s">
        <v>2503</v>
      </c>
      <c r="B150">
        <f>COUNTIFS(Table1[Parentetical],FormulaSheet!A150,Table1[26],FormulaSheet!A118,Table1[FILLED&amp;UNFILLED],FormulaSheet!B119)</f>
        <v>1</v>
      </c>
      <c r="C150">
        <f>COUNTIFS(Table1[Parentetical],FormulaSheet!A150,Table1[26],FormulaSheet!A118,Table1[FILLED&amp;UNFILLED],FormulaSheet!C119)</f>
        <v>1</v>
      </c>
      <c r="D150">
        <f t="shared" si="19"/>
        <v>2</v>
      </c>
    </row>
    <row r="151" spans="1:4">
      <c r="A151" s="103" t="s">
        <v>1099</v>
      </c>
      <c r="B151">
        <f>COUNTIFS(Table1[Parentetical],FormulaSheet!A151,Table1[26],FormulaSheet!A118,Table1[FILLED&amp;UNFILLED],FormulaSheet!B119)</f>
        <v>1</v>
      </c>
      <c r="C151">
        <f>COUNTIFS(Table1[Parentetical],FormulaSheet!A151,Table1[26],FormulaSheet!A118,Table1[FILLED&amp;UNFILLED],FormulaSheet!C119)</f>
        <v>0</v>
      </c>
      <c r="D151">
        <f t="shared" si="19"/>
        <v>1</v>
      </c>
    </row>
    <row r="152" spans="1:4">
      <c r="A152" s="103" t="s">
        <v>2925</v>
      </c>
      <c r="B152">
        <f>COUNTIFS(Table1[Parentetical],FormulaSheet!A152,Table1[26],FormulaSheet!A118,Table1[FILLED&amp;UNFILLED],FormulaSheet!B119)</f>
        <v>2</v>
      </c>
      <c r="C152">
        <f>COUNTIFS(Table1[Parentetical],FormulaSheet!A152,Table1[26],FormulaSheet!A118,Table1[FILLED&amp;UNFILLED],FormulaSheet!C119)</f>
        <v>0</v>
      </c>
      <c r="D152">
        <f t="shared" si="19"/>
        <v>2</v>
      </c>
    </row>
    <row r="153" spans="1:4">
      <c r="A153" s="103" t="s">
        <v>2579</v>
      </c>
      <c r="B153">
        <f>COUNTIFS(Table1[Parentetical],FormulaSheet!A153,Table1[26],FormulaSheet!A118,Table1[FILLED&amp;UNFILLED],FormulaSheet!B119)</f>
        <v>1</v>
      </c>
      <c r="C153">
        <f>COUNTIFS(Table1[Parentetical],FormulaSheet!A153,Table1[26],FormulaSheet!A118,Table1[FILLED&amp;UNFILLED],FormulaSheet!C119)</f>
        <v>0</v>
      </c>
      <c r="D153">
        <f t="shared" si="19"/>
        <v>1</v>
      </c>
    </row>
    <row r="154" spans="1:4">
      <c r="A154" s="103" t="s">
        <v>3168</v>
      </c>
      <c r="B154">
        <f>COUNTIFS(Table1[Parentetical],FormulaSheet!A154,Table1[26],FormulaSheet!A118,Table1[FILLED&amp;UNFILLED],FormulaSheet!B119)</f>
        <v>1</v>
      </c>
      <c r="C154">
        <f>COUNTIFS(Table1[Parentetical],FormulaSheet!A154,Table1[26],FormulaSheet!A118,Table1[FILLED&amp;UNFILLED],FormulaSheet!C119)</f>
        <v>0</v>
      </c>
      <c r="D154">
        <f t="shared" si="19"/>
        <v>1</v>
      </c>
    </row>
    <row r="155" spans="1:4">
      <c r="A155" s="103" t="s">
        <v>2841</v>
      </c>
      <c r="B155">
        <f>COUNTIFS(Table1[Parentetical],FormulaSheet!A155,Table1[26],FormulaSheet!A118,Table1[FILLED&amp;UNFILLED],FormulaSheet!B119)</f>
        <v>2</v>
      </c>
      <c r="C155">
        <f>COUNTIFS(Table1[Parentetical],FormulaSheet!A155,Table1[26],FormulaSheet!A118,Table1[FILLED&amp;UNFILLED],FormulaSheet!C119)</f>
        <v>0</v>
      </c>
      <c r="D155">
        <f t="shared" si="19"/>
        <v>2</v>
      </c>
    </row>
    <row r="156" spans="1:4">
      <c r="A156" s="103" t="s">
        <v>1116</v>
      </c>
      <c r="B156">
        <f>COUNTIFS(Table1[Parentetical],FormulaSheet!A156,Table1[26],FormulaSheet!A118,Table1[FILLED&amp;UNFILLED],FormulaSheet!B119)</f>
        <v>1</v>
      </c>
      <c r="C156">
        <f>COUNTIFS(Table1[Parentetical],FormulaSheet!A156,Table1[26],FormulaSheet!A118,Table1[FILLED&amp;UNFILLED],FormulaSheet!C119)</f>
        <v>0</v>
      </c>
      <c r="D156">
        <f t="shared" si="19"/>
        <v>1</v>
      </c>
    </row>
    <row r="157" spans="1:4">
      <c r="A157" s="103" t="s">
        <v>2518</v>
      </c>
      <c r="B157">
        <f>COUNTIFS(Table1[Parentetical],FormulaSheet!A157,Table1[26],FormulaSheet!A118,Table1[FILLED&amp;UNFILLED],FormulaSheet!B119)</f>
        <v>1</v>
      </c>
      <c r="C157">
        <f>COUNTIFS(Table1[Parentetical],FormulaSheet!A157,Table1[26],FormulaSheet!A118,Table1[FILLED&amp;UNFILLED],FormulaSheet!C119)</f>
        <v>0</v>
      </c>
      <c r="D157">
        <f t="shared" si="19"/>
        <v>1</v>
      </c>
    </row>
    <row r="158" spans="1:4">
      <c r="A158" s="99" t="s">
        <v>4146</v>
      </c>
      <c r="B158" s="111">
        <f>SUM(B120:B157)</f>
        <v>108</v>
      </c>
      <c r="C158" s="111">
        <f>SUM(C120:C157)</f>
        <v>4</v>
      </c>
      <c r="D158" s="111">
        <f>SUM(D120:D157)</f>
        <v>112</v>
      </c>
    </row>
    <row r="161" spans="1:4" ht="13.5" customHeight="1"/>
    <row r="162" spans="1:4">
      <c r="A162" s="185" t="s">
        <v>612</v>
      </c>
      <c r="B162" s="184" t="s">
        <v>4145</v>
      </c>
      <c r="C162" s="184"/>
      <c r="D162" s="185" t="s">
        <v>4146</v>
      </c>
    </row>
    <row r="163" spans="1:4">
      <c r="A163" s="186"/>
      <c r="B163" s="102" t="s">
        <v>1421</v>
      </c>
      <c r="C163" s="102" t="s">
        <v>4149</v>
      </c>
      <c r="D163" s="186"/>
    </row>
    <row r="164" spans="1:4">
      <c r="A164" s="103" t="s">
        <v>3292</v>
      </c>
      <c r="B164">
        <f>COUNTIFS(Table1[Parentetical],FormulaSheet!A164,Table1[26],FormulaSheet!A162,Table1[FILLED&amp;UNFILLED],FormulaSheet!B163)</f>
        <v>1</v>
      </c>
      <c r="C164">
        <f>COUNTIFS(Table1[Parentetical],FormulaSheet!A164,Table1[26],FormulaSheet!A162,Table1[FILLED&amp;UNFILLED],FormulaSheet!C163)</f>
        <v>0</v>
      </c>
      <c r="D164">
        <f t="shared" ref="D164" si="20">B164+C164</f>
        <v>1</v>
      </c>
    </row>
    <row r="165" spans="1:4">
      <c r="A165" s="103" t="s">
        <v>2985</v>
      </c>
      <c r="B165">
        <f>COUNTIFS(Table1[Parentetical],FormulaSheet!A165,Table1[26],FormulaSheet!A162,Table1[FILLED&amp;UNFILLED],FormulaSheet!B163)</f>
        <v>3</v>
      </c>
      <c r="C165">
        <f>COUNTIFS(Table1[Parentetical],FormulaSheet!A165,Table1[26],FormulaSheet!A162,Table1[FILLED&amp;UNFILLED],FormulaSheet!C163)</f>
        <v>0</v>
      </c>
      <c r="D165">
        <f t="shared" ref="D165:D173" si="21">B165+C165</f>
        <v>3</v>
      </c>
    </row>
    <row r="166" spans="1:4">
      <c r="A166" s="103" t="s">
        <v>1835</v>
      </c>
      <c r="B166">
        <f>COUNTIFS(Table1[Parentetical],FormulaSheet!A166,Table1[26],FormulaSheet!A162,Table1[FILLED&amp;UNFILLED],FormulaSheet!B163)</f>
        <v>51</v>
      </c>
      <c r="C166">
        <f>COUNTIFS(Table1[Parentetical],FormulaSheet!A166,Table1[26],FormulaSheet!A162,Table1[FILLED&amp;UNFILLED],FormulaSheet!C163)</f>
        <v>2</v>
      </c>
      <c r="D166">
        <f t="shared" si="21"/>
        <v>53</v>
      </c>
    </row>
    <row r="167" spans="1:4">
      <c r="A167" s="103" t="s">
        <v>1263</v>
      </c>
      <c r="B167">
        <f>COUNTIFS(Table1[Parentetical],FormulaSheet!A167,Table1[26],FormulaSheet!A162,Table1[FILLED&amp;UNFILLED],FormulaSheet!B163)</f>
        <v>35</v>
      </c>
      <c r="C167">
        <f>COUNTIFS(Table1[Parentetical],FormulaSheet!A167,Table1[26],FormulaSheet!A162,Table1[FILLED&amp;UNFILLED],FormulaSheet!C163)</f>
        <v>0</v>
      </c>
      <c r="D167">
        <f t="shared" si="21"/>
        <v>35</v>
      </c>
    </row>
    <row r="168" spans="1:4">
      <c r="A168" s="103" t="s">
        <v>1137</v>
      </c>
      <c r="B168">
        <f>COUNTIFS(Table1[Parentetical],FormulaSheet!A168,Table1[26],FormulaSheet!A162,Table1[FILLED&amp;UNFILLED],FormulaSheet!B163)</f>
        <v>7</v>
      </c>
      <c r="C168">
        <f>COUNTIFS(Table1[Parentetical],FormulaSheet!A168,Table1[26],FormulaSheet!A162,Table1[FILLED&amp;UNFILLED],FormulaSheet!C163)</f>
        <v>1</v>
      </c>
      <c r="D168">
        <f t="shared" si="21"/>
        <v>8</v>
      </c>
    </row>
    <row r="169" spans="1:4">
      <c r="A169" s="103" t="s">
        <v>921</v>
      </c>
      <c r="B169">
        <f>COUNTIFS(Table1[Parentetical],FormulaSheet!A169,Table1[26],FormulaSheet!A162,Table1[FILLED&amp;UNFILLED],FormulaSheet!B163)</f>
        <v>1</v>
      </c>
      <c r="C169">
        <f>COUNTIFS(Table1[Parentetical],FormulaSheet!A169,Table1[26],FormulaSheet!A162,Table1[FILLED&amp;UNFILLED],FormulaSheet!C163)</f>
        <v>0</v>
      </c>
      <c r="D169">
        <f t="shared" si="21"/>
        <v>1</v>
      </c>
    </row>
    <row r="170" spans="1:4">
      <c r="A170" s="103" t="s">
        <v>871</v>
      </c>
      <c r="B170">
        <f>COUNTIFS(Table1[Parentetical],FormulaSheet!A170,Table1[26],FormulaSheet!A162,Table1[FILLED&amp;UNFILLED],FormulaSheet!B163)</f>
        <v>1</v>
      </c>
      <c r="C170">
        <f>COUNTIFS(Table1[Parentetical],FormulaSheet!A170,Table1[26],FormulaSheet!A162,Table1[FILLED&amp;UNFILLED],FormulaSheet!C163)</f>
        <v>0</v>
      </c>
      <c r="D170">
        <f t="shared" si="21"/>
        <v>1</v>
      </c>
    </row>
    <row r="171" spans="1:4">
      <c r="A171" s="103" t="s">
        <v>609</v>
      </c>
      <c r="B171">
        <f>COUNTIFS(Table1[Parentetical],FormulaSheet!A171,Table1[26],FormulaSheet!A162,Table1[FILLED&amp;UNFILLED],FormulaSheet!B163)</f>
        <v>1</v>
      </c>
      <c r="C171">
        <f>COUNTIFS(Table1[Parentetical],FormulaSheet!A171,Table1[26],FormulaSheet!A162,Table1[FILLED&amp;UNFILLED],FormulaSheet!C163)</f>
        <v>0</v>
      </c>
      <c r="D171">
        <f t="shared" si="21"/>
        <v>1</v>
      </c>
    </row>
    <row r="172" spans="1:4">
      <c r="A172" s="103" t="s">
        <v>3807</v>
      </c>
      <c r="B172">
        <f>COUNTIFS(Table1[Parentetical],FormulaSheet!A172,Table1[26],FormulaSheet!A162,Table1[FILLED&amp;UNFILLED],FormulaSheet!B163)</f>
        <v>21</v>
      </c>
      <c r="C172">
        <f>COUNTIFS(Table1[Parentetical],FormulaSheet!A172,Table1[26],FormulaSheet!A162,Table1[FILLED&amp;UNFILLED],FormulaSheet!C163)</f>
        <v>0</v>
      </c>
      <c r="D172">
        <f t="shared" si="21"/>
        <v>21</v>
      </c>
    </row>
    <row r="173" spans="1:4">
      <c r="A173" s="103" t="s">
        <v>3420</v>
      </c>
      <c r="B173">
        <f>COUNTIFS(Table1[Parentetical],FormulaSheet!A173,Table1[26],FormulaSheet!A162,Table1[FILLED&amp;UNFILLED],FormulaSheet!B163)</f>
        <v>17</v>
      </c>
      <c r="C173">
        <f>COUNTIFS(Table1[Parentetical],FormulaSheet!A173,Table1[26],FormulaSheet!A162,Table1[FILLED&amp;UNFILLED],FormulaSheet!C12)</f>
        <v>0</v>
      </c>
      <c r="D173">
        <f t="shared" si="21"/>
        <v>17</v>
      </c>
    </row>
    <row r="174" spans="1:4">
      <c r="A174" s="99" t="s">
        <v>4146</v>
      </c>
      <c r="B174" s="111">
        <f>SUM(B164:B173)</f>
        <v>138</v>
      </c>
      <c r="C174" s="111">
        <f>SUM(C164:C173)</f>
        <v>3</v>
      </c>
      <c r="D174" s="111">
        <f>SUM(D164:D173)</f>
        <v>141</v>
      </c>
    </row>
    <row r="178" spans="1:4">
      <c r="A178" s="185" t="s">
        <v>46</v>
      </c>
      <c r="B178" s="184" t="s">
        <v>4145</v>
      </c>
      <c r="C178" s="184"/>
      <c r="D178" s="185" t="s">
        <v>4146</v>
      </c>
    </row>
    <row r="179" spans="1:4">
      <c r="A179" s="186"/>
      <c r="B179" s="102" t="s">
        <v>1421</v>
      </c>
      <c r="C179" s="102" t="s">
        <v>4149</v>
      </c>
      <c r="D179" s="186"/>
    </row>
    <row r="180" spans="1:4">
      <c r="A180" t="s">
        <v>131</v>
      </c>
      <c r="B180">
        <f>COUNTIFS(Table1[Specialist],FormulaSheet!A180,Table1[26],FormulaSheet!A178,Table1[FILLED&amp;UNFILLED],FormulaSheet!B179)</f>
        <v>5</v>
      </c>
      <c r="C180">
        <f>COUNTIFS(Table1[Specialist],FormulaSheet!A180,Table1[26],FormulaSheet!A178,Table1[FILLED&amp;UNFILLED],FormulaSheet!C179)</f>
        <v>0</v>
      </c>
      <c r="D180">
        <f t="shared" ref="D180:D195" si="22">B180+C180</f>
        <v>5</v>
      </c>
    </row>
    <row r="181" spans="1:4">
      <c r="A181" t="s">
        <v>92</v>
      </c>
      <c r="B181">
        <f>COUNTIFS(Table1[Specialist],FormulaSheet!A181,Table1[26],FormulaSheet!A178,Table1[FILLED&amp;UNFILLED],FormulaSheet!B179)</f>
        <v>6</v>
      </c>
      <c r="C181">
        <f>COUNTIFS(Table1[Specialist],FormulaSheet!A181,Table1[26],FormulaSheet!A178,Table1[FILLED&amp;UNFILLED],FormulaSheet!C179)</f>
        <v>0</v>
      </c>
      <c r="D181">
        <f t="shared" si="22"/>
        <v>6</v>
      </c>
    </row>
    <row r="182" spans="1:4">
      <c r="A182" s="112" t="s">
        <v>213</v>
      </c>
      <c r="B182">
        <f>COUNTIFS(Table1[Specialist],FormulaSheet!A182,Table1[26],FormulaSheet!A178,Table1[FILLED&amp;UNFILLED],FormulaSheet!B179)</f>
        <v>1</v>
      </c>
      <c r="C182">
        <f>COUNTIFS(Table1[Specialist],FormulaSheet!A182,Table1[26],FormulaSheet!A178,Table1[FILLED&amp;UNFILLED],FormulaSheet!C179)</f>
        <v>0</v>
      </c>
      <c r="D182">
        <f t="shared" si="22"/>
        <v>1</v>
      </c>
    </row>
    <row r="183" spans="1:4">
      <c r="A183" s="112" t="s">
        <v>230</v>
      </c>
      <c r="B183">
        <f>COUNTIFS(Table1[Specialist],FormulaSheet!A183,Table1[26],FormulaSheet!A178,Table1[FILLED&amp;UNFILLED],FormulaSheet!B179)</f>
        <v>1</v>
      </c>
      <c r="C183">
        <f>COUNTIFS(Table1[Specialist],FormulaSheet!A183,Table1[26],FormulaSheet!A178,Table1[FILLED&amp;UNFILLED],FormulaSheet!C179)</f>
        <v>0</v>
      </c>
      <c r="D183">
        <f t="shared" si="22"/>
        <v>1</v>
      </c>
    </row>
    <row r="184" spans="1:4">
      <c r="A184" s="112" t="s">
        <v>264</v>
      </c>
      <c r="B184">
        <f>COUNTIFS(Table1[Specialist],FormulaSheet!A184,Table1[26],FormulaSheet!A178,Table1[FILLED&amp;UNFILLED],FormulaSheet!B179)</f>
        <v>1</v>
      </c>
      <c r="C184">
        <f>COUNTIFS(Table1[Specialist],FormulaSheet!A184,Table1[26],FormulaSheet!A178,Table1[FILLED&amp;UNFILLED],FormulaSheet!C179)</f>
        <v>0</v>
      </c>
      <c r="D184">
        <f t="shared" si="22"/>
        <v>1</v>
      </c>
    </row>
    <row r="185" spans="1:4">
      <c r="A185" s="112" t="s">
        <v>280</v>
      </c>
      <c r="B185">
        <f>COUNTIFS(Table1[Specialist],FormulaSheet!A185,Table1[26],FormulaSheet!A178,Table1[FILLED&amp;UNFILLED],FormulaSheet!B179)</f>
        <v>1</v>
      </c>
      <c r="C185">
        <f>COUNTIFS(Table1[Specialist],FormulaSheet!A185,Table1[26],FormulaSheet!A178,Table1[FILLED&amp;UNFILLED],FormulaSheet!C179)</f>
        <v>0</v>
      </c>
      <c r="D185">
        <f t="shared" si="22"/>
        <v>1</v>
      </c>
    </row>
    <row r="186" spans="1:4">
      <c r="A186" s="112" t="s">
        <v>296</v>
      </c>
      <c r="B186">
        <f>COUNTIFS(Table1[Specialist],FormulaSheet!A186,Table1[26],FormulaSheet!A178,Table1[FILLED&amp;UNFILLED],FormulaSheet!B179)</f>
        <v>1</v>
      </c>
      <c r="C186">
        <f>COUNTIFS(Table1[Specialist],FormulaSheet!A186,Table1[26],FormulaSheet!A178,Table1[FILLED&amp;UNFILLED],FormulaSheet!C179)</f>
        <v>0</v>
      </c>
      <c r="D186">
        <f t="shared" si="22"/>
        <v>1</v>
      </c>
    </row>
    <row r="187" spans="1:4">
      <c r="A187" t="s">
        <v>70</v>
      </c>
      <c r="B187">
        <f>COUNTIFS(Table1[Specialist],FormulaSheet!A187,Table1[26],FormulaSheet!A178,Table1[FILLED&amp;UNFILLED],FormulaSheet!B179)</f>
        <v>6</v>
      </c>
      <c r="C187">
        <f>COUNTIFS(Table1[Specialist],FormulaSheet!A187,Table1[26],FormulaSheet!A178,Table1[FILLED&amp;UNFILLED],FormulaSheet!C179)</f>
        <v>0</v>
      </c>
      <c r="D187">
        <f t="shared" si="22"/>
        <v>6</v>
      </c>
    </row>
    <row r="188" spans="1:4">
      <c r="A188" s="112" t="s">
        <v>247</v>
      </c>
      <c r="B188">
        <f>COUNTIFS(Table1[Specialist],FormulaSheet!A188,Table1[26],FormulaSheet!A178,Table1[FILLED&amp;UNFILLED],FormulaSheet!B179)</f>
        <v>1</v>
      </c>
      <c r="C188">
        <f>COUNTIFS(Table1[Specialist],FormulaSheet!A188,Table1[26],FormulaSheet!A178,Table1[FILLED&amp;UNFILLED],FormulaSheet!C179)</f>
        <v>0</v>
      </c>
      <c r="D188">
        <f t="shared" si="22"/>
        <v>1</v>
      </c>
    </row>
    <row r="189" spans="1:4">
      <c r="A189" s="113" t="s">
        <v>147</v>
      </c>
      <c r="B189">
        <f>COUNTIFS(Table1[Specialist],FormulaSheet!A189,Table1[26],FormulaSheet!A178,Table1[FILLED&amp;UNFILLED],FormulaSheet!B179)</f>
        <v>7</v>
      </c>
      <c r="C189">
        <f>COUNTIFS(Table1[Specialist],FormulaSheet!A189,Table1[26],FormulaSheet!A178,Table1[FILLED&amp;UNFILLED],FormulaSheet!C179)</f>
        <v>0</v>
      </c>
      <c r="D189">
        <f t="shared" si="22"/>
        <v>7</v>
      </c>
    </row>
    <row r="190" spans="1:4">
      <c r="A190" s="112" t="s">
        <v>200</v>
      </c>
      <c r="B190">
        <f>COUNTIFS(Table1[Specialist],FormulaSheet!A190,Table1[26],FormulaSheet!A178,Table1[FILLED&amp;UNFILLED],FormulaSheet!B179)</f>
        <v>1</v>
      </c>
      <c r="C190">
        <f>COUNTIFS(Table1[Specialist],FormulaSheet!A190,Table1[26],FormulaSheet!A178,Table1[FILLED&amp;UNFILLED],FormulaSheet!C179)</f>
        <v>0</v>
      </c>
      <c r="D190">
        <f t="shared" si="22"/>
        <v>1</v>
      </c>
    </row>
    <row r="191" spans="1:4">
      <c r="A191" s="112" t="s">
        <v>311</v>
      </c>
      <c r="B191">
        <f>COUNTIFS(Table1[Specialist],FormulaSheet!A191,Table1[26],FormulaSheet!A178,Table1[FILLED&amp;UNFILLED],FormulaSheet!B179)</f>
        <v>1</v>
      </c>
      <c r="C191">
        <f>COUNTIFS(Table1[Specialist],FormulaSheet!A191,Table1[26],FormulaSheet!A178,Table1[FILLED&amp;UNFILLED],FormulaSheet!C179)</f>
        <v>0</v>
      </c>
      <c r="D191">
        <f t="shared" si="22"/>
        <v>1</v>
      </c>
    </row>
    <row r="192" spans="1:4">
      <c r="A192" s="113" t="s">
        <v>113</v>
      </c>
      <c r="B192">
        <f>COUNTIFS(Table1[Specialist],FormulaSheet!A192,Table1[26],FormulaSheet!A178,Table1[FILLED&amp;UNFILLED],FormulaSheet!B179)</f>
        <v>6</v>
      </c>
      <c r="C192">
        <f>COUNTIFS(Table1[Specialist],FormulaSheet!A192,Table1[26],FormulaSheet!A178,Table1[FILLED&amp;UNFILLED],FormulaSheet!C179)</f>
        <v>0</v>
      </c>
      <c r="D192">
        <f t="shared" si="22"/>
        <v>6</v>
      </c>
    </row>
    <row r="193" spans="1:4">
      <c r="A193" s="113" t="s">
        <v>183</v>
      </c>
      <c r="B193">
        <f>COUNTIFS(Table1[Specialist],FormulaSheet!A193,Table1[26],FormulaSheet!A178,Table1[FILLED&amp;UNFILLED],FormulaSheet!B179)</f>
        <v>7</v>
      </c>
      <c r="C193">
        <f>COUNTIFS(Table1[Specialist],FormulaSheet!A193,Table1[26],FormulaSheet!A178,Table1[FILLED&amp;UNFILLED],FormulaSheet!C179)</f>
        <v>0</v>
      </c>
      <c r="D193">
        <f t="shared" si="22"/>
        <v>7</v>
      </c>
    </row>
    <row r="194" spans="1:4">
      <c r="A194" s="113" t="s">
        <v>164</v>
      </c>
      <c r="B194">
        <f>COUNTIFS(Table1[Specialist],FormulaSheet!A194,Table1[26],FormulaSheet!A178,Table1[FILLED&amp;UNFILLED],FormulaSheet!B179)</f>
        <v>2</v>
      </c>
      <c r="C194">
        <f>COUNTIFS(Table1[Specialist],FormulaSheet!A194,Table1[26],FormulaSheet!A178,Table1[FILLED&amp;UNFILLED],FormulaSheet!C179)</f>
        <v>0</v>
      </c>
      <c r="D194">
        <f t="shared" si="22"/>
        <v>2</v>
      </c>
    </row>
    <row r="195" spans="1:4">
      <c r="A195" s="113" t="s">
        <v>604</v>
      </c>
      <c r="B195">
        <f>COUNTIFS(Table1[Specialist],FormulaSheet!A195,Table1[26],FormulaSheet!A178,Table1[FILLED&amp;UNFILLED],FormulaSheet!B179)</f>
        <v>1</v>
      </c>
      <c r="C195">
        <f>COUNTIFS(Table1[Specialist],FormulaSheet!A195,Table1[26],FormulaSheet!A178,Table1[FILLED&amp;UNFILLED],FormulaSheet!C179)</f>
        <v>0</v>
      </c>
      <c r="D195">
        <f t="shared" si="22"/>
        <v>1</v>
      </c>
    </row>
    <row r="196" spans="1:4">
      <c r="A196" s="99" t="s">
        <v>4146</v>
      </c>
      <c r="B196" s="111">
        <f>SUM(B180:B195)</f>
        <v>48</v>
      </c>
      <c r="C196" s="111">
        <f>SUM(C180:C195)</f>
        <v>0</v>
      </c>
      <c r="D196" s="111">
        <f>SUM(D180:D195)</f>
        <v>48</v>
      </c>
    </row>
  </sheetData>
  <mergeCells count="43">
    <mergeCell ref="Z4:Z5"/>
    <mergeCell ref="G75:G76"/>
    <mergeCell ref="N4:N5"/>
    <mergeCell ref="N12:N13"/>
    <mergeCell ref="N20:N21"/>
    <mergeCell ref="R4:R5"/>
    <mergeCell ref="R12:R13"/>
    <mergeCell ref="R20:R21"/>
    <mergeCell ref="A75:A76"/>
    <mergeCell ref="A89:A90"/>
    <mergeCell ref="A118:A119"/>
    <mergeCell ref="A162:A163"/>
    <mergeCell ref="A178:A179"/>
    <mergeCell ref="A4:A5"/>
    <mergeCell ref="A13:A14"/>
    <mergeCell ref="A23:A24"/>
    <mergeCell ref="A39:A40"/>
    <mergeCell ref="A65:A66"/>
    <mergeCell ref="B75:F75"/>
    <mergeCell ref="B89:C89"/>
    <mergeCell ref="B118:C118"/>
    <mergeCell ref="B162:C162"/>
    <mergeCell ref="B178:C178"/>
    <mergeCell ref="D89:D90"/>
    <mergeCell ref="D118:D119"/>
    <mergeCell ref="D162:D163"/>
    <mergeCell ref="D178:D179"/>
    <mergeCell ref="B13:C13"/>
    <mergeCell ref="P20:Q20"/>
    <mergeCell ref="B23:C23"/>
    <mergeCell ref="B39:C39"/>
    <mergeCell ref="B65:C65"/>
    <mergeCell ref="D13:D14"/>
    <mergeCell ref="D23:D24"/>
    <mergeCell ref="D39:D40"/>
    <mergeCell ref="D65:D66"/>
    <mergeCell ref="B4:C4"/>
    <mergeCell ref="P4:Q4"/>
    <mergeCell ref="U4:W4"/>
    <mergeCell ref="X4:Y4"/>
    <mergeCell ref="P12:Q12"/>
    <mergeCell ref="D4:D5"/>
    <mergeCell ref="T4:T5"/>
  </mergeCells>
  <pageMargins left="0.7" right="0.7" top="0.75" bottom="0.75" header="0.3" footer="0.3"/>
  <pageSetup paperSize="9" orientation="portrait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1"/>
  <sheetViews>
    <sheetView topLeftCell="G28" workbookViewId="0">
      <selection activeCell="H28" sqref="H28"/>
    </sheetView>
  </sheetViews>
  <sheetFormatPr defaultColWidth="9" defaultRowHeight="15"/>
  <cols>
    <col min="1" max="1" width="41.140625" customWidth="1"/>
    <col min="2" max="2" width="10.28515625" customWidth="1"/>
    <col min="3" max="3" width="12.5703125" customWidth="1"/>
    <col min="4" max="4" width="15.85546875" customWidth="1"/>
    <col min="5" max="5" width="23.28515625" customWidth="1"/>
    <col min="6" max="6" width="19.42578125" customWidth="1"/>
    <col min="7" max="7" width="16.28515625" customWidth="1"/>
    <col min="8" max="11" width="14.85546875" customWidth="1"/>
    <col min="12" max="12" width="18" customWidth="1"/>
    <col min="13" max="13" width="20.28515625" customWidth="1"/>
    <col min="14" max="14" width="17" customWidth="1"/>
    <col min="15" max="15" width="24.42578125" customWidth="1"/>
    <col min="16" max="16" width="15.7109375" customWidth="1"/>
    <col min="17" max="17" width="9.28515625" customWidth="1"/>
    <col min="18" max="18" width="8.5703125" customWidth="1"/>
    <col min="19" max="20" width="15.140625" customWidth="1"/>
    <col min="21" max="21" width="20.85546875" customWidth="1"/>
    <col min="22" max="22" width="18.85546875" customWidth="1"/>
    <col min="23" max="23" width="10.5703125" customWidth="1"/>
    <col min="24" max="24" width="12.28515625" customWidth="1"/>
    <col min="25" max="28" width="14.42578125" customWidth="1"/>
    <col min="29" max="29" width="13.42578125" customWidth="1"/>
    <col min="30" max="30" width="27.5703125" customWidth="1"/>
    <col min="31" max="31" width="25.7109375" customWidth="1"/>
    <col min="32" max="32" width="21.7109375" customWidth="1"/>
    <col min="33" max="33" width="8.28515625" customWidth="1"/>
    <col min="34" max="34" width="14.85546875" customWidth="1"/>
    <col min="37" max="37" width="14.85546875" customWidth="1"/>
  </cols>
  <sheetData>
    <row r="1" spans="1:33" ht="45">
      <c r="B1" s="1" t="s">
        <v>11</v>
      </c>
      <c r="C1" s="2" t="s">
        <v>12</v>
      </c>
      <c r="D1" s="2" t="s">
        <v>13</v>
      </c>
      <c r="E1" s="2" t="s">
        <v>14</v>
      </c>
      <c r="F1" s="1" t="s">
        <v>2</v>
      </c>
      <c r="G1" s="3" t="s">
        <v>17</v>
      </c>
      <c r="H1" s="4" t="s">
        <v>4159</v>
      </c>
      <c r="I1" s="1" t="s">
        <v>7</v>
      </c>
      <c r="J1" s="2" t="s">
        <v>4160</v>
      </c>
      <c r="K1" s="5" t="s">
        <v>4161</v>
      </c>
      <c r="L1" s="1" t="s">
        <v>19</v>
      </c>
      <c r="M1" s="1" t="s">
        <v>20</v>
      </c>
      <c r="N1" s="6" t="s">
        <v>4162</v>
      </c>
      <c r="O1" s="6" t="s">
        <v>23</v>
      </c>
      <c r="P1" s="1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3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1" t="s">
        <v>4163</v>
      </c>
    </row>
    <row r="2" spans="1:33">
      <c r="B2" s="7" t="s">
        <v>4164</v>
      </c>
      <c r="C2" s="7" t="s">
        <v>4165</v>
      </c>
      <c r="D2" s="8" t="s">
        <v>4166</v>
      </c>
      <c r="E2" s="8"/>
      <c r="F2" s="8" t="s">
        <v>3663</v>
      </c>
      <c r="G2" s="158" t="s">
        <v>4167</v>
      </c>
      <c r="H2" s="9">
        <v>44545</v>
      </c>
      <c r="I2" s="10"/>
      <c r="J2" s="8"/>
      <c r="K2" s="11"/>
      <c r="L2" s="8" t="s">
        <v>51</v>
      </c>
      <c r="M2" s="11" t="s">
        <v>52</v>
      </c>
      <c r="N2" s="12">
        <v>31804</v>
      </c>
      <c r="O2" s="12" t="s">
        <v>697</v>
      </c>
      <c r="P2" s="7" t="s">
        <v>4168</v>
      </c>
      <c r="Q2" s="13" t="s">
        <v>1799</v>
      </c>
      <c r="R2" s="13" t="s">
        <v>102</v>
      </c>
      <c r="S2" s="13" t="s">
        <v>103</v>
      </c>
      <c r="T2" s="14">
        <v>4103</v>
      </c>
      <c r="U2" s="13" t="s">
        <v>2991</v>
      </c>
      <c r="V2" s="13" t="s">
        <v>4169</v>
      </c>
      <c r="W2" s="13" t="s">
        <v>3669</v>
      </c>
      <c r="X2" s="159" t="s">
        <v>4170</v>
      </c>
      <c r="Y2" s="15">
        <v>45318</v>
      </c>
      <c r="Z2" s="13" t="s">
        <v>4171</v>
      </c>
      <c r="AA2" s="13" t="s">
        <v>4172</v>
      </c>
      <c r="AB2" s="13" t="s">
        <v>4173</v>
      </c>
      <c r="AC2" s="13" t="s">
        <v>4174</v>
      </c>
      <c r="AD2" s="159" t="s">
        <v>4175</v>
      </c>
      <c r="AE2" s="13" t="s">
        <v>66</v>
      </c>
      <c r="AF2" s="13" t="s">
        <v>4176</v>
      </c>
      <c r="AG2" s="16"/>
    </row>
    <row r="3" spans="1:33">
      <c r="B3" s="17" t="s">
        <v>4177</v>
      </c>
      <c r="C3" s="17" t="s">
        <v>4178</v>
      </c>
      <c r="D3" s="18" t="s">
        <v>1166</v>
      </c>
      <c r="E3" s="18"/>
      <c r="F3" s="18" t="s">
        <v>1835</v>
      </c>
      <c r="G3" s="160" t="s">
        <v>4179</v>
      </c>
      <c r="H3" s="19">
        <v>44548</v>
      </c>
      <c r="I3" s="20"/>
      <c r="J3" s="18"/>
      <c r="K3" s="21"/>
      <c r="L3" s="18" t="s">
        <v>76</v>
      </c>
      <c r="M3" s="21" t="s">
        <v>77</v>
      </c>
      <c r="N3" s="22">
        <v>33448</v>
      </c>
      <c r="O3" s="22" t="s">
        <v>81</v>
      </c>
      <c r="P3" s="23" t="s">
        <v>4180</v>
      </c>
      <c r="Q3" s="23" t="s">
        <v>4181</v>
      </c>
      <c r="R3" s="23" t="s">
        <v>102</v>
      </c>
      <c r="S3" s="23" t="s">
        <v>103</v>
      </c>
      <c r="T3" s="24">
        <v>4103</v>
      </c>
      <c r="U3" s="23" t="s">
        <v>619</v>
      </c>
      <c r="V3" s="23" t="s">
        <v>620</v>
      </c>
      <c r="W3" s="23" t="s">
        <v>4182</v>
      </c>
      <c r="X3" s="161" t="s">
        <v>4183</v>
      </c>
      <c r="Y3" s="25">
        <v>44406</v>
      </c>
      <c r="Z3" s="23" t="s">
        <v>66</v>
      </c>
      <c r="AA3" s="23" t="s">
        <v>4184</v>
      </c>
      <c r="AB3" s="23" t="s">
        <v>4185</v>
      </c>
      <c r="AC3" s="23" t="s">
        <v>4186</v>
      </c>
      <c r="AD3" s="23" t="s">
        <v>4187</v>
      </c>
      <c r="AE3" s="23" t="s">
        <v>4188</v>
      </c>
      <c r="AF3" s="23" t="s">
        <v>4189</v>
      </c>
      <c r="AG3" s="26"/>
    </row>
    <row r="4" spans="1:33">
      <c r="B4" s="7" t="s">
        <v>4190</v>
      </c>
      <c r="C4" s="7" t="s">
        <v>4191</v>
      </c>
      <c r="D4" s="7" t="s">
        <v>4192</v>
      </c>
      <c r="E4" s="7"/>
      <c r="F4" s="8" t="s">
        <v>1835</v>
      </c>
      <c r="G4" s="158" t="s">
        <v>4193</v>
      </c>
      <c r="H4" s="9">
        <v>44590</v>
      </c>
      <c r="I4" s="10"/>
      <c r="J4" s="8"/>
      <c r="K4" s="8"/>
      <c r="L4" s="8" t="s">
        <v>76</v>
      </c>
      <c r="M4" s="8" t="s">
        <v>52</v>
      </c>
      <c r="N4" s="12">
        <v>32177</v>
      </c>
      <c r="O4" s="12" t="s">
        <v>78</v>
      </c>
      <c r="P4" s="8" t="s">
        <v>4194</v>
      </c>
      <c r="Q4" s="8" t="s">
        <v>4195</v>
      </c>
      <c r="R4" s="8" t="s">
        <v>237</v>
      </c>
      <c r="S4" s="8" t="s">
        <v>103</v>
      </c>
      <c r="T4" s="27">
        <v>4107</v>
      </c>
      <c r="U4" s="8" t="s">
        <v>619</v>
      </c>
      <c r="V4" s="8" t="s">
        <v>620</v>
      </c>
      <c r="W4" s="8" t="s">
        <v>4182</v>
      </c>
      <c r="X4" s="162" t="s">
        <v>4196</v>
      </c>
      <c r="Y4" s="28">
        <v>44961</v>
      </c>
      <c r="Z4" s="7" t="s">
        <v>66</v>
      </c>
      <c r="AA4" s="8" t="s">
        <v>4197</v>
      </c>
      <c r="AB4" s="8" t="s">
        <v>4198</v>
      </c>
      <c r="AC4" s="8" t="s">
        <v>4199</v>
      </c>
      <c r="AD4" s="7" t="s">
        <v>4200</v>
      </c>
      <c r="AE4" s="7" t="s">
        <v>66</v>
      </c>
      <c r="AF4" s="13" t="s">
        <v>4201</v>
      </c>
      <c r="AG4" s="16"/>
    </row>
    <row r="5" spans="1:33">
      <c r="B5" s="17" t="s">
        <v>4202</v>
      </c>
      <c r="C5" s="17" t="s">
        <v>4203</v>
      </c>
      <c r="D5" s="18" t="s">
        <v>4204</v>
      </c>
      <c r="E5" s="18"/>
      <c r="F5" s="18" t="s">
        <v>1835</v>
      </c>
      <c r="G5" s="163" t="s">
        <v>4205</v>
      </c>
      <c r="H5" s="19">
        <v>44681</v>
      </c>
      <c r="I5" s="20"/>
      <c r="J5" s="18"/>
      <c r="K5" s="21"/>
      <c r="L5" s="18" t="s">
        <v>76</v>
      </c>
      <c r="M5" s="21" t="s">
        <v>52</v>
      </c>
      <c r="N5" s="22">
        <v>33418</v>
      </c>
      <c r="O5" s="22" t="s">
        <v>4206</v>
      </c>
      <c r="P5" s="17" t="s">
        <v>1170</v>
      </c>
      <c r="Q5" s="17" t="s">
        <v>1054</v>
      </c>
      <c r="R5" s="17" t="s">
        <v>190</v>
      </c>
      <c r="S5" s="17" t="s">
        <v>103</v>
      </c>
      <c r="T5" s="24">
        <v>4102</v>
      </c>
      <c r="U5" s="17" t="s">
        <v>619</v>
      </c>
      <c r="V5" s="17" t="s">
        <v>620</v>
      </c>
      <c r="W5" s="18" t="s">
        <v>4182</v>
      </c>
      <c r="X5" s="164" t="s">
        <v>4207</v>
      </c>
      <c r="Y5" s="25">
        <v>44376</v>
      </c>
      <c r="Z5" s="17" t="s">
        <v>66</v>
      </c>
      <c r="AA5" s="17" t="s">
        <v>4208</v>
      </c>
      <c r="AB5" s="17" t="s">
        <v>4209</v>
      </c>
      <c r="AC5" s="17" t="s">
        <v>4210</v>
      </c>
      <c r="AD5" s="17" t="s">
        <v>4211</v>
      </c>
      <c r="AE5" s="23" t="s">
        <v>66</v>
      </c>
      <c r="AF5" s="23" t="s">
        <v>4212</v>
      </c>
      <c r="AG5" s="26"/>
    </row>
    <row r="6" spans="1:33">
      <c r="B6" s="7" t="s">
        <v>4213</v>
      </c>
      <c r="C6" s="7" t="s">
        <v>4214</v>
      </c>
      <c r="D6" s="7" t="s">
        <v>4215</v>
      </c>
      <c r="E6" s="7"/>
      <c r="F6" s="8" t="s">
        <v>2653</v>
      </c>
      <c r="G6" s="158" t="s">
        <v>4216</v>
      </c>
      <c r="H6" s="9">
        <v>44696</v>
      </c>
      <c r="I6" s="29"/>
      <c r="J6" s="8"/>
      <c r="K6" s="8"/>
      <c r="L6" s="8" t="s">
        <v>76</v>
      </c>
      <c r="M6" s="8" t="s">
        <v>77</v>
      </c>
      <c r="N6" s="12">
        <v>34834</v>
      </c>
      <c r="O6" s="12" t="s">
        <v>4217</v>
      </c>
      <c r="P6" s="8" t="s">
        <v>4218</v>
      </c>
      <c r="Q6" s="8" t="s">
        <v>4219</v>
      </c>
      <c r="R6" s="8" t="s">
        <v>102</v>
      </c>
      <c r="S6" s="8" t="s">
        <v>103</v>
      </c>
      <c r="T6" s="27">
        <v>4103</v>
      </c>
      <c r="U6" s="8" t="s">
        <v>619</v>
      </c>
      <c r="V6" s="8" t="s">
        <v>3496</v>
      </c>
      <c r="W6" s="8" t="s">
        <v>4182</v>
      </c>
      <c r="X6" s="162" t="s">
        <v>4220</v>
      </c>
      <c r="Y6" s="28">
        <v>45061</v>
      </c>
      <c r="Z6" s="7" t="s">
        <v>4221</v>
      </c>
      <c r="AA6" s="8" t="s">
        <v>4222</v>
      </c>
      <c r="AB6" s="8" t="s">
        <v>4223</v>
      </c>
      <c r="AC6" s="8" t="s">
        <v>4224</v>
      </c>
      <c r="AD6" s="7" t="s">
        <v>4225</v>
      </c>
      <c r="AE6" s="7" t="s">
        <v>4226</v>
      </c>
      <c r="AF6" s="13" t="s">
        <v>4227</v>
      </c>
      <c r="AG6" s="16"/>
    </row>
    <row r="7" spans="1:33">
      <c r="B7" s="17" t="s">
        <v>4228</v>
      </c>
      <c r="C7" s="17" t="s">
        <v>4229</v>
      </c>
      <c r="D7" s="18" t="s">
        <v>4230</v>
      </c>
      <c r="E7" s="18"/>
      <c r="F7" s="18" t="s">
        <v>1835</v>
      </c>
      <c r="G7" s="163" t="s">
        <v>4216</v>
      </c>
      <c r="H7" s="19">
        <v>44742</v>
      </c>
      <c r="I7" s="30"/>
      <c r="J7" s="20"/>
      <c r="K7" s="18"/>
      <c r="L7" s="18" t="s">
        <v>76</v>
      </c>
      <c r="M7" s="21" t="s">
        <v>52</v>
      </c>
      <c r="N7" s="22">
        <v>33616</v>
      </c>
      <c r="O7" s="22" t="s">
        <v>616</v>
      </c>
      <c r="P7" s="17">
        <v>201</v>
      </c>
      <c r="Q7" s="23" t="s">
        <v>4231</v>
      </c>
      <c r="R7" s="23" t="s">
        <v>102</v>
      </c>
      <c r="S7" s="23" t="s">
        <v>103</v>
      </c>
      <c r="T7" s="24">
        <v>4103</v>
      </c>
      <c r="U7" s="23" t="s">
        <v>619</v>
      </c>
      <c r="V7" s="23" t="s">
        <v>620</v>
      </c>
      <c r="W7" s="23" t="s">
        <v>4182</v>
      </c>
      <c r="X7" s="161" t="s">
        <v>4232</v>
      </c>
      <c r="Y7" s="25">
        <v>44939</v>
      </c>
      <c r="Z7" s="23" t="s">
        <v>4233</v>
      </c>
      <c r="AA7" s="23" t="s">
        <v>4234</v>
      </c>
      <c r="AB7" s="23" t="s">
        <v>4235</v>
      </c>
      <c r="AC7" s="23" t="s">
        <v>4236</v>
      </c>
      <c r="AD7" s="23" t="s">
        <v>4237</v>
      </c>
      <c r="AE7" s="23" t="s">
        <v>4238</v>
      </c>
      <c r="AF7" s="23" t="s">
        <v>4239</v>
      </c>
      <c r="AG7" s="26"/>
    </row>
    <row r="8" spans="1:33">
      <c r="B8" s="17" t="s">
        <v>1119</v>
      </c>
      <c r="C8" s="17" t="s">
        <v>4240</v>
      </c>
      <c r="D8" s="17" t="s">
        <v>1121</v>
      </c>
      <c r="E8" s="17"/>
      <c r="F8" s="18" t="s">
        <v>3200</v>
      </c>
      <c r="G8" s="31">
        <v>44319</v>
      </c>
      <c r="H8" s="19">
        <v>44772</v>
      </c>
      <c r="I8" s="30">
        <v>7</v>
      </c>
      <c r="J8" s="32">
        <v>1</v>
      </c>
      <c r="K8" s="20">
        <v>17899</v>
      </c>
      <c r="L8" s="18" t="s">
        <v>76</v>
      </c>
      <c r="M8" s="18" t="s">
        <v>77</v>
      </c>
      <c r="N8" s="22">
        <v>35024</v>
      </c>
      <c r="O8" s="22" t="s">
        <v>1122</v>
      </c>
      <c r="P8" s="18" t="s">
        <v>1123</v>
      </c>
      <c r="Q8" s="18" t="s">
        <v>1124</v>
      </c>
      <c r="R8" s="18" t="s">
        <v>991</v>
      </c>
      <c r="S8" s="18" t="s">
        <v>103</v>
      </c>
      <c r="T8" s="33">
        <v>4109</v>
      </c>
      <c r="U8" s="18" t="s">
        <v>619</v>
      </c>
      <c r="V8" s="18" t="s">
        <v>4241</v>
      </c>
      <c r="W8" s="18" t="s">
        <v>641</v>
      </c>
      <c r="X8" s="18" t="s">
        <v>66</v>
      </c>
      <c r="Y8" s="18" t="s">
        <v>66</v>
      </c>
      <c r="Z8" s="34" t="s">
        <v>4242</v>
      </c>
      <c r="AA8" s="18" t="s">
        <v>4243</v>
      </c>
      <c r="AB8" s="18" t="s">
        <v>4244</v>
      </c>
      <c r="AC8" s="18" t="s">
        <v>4245</v>
      </c>
      <c r="AD8" s="17" t="s">
        <v>4246</v>
      </c>
      <c r="AE8" s="17" t="s">
        <v>66</v>
      </c>
      <c r="AF8" s="23" t="s">
        <v>4247</v>
      </c>
      <c r="AG8" s="17"/>
    </row>
    <row r="9" spans="1:33">
      <c r="B9" s="7" t="s">
        <v>4248</v>
      </c>
      <c r="C9" s="7" t="s">
        <v>4249</v>
      </c>
      <c r="D9" s="8" t="s">
        <v>4250</v>
      </c>
      <c r="E9" s="8"/>
      <c r="F9" s="8" t="s">
        <v>441</v>
      </c>
      <c r="G9" s="35">
        <v>44417</v>
      </c>
      <c r="H9" s="19">
        <v>44757</v>
      </c>
      <c r="I9" s="29">
        <v>23</v>
      </c>
      <c r="J9" s="36">
        <v>1</v>
      </c>
      <c r="K9" s="10">
        <v>78455</v>
      </c>
      <c r="L9" s="8" t="s">
        <v>76</v>
      </c>
      <c r="M9" s="11" t="s">
        <v>52</v>
      </c>
      <c r="N9" s="12">
        <v>31208</v>
      </c>
      <c r="O9" s="12" t="s">
        <v>121</v>
      </c>
      <c r="P9" s="7" t="s">
        <v>4251</v>
      </c>
      <c r="Q9" s="13" t="s">
        <v>3629</v>
      </c>
      <c r="R9" s="13" t="s">
        <v>1184</v>
      </c>
      <c r="S9" s="13" t="s">
        <v>103</v>
      </c>
      <c r="T9" s="14">
        <v>4104</v>
      </c>
      <c r="U9" s="13" t="s">
        <v>58</v>
      </c>
      <c r="V9" s="13" t="s">
        <v>59</v>
      </c>
      <c r="W9" s="13" t="s">
        <v>4182</v>
      </c>
      <c r="X9" s="159" t="s">
        <v>4252</v>
      </c>
      <c r="Y9" s="15">
        <v>45087</v>
      </c>
      <c r="Z9" s="37" t="s">
        <v>4253</v>
      </c>
      <c r="AA9" s="13" t="s">
        <v>4254</v>
      </c>
      <c r="AB9" s="13" t="s">
        <v>4255</v>
      </c>
      <c r="AC9" s="13" t="s">
        <v>4256</v>
      </c>
      <c r="AD9" s="13" t="s">
        <v>4257</v>
      </c>
      <c r="AE9" s="13" t="s">
        <v>4258</v>
      </c>
      <c r="AF9" s="13" t="s">
        <v>4259</v>
      </c>
      <c r="AG9" s="7"/>
    </row>
    <row r="10" spans="1:33">
      <c r="A10" s="13" t="s">
        <v>402</v>
      </c>
      <c r="B10" s="7" t="s">
        <v>4260</v>
      </c>
      <c r="C10" s="7" t="s">
        <v>4261</v>
      </c>
      <c r="D10" s="8" t="s">
        <v>4262</v>
      </c>
      <c r="E10" s="8"/>
      <c r="F10" s="8" t="s">
        <v>359</v>
      </c>
      <c r="G10" s="38">
        <v>44363</v>
      </c>
      <c r="H10" s="38">
        <v>44813</v>
      </c>
      <c r="I10" s="29">
        <v>23</v>
      </c>
      <c r="J10" s="36">
        <v>1</v>
      </c>
      <c r="K10" s="10">
        <v>78455</v>
      </c>
      <c r="L10" s="8" t="s">
        <v>51</v>
      </c>
      <c r="M10" s="11" t="s">
        <v>77</v>
      </c>
      <c r="N10" s="12">
        <v>31646</v>
      </c>
      <c r="O10" s="12" t="s">
        <v>154</v>
      </c>
      <c r="P10" s="7" t="s">
        <v>4263</v>
      </c>
      <c r="Q10" s="13" t="s">
        <v>728</v>
      </c>
      <c r="R10" s="13" t="s">
        <v>190</v>
      </c>
      <c r="S10" s="13" t="s">
        <v>103</v>
      </c>
      <c r="T10" s="14">
        <v>4102</v>
      </c>
      <c r="U10" s="13" t="s">
        <v>58</v>
      </c>
      <c r="V10" s="13" t="s">
        <v>59</v>
      </c>
      <c r="W10" s="13" t="s">
        <v>4182</v>
      </c>
      <c r="X10" s="159" t="s">
        <v>4264</v>
      </c>
      <c r="Y10" s="15">
        <v>45526</v>
      </c>
      <c r="Z10" s="39" t="s">
        <v>4265</v>
      </c>
      <c r="AA10" s="13" t="s">
        <v>4266</v>
      </c>
      <c r="AB10" s="13" t="s">
        <v>4267</v>
      </c>
      <c r="AC10" s="13" t="s">
        <v>4268</v>
      </c>
      <c r="AD10" s="13" t="s">
        <v>4269</v>
      </c>
      <c r="AE10" s="13" t="s">
        <v>66</v>
      </c>
      <c r="AF10" s="13" t="s">
        <v>4270</v>
      </c>
      <c r="AG10" s="7"/>
    </row>
    <row r="11" spans="1:33">
      <c r="A11" s="13" t="s">
        <v>679</v>
      </c>
      <c r="B11" s="7" t="s">
        <v>4271</v>
      </c>
      <c r="C11" s="7" t="s">
        <v>4272</v>
      </c>
      <c r="D11" s="8" t="s">
        <v>4273</v>
      </c>
      <c r="E11" s="8"/>
      <c r="F11" s="8" t="s">
        <v>693</v>
      </c>
      <c r="G11" s="38">
        <v>44363</v>
      </c>
      <c r="H11" s="38">
        <v>44880</v>
      </c>
      <c r="I11" s="29">
        <v>21</v>
      </c>
      <c r="J11" s="36">
        <v>1</v>
      </c>
      <c r="K11" s="10">
        <v>62449</v>
      </c>
      <c r="L11" s="8" t="s">
        <v>76</v>
      </c>
      <c r="M11" s="11" t="s">
        <v>77</v>
      </c>
      <c r="N11" s="12">
        <v>26371</v>
      </c>
      <c r="O11" s="12" t="s">
        <v>4274</v>
      </c>
      <c r="P11" s="7" t="s">
        <v>1784</v>
      </c>
      <c r="Q11" s="13" t="s">
        <v>1785</v>
      </c>
      <c r="R11" s="13" t="s">
        <v>190</v>
      </c>
      <c r="S11" s="13" t="s">
        <v>103</v>
      </c>
      <c r="T11" s="14">
        <v>4102</v>
      </c>
      <c r="U11" s="13" t="s">
        <v>58</v>
      </c>
      <c r="V11" s="13" t="s">
        <v>59</v>
      </c>
      <c r="W11" s="13" t="s">
        <v>4182</v>
      </c>
      <c r="X11" s="159" t="s">
        <v>4275</v>
      </c>
      <c r="Y11" s="15">
        <v>45364</v>
      </c>
      <c r="Z11" s="39" t="s">
        <v>4276</v>
      </c>
      <c r="AA11" s="13" t="s">
        <v>4277</v>
      </c>
      <c r="AB11" s="13" t="s">
        <v>4278</v>
      </c>
      <c r="AC11" s="13" t="s">
        <v>4279</v>
      </c>
      <c r="AD11" s="159" t="s">
        <v>4280</v>
      </c>
      <c r="AE11" s="13" t="s">
        <v>66</v>
      </c>
      <c r="AF11" s="13" t="s">
        <v>4281</v>
      </c>
      <c r="AG11" s="7"/>
    </row>
    <row r="12" spans="1:33">
      <c r="A12" s="13" t="s">
        <v>708</v>
      </c>
      <c r="B12" s="7" t="s">
        <v>4282</v>
      </c>
      <c r="C12" s="7" t="s">
        <v>4283</v>
      </c>
      <c r="D12" s="8" t="s">
        <v>4284</v>
      </c>
      <c r="E12" s="8"/>
      <c r="F12" s="8" t="s">
        <v>693</v>
      </c>
      <c r="G12" s="38">
        <v>44363</v>
      </c>
      <c r="H12" s="38">
        <v>44926</v>
      </c>
      <c r="I12" s="29">
        <v>21</v>
      </c>
      <c r="J12" s="36">
        <v>1</v>
      </c>
      <c r="K12" s="10">
        <v>62449</v>
      </c>
      <c r="L12" s="8" t="s">
        <v>76</v>
      </c>
      <c r="M12" s="11" t="s">
        <v>52</v>
      </c>
      <c r="N12" s="12">
        <v>32094</v>
      </c>
      <c r="O12" s="12" t="s">
        <v>391</v>
      </c>
      <c r="P12" s="7" t="s">
        <v>4285</v>
      </c>
      <c r="Q12" s="7" t="s">
        <v>4286</v>
      </c>
      <c r="R12" s="7" t="s">
        <v>138</v>
      </c>
      <c r="S12" s="7" t="s">
        <v>103</v>
      </c>
      <c r="T12" s="14">
        <v>4114</v>
      </c>
      <c r="U12" s="7" t="s">
        <v>58</v>
      </c>
      <c r="V12" s="7" t="s">
        <v>59</v>
      </c>
      <c r="W12" s="8" t="s">
        <v>4182</v>
      </c>
      <c r="X12" s="165" t="s">
        <v>4287</v>
      </c>
      <c r="Y12" s="15">
        <v>45233</v>
      </c>
      <c r="Z12" s="39" t="s">
        <v>4288</v>
      </c>
      <c r="AA12" s="7" t="s">
        <v>4289</v>
      </c>
      <c r="AB12" s="40" t="s">
        <v>4290</v>
      </c>
      <c r="AC12" s="7" t="s">
        <v>4291</v>
      </c>
      <c r="AD12" s="7" t="s">
        <v>4292</v>
      </c>
      <c r="AE12" s="13" t="s">
        <v>4293</v>
      </c>
      <c r="AF12" s="13" t="s">
        <v>4294</v>
      </c>
      <c r="AG12" s="7"/>
    </row>
    <row r="13" spans="1:33" ht="16.5" customHeight="1">
      <c r="A13" s="13" t="s">
        <v>722</v>
      </c>
      <c r="B13" s="7" t="s">
        <v>1656</v>
      </c>
      <c r="C13" s="7" t="s">
        <v>4295</v>
      </c>
      <c r="D13" s="8" t="s">
        <v>4296</v>
      </c>
      <c r="E13" s="8"/>
      <c r="F13" s="8" t="s">
        <v>693</v>
      </c>
      <c r="G13" s="38">
        <v>44655</v>
      </c>
      <c r="H13" s="38">
        <v>44926</v>
      </c>
      <c r="I13" s="29">
        <v>21</v>
      </c>
      <c r="J13" s="36">
        <v>1</v>
      </c>
      <c r="K13" s="10">
        <v>62449</v>
      </c>
      <c r="L13" s="8" t="s">
        <v>51</v>
      </c>
      <c r="M13" s="11" t="s">
        <v>52</v>
      </c>
      <c r="N13" s="12">
        <v>33783</v>
      </c>
      <c r="O13" s="12" t="s">
        <v>910</v>
      </c>
      <c r="P13" s="7" t="s">
        <v>4297</v>
      </c>
      <c r="Q13" s="13" t="s">
        <v>4298</v>
      </c>
      <c r="R13" s="13" t="s">
        <v>190</v>
      </c>
      <c r="S13" s="13" t="s">
        <v>103</v>
      </c>
      <c r="T13" s="14">
        <v>4102</v>
      </c>
      <c r="U13" s="13" t="s">
        <v>58</v>
      </c>
      <c r="V13" s="13" t="s">
        <v>59</v>
      </c>
      <c r="W13" s="13" t="s">
        <v>4182</v>
      </c>
      <c r="X13" s="159" t="s">
        <v>4299</v>
      </c>
      <c r="Y13" s="15">
        <v>45105</v>
      </c>
      <c r="Z13" s="166" t="s">
        <v>4300</v>
      </c>
      <c r="AA13" s="13" t="s">
        <v>4301</v>
      </c>
      <c r="AB13" s="13" t="s">
        <v>4302</v>
      </c>
      <c r="AC13" s="13" t="s">
        <v>4303</v>
      </c>
      <c r="AD13" s="13" t="s">
        <v>4304</v>
      </c>
      <c r="AE13" s="13" t="s">
        <v>66</v>
      </c>
      <c r="AF13" s="41" t="s">
        <v>4305</v>
      </c>
      <c r="AG13" s="7"/>
    </row>
    <row r="14" spans="1:33">
      <c r="A14" t="s">
        <v>262</v>
      </c>
      <c r="B14" t="s">
        <v>4306</v>
      </c>
      <c r="C14" t="s">
        <v>4307</v>
      </c>
      <c r="D14" t="s">
        <v>4308</v>
      </c>
      <c r="F14" t="s">
        <v>4309</v>
      </c>
      <c r="G14" s="42">
        <v>44844</v>
      </c>
      <c r="H14" s="42">
        <v>44935</v>
      </c>
      <c r="I14">
        <v>24</v>
      </c>
      <c r="J14">
        <v>1</v>
      </c>
      <c r="K14">
        <v>44205</v>
      </c>
      <c r="L14" t="s">
        <v>51</v>
      </c>
      <c r="M14" t="s">
        <v>52</v>
      </c>
      <c r="N14" s="42">
        <v>31975</v>
      </c>
      <c r="O14" t="s">
        <v>345</v>
      </c>
      <c r="P14">
        <v>31</v>
      </c>
      <c r="Q14" t="s">
        <v>4310</v>
      </c>
      <c r="R14" t="s">
        <v>4311</v>
      </c>
      <c r="S14" t="s">
        <v>2902</v>
      </c>
      <c r="T14">
        <v>4234</v>
      </c>
      <c r="U14" t="s">
        <v>58</v>
      </c>
      <c r="V14" t="s">
        <v>59</v>
      </c>
      <c r="W14" t="s">
        <v>4182</v>
      </c>
      <c r="X14" t="s">
        <v>4312</v>
      </c>
      <c r="Y14">
        <v>45490</v>
      </c>
      <c r="Z14">
        <v>2004888651</v>
      </c>
      <c r="AA14" t="s">
        <v>4313</v>
      </c>
      <c r="AB14" t="s">
        <v>4314</v>
      </c>
      <c r="AC14" t="s">
        <v>4315</v>
      </c>
      <c r="AD14" t="s">
        <v>4316</v>
      </c>
      <c r="AE14" t="s">
        <v>4317</v>
      </c>
      <c r="AF14" t="s">
        <v>4318</v>
      </c>
    </row>
    <row r="15" spans="1:33" ht="22.5" customHeight="1">
      <c r="A15" s="43" t="s">
        <v>3261</v>
      </c>
      <c r="B15" s="44" t="s">
        <v>844</v>
      </c>
      <c r="C15" s="44" t="s">
        <v>4319</v>
      </c>
      <c r="D15" s="45" t="s">
        <v>4320</v>
      </c>
      <c r="E15" s="45"/>
      <c r="F15" s="45" t="s">
        <v>3200</v>
      </c>
      <c r="G15" s="46">
        <v>44470</v>
      </c>
      <c r="H15" s="46">
        <v>45014</v>
      </c>
      <c r="I15" s="47">
        <v>7</v>
      </c>
      <c r="J15" s="48">
        <v>1</v>
      </c>
      <c r="K15" s="49">
        <f>LOOKUP(I15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18620</v>
      </c>
      <c r="L15" s="45" t="s">
        <v>76</v>
      </c>
      <c r="M15" s="50" t="s">
        <v>77</v>
      </c>
      <c r="N15" s="51">
        <v>34785</v>
      </c>
      <c r="O15" s="51" t="s">
        <v>391</v>
      </c>
      <c r="P15" s="44" t="s">
        <v>4321</v>
      </c>
      <c r="Q15" s="43" t="s">
        <v>699</v>
      </c>
      <c r="R15" s="43" t="s">
        <v>237</v>
      </c>
      <c r="S15" s="43" t="s">
        <v>103</v>
      </c>
      <c r="T15" s="52">
        <v>4107</v>
      </c>
      <c r="U15" s="43" t="s">
        <v>619</v>
      </c>
      <c r="V15" s="43" t="s">
        <v>2602</v>
      </c>
      <c r="W15" s="43" t="s">
        <v>4182</v>
      </c>
      <c r="X15" s="167" t="s">
        <v>4322</v>
      </c>
      <c r="Y15" s="53">
        <v>45012</v>
      </c>
      <c r="Z15" s="39" t="s">
        <v>4323</v>
      </c>
      <c r="AA15" s="43" t="s">
        <v>4324</v>
      </c>
      <c r="AB15" s="43" t="s">
        <v>4325</v>
      </c>
      <c r="AC15" s="43" t="s">
        <v>4326</v>
      </c>
      <c r="AD15" s="43" t="s">
        <v>4327</v>
      </c>
      <c r="AE15" s="43" t="s">
        <v>4328</v>
      </c>
      <c r="AF15" s="43" t="s">
        <v>4329</v>
      </c>
      <c r="AG15" s="44"/>
    </row>
    <row r="16" spans="1:33" ht="22.5" customHeight="1">
      <c r="A16" s="43" t="s">
        <v>2368</v>
      </c>
      <c r="B16" s="44" t="s">
        <v>4330</v>
      </c>
      <c r="C16" s="44" t="s">
        <v>4331</v>
      </c>
      <c r="D16" s="45" t="s">
        <v>4332</v>
      </c>
      <c r="E16" s="45"/>
      <c r="F16" s="45" t="s">
        <v>1835</v>
      </c>
      <c r="G16" s="46">
        <v>44531</v>
      </c>
      <c r="H16" s="46">
        <v>44957</v>
      </c>
      <c r="I16" s="47">
        <v>15</v>
      </c>
      <c r="J16" s="48">
        <v>1</v>
      </c>
      <c r="K16" s="49">
        <f>LOOKUP(I16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16" s="45" t="s">
        <v>76</v>
      </c>
      <c r="M16" s="50" t="s">
        <v>77</v>
      </c>
      <c r="N16" s="51">
        <v>32634</v>
      </c>
      <c r="O16" s="51" t="s">
        <v>345</v>
      </c>
      <c r="P16" s="44">
        <v>61</v>
      </c>
      <c r="Q16" s="43" t="s">
        <v>4333</v>
      </c>
      <c r="R16" s="43" t="s">
        <v>4334</v>
      </c>
      <c r="S16" s="43" t="s">
        <v>103</v>
      </c>
      <c r="T16" s="52">
        <v>4124</v>
      </c>
      <c r="U16" s="43" t="s">
        <v>639</v>
      </c>
      <c r="V16" s="43" t="s">
        <v>4335</v>
      </c>
      <c r="W16" s="43" t="s">
        <v>4182</v>
      </c>
      <c r="X16" s="167" t="s">
        <v>4336</v>
      </c>
      <c r="Y16" s="53">
        <v>45783</v>
      </c>
      <c r="Z16" s="39" t="s">
        <v>4337</v>
      </c>
      <c r="AA16" s="43" t="s">
        <v>4338</v>
      </c>
      <c r="AB16" s="43" t="s">
        <v>4339</v>
      </c>
      <c r="AC16" s="43" t="s">
        <v>4340</v>
      </c>
      <c r="AD16" s="43" t="s">
        <v>4341</v>
      </c>
      <c r="AE16" s="43" t="s">
        <v>66</v>
      </c>
      <c r="AF16" s="43" t="s">
        <v>4342</v>
      </c>
      <c r="AG16" s="44"/>
    </row>
    <row r="17" spans="1:40" ht="22.5" customHeight="1">
      <c r="A17" s="43" t="s">
        <v>1245</v>
      </c>
      <c r="B17" s="44" t="s">
        <v>4343</v>
      </c>
      <c r="C17" s="44" t="s">
        <v>4344</v>
      </c>
      <c r="D17" s="45" t="s">
        <v>2582</v>
      </c>
      <c r="E17" s="45"/>
      <c r="F17" s="45" t="s">
        <v>1246</v>
      </c>
      <c r="G17" s="46">
        <v>44867</v>
      </c>
      <c r="H17" s="46">
        <v>45050</v>
      </c>
      <c r="I17" s="47">
        <v>16</v>
      </c>
      <c r="J17" s="48">
        <v>1</v>
      </c>
      <c r="K17" s="49">
        <f>LOOKUP(I17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39672</v>
      </c>
      <c r="L17" s="45" t="s">
        <v>51</v>
      </c>
      <c r="M17" s="50" t="s">
        <v>52</v>
      </c>
      <c r="N17" s="51">
        <v>33524</v>
      </c>
      <c r="O17" s="51" t="s">
        <v>4345</v>
      </c>
      <c r="P17" s="44" t="s">
        <v>4346</v>
      </c>
      <c r="Q17" s="43" t="s">
        <v>4347</v>
      </c>
      <c r="R17" s="43" t="s">
        <v>4348</v>
      </c>
      <c r="S17" s="43" t="s">
        <v>3964</v>
      </c>
      <c r="T17" s="52">
        <v>3023</v>
      </c>
      <c r="U17" s="43" t="s">
        <v>619</v>
      </c>
      <c r="V17" s="43" t="s">
        <v>3132</v>
      </c>
      <c r="W17" s="43" t="s">
        <v>4182</v>
      </c>
      <c r="X17" s="167" t="s">
        <v>4349</v>
      </c>
      <c r="Y17" s="53">
        <v>45943</v>
      </c>
      <c r="Z17" s="166" t="s">
        <v>66</v>
      </c>
      <c r="AA17" s="43" t="s">
        <v>4350</v>
      </c>
      <c r="AB17" s="43" t="s">
        <v>4351</v>
      </c>
      <c r="AC17" s="43" t="s">
        <v>4352</v>
      </c>
      <c r="AD17" s="43" t="s">
        <v>4353</v>
      </c>
      <c r="AE17" s="43" t="s">
        <v>66</v>
      </c>
      <c r="AF17" s="54" t="s">
        <v>4354</v>
      </c>
      <c r="AG17" s="44"/>
    </row>
    <row r="18" spans="1:40" ht="22.5" customHeight="1">
      <c r="A18" s="43" t="s">
        <v>2120</v>
      </c>
      <c r="B18" s="55" t="s">
        <v>4355</v>
      </c>
      <c r="C18" s="55" t="s">
        <v>4356</v>
      </c>
      <c r="D18" s="55" t="s">
        <v>4357</v>
      </c>
      <c r="E18" s="55"/>
      <c r="F18" s="56" t="s">
        <v>1835</v>
      </c>
      <c r="G18" s="46">
        <v>45019</v>
      </c>
      <c r="H18" s="46">
        <v>45092</v>
      </c>
      <c r="I18" s="47">
        <v>15</v>
      </c>
      <c r="J18" s="48">
        <v>1</v>
      </c>
      <c r="K18" s="49">
        <f>LOOKUP(I18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18" s="56" t="s">
        <v>76</v>
      </c>
      <c r="M18" s="56" t="s">
        <v>77</v>
      </c>
      <c r="N18" s="46">
        <v>33377</v>
      </c>
      <c r="O18" s="46" t="s">
        <v>2719</v>
      </c>
      <c r="P18" s="56" t="s">
        <v>4358</v>
      </c>
      <c r="Q18" s="56" t="s">
        <v>4286</v>
      </c>
      <c r="R18" s="56" t="s">
        <v>138</v>
      </c>
      <c r="S18" s="56" t="s">
        <v>103</v>
      </c>
      <c r="T18" s="57">
        <v>4114</v>
      </c>
      <c r="U18" s="56" t="s">
        <v>619</v>
      </c>
      <c r="V18" s="56" t="s">
        <v>620</v>
      </c>
      <c r="W18" s="56" t="s">
        <v>4182</v>
      </c>
      <c r="X18" s="168" t="s">
        <v>4359</v>
      </c>
      <c r="Y18" s="58" t="s">
        <v>4360</v>
      </c>
      <c r="Z18" s="39">
        <v>2005593835</v>
      </c>
      <c r="AA18" s="45" t="s">
        <v>4361</v>
      </c>
      <c r="AB18" s="56" t="s">
        <v>4362</v>
      </c>
      <c r="AC18" s="56" t="s">
        <v>4363</v>
      </c>
      <c r="AD18" s="55" t="s">
        <v>4364</v>
      </c>
      <c r="AE18" s="55" t="s">
        <v>66</v>
      </c>
      <c r="AF18" s="59" t="s">
        <v>4365</v>
      </c>
      <c r="AG18" s="55"/>
    </row>
    <row r="19" spans="1:40" ht="22.5" customHeight="1">
      <c r="A19" s="43" t="s">
        <v>2212</v>
      </c>
      <c r="B19" s="44" t="s">
        <v>4366</v>
      </c>
      <c r="C19" s="44" t="s">
        <v>4367</v>
      </c>
      <c r="D19" s="44" t="s">
        <v>135</v>
      </c>
      <c r="E19" s="44" t="s">
        <v>118</v>
      </c>
      <c r="F19" s="45" t="s">
        <v>1835</v>
      </c>
      <c r="G19" s="46">
        <v>44956</v>
      </c>
      <c r="H19" s="46">
        <v>45143</v>
      </c>
      <c r="I19" s="47">
        <v>15</v>
      </c>
      <c r="J19" s="47">
        <v>1</v>
      </c>
      <c r="K19" s="49">
        <f>LOOKUP(I19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19" s="45" t="s">
        <v>51</v>
      </c>
      <c r="M19" s="45" t="s">
        <v>52</v>
      </c>
      <c r="N19" s="51">
        <v>32093</v>
      </c>
      <c r="O19" s="51" t="s">
        <v>154</v>
      </c>
      <c r="P19" s="45" t="s">
        <v>4368</v>
      </c>
      <c r="Q19" s="45" t="s">
        <v>4369</v>
      </c>
      <c r="R19" s="45" t="s">
        <v>190</v>
      </c>
      <c r="S19" s="45" t="s">
        <v>103</v>
      </c>
      <c r="T19" s="60">
        <v>4102</v>
      </c>
      <c r="U19" s="45" t="s">
        <v>619</v>
      </c>
      <c r="V19" s="45" t="s">
        <v>620</v>
      </c>
      <c r="W19" s="45" t="s">
        <v>4182</v>
      </c>
      <c r="X19" s="169" t="s">
        <v>4370</v>
      </c>
      <c r="Y19" s="61">
        <v>45608</v>
      </c>
      <c r="Z19" s="39" t="s">
        <v>66</v>
      </c>
      <c r="AA19" s="45" t="s">
        <v>4371</v>
      </c>
      <c r="AB19" s="45" t="s">
        <v>4372</v>
      </c>
      <c r="AC19" s="45" t="s">
        <v>4373</v>
      </c>
      <c r="AD19" s="44" t="s">
        <v>4374</v>
      </c>
      <c r="AE19" s="44" t="s">
        <v>66</v>
      </c>
      <c r="AF19" s="62" t="s">
        <v>4375</v>
      </c>
      <c r="AG19" s="44"/>
    </row>
    <row r="20" spans="1:40" ht="22.5" customHeight="1">
      <c r="A20" s="43" t="s">
        <v>2253</v>
      </c>
      <c r="B20" s="44" t="s">
        <v>922</v>
      </c>
      <c r="C20" s="44" t="s">
        <v>4376</v>
      </c>
      <c r="D20" s="44" t="s">
        <v>1937</v>
      </c>
      <c r="E20" s="45"/>
      <c r="F20" s="45" t="s">
        <v>1835</v>
      </c>
      <c r="G20" s="46">
        <v>44336</v>
      </c>
      <c r="H20" s="46">
        <v>45157</v>
      </c>
      <c r="I20" s="47">
        <v>15</v>
      </c>
      <c r="J20" s="47">
        <v>1</v>
      </c>
      <c r="K20" s="49">
        <f>LOOKUP(I20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L20" s="45" t="s">
        <v>76</v>
      </c>
      <c r="M20" s="50" t="s">
        <v>77</v>
      </c>
      <c r="N20" s="51">
        <v>31347</v>
      </c>
      <c r="O20" s="51" t="s">
        <v>4377</v>
      </c>
      <c r="P20" s="44" t="s">
        <v>925</v>
      </c>
      <c r="Q20" s="43" t="s">
        <v>926</v>
      </c>
      <c r="R20" s="43" t="s">
        <v>190</v>
      </c>
      <c r="S20" s="43" t="s">
        <v>103</v>
      </c>
      <c r="T20" s="52">
        <v>4102</v>
      </c>
      <c r="U20" s="43" t="s">
        <v>619</v>
      </c>
      <c r="V20" s="43" t="s">
        <v>620</v>
      </c>
      <c r="W20" s="43" t="s">
        <v>4182</v>
      </c>
      <c r="X20" s="167" t="s">
        <v>4378</v>
      </c>
      <c r="Y20" s="53">
        <v>45957</v>
      </c>
      <c r="Z20" s="39" t="s">
        <v>4379</v>
      </c>
      <c r="AA20" s="43" t="s">
        <v>4380</v>
      </c>
      <c r="AB20" s="43" t="s">
        <v>4381</v>
      </c>
      <c r="AC20" s="43" t="s">
        <v>4382</v>
      </c>
      <c r="AD20" s="43" t="s">
        <v>4383</v>
      </c>
      <c r="AE20" s="43" t="s">
        <v>933</v>
      </c>
      <c r="AF20" s="43" t="s">
        <v>4384</v>
      </c>
      <c r="AG20" s="44"/>
    </row>
    <row r="21" spans="1:40" ht="18.75">
      <c r="B21" s="63" t="s">
        <v>4385</v>
      </c>
      <c r="C21" s="63" t="s">
        <v>4386</v>
      </c>
      <c r="D21" s="63" t="s">
        <v>3226</v>
      </c>
      <c r="E21" s="63"/>
      <c r="F21" s="64">
        <v>31225</v>
      </c>
      <c r="G21" s="64">
        <v>44867</v>
      </c>
      <c r="H21" s="64">
        <v>44867</v>
      </c>
      <c r="I21" s="64">
        <v>44867</v>
      </c>
      <c r="J21" s="64" t="s">
        <v>51</v>
      </c>
      <c r="K21" s="64"/>
      <c r="L21" s="64" t="s">
        <v>4387</v>
      </c>
      <c r="M21" s="64" t="s">
        <v>4388</v>
      </c>
      <c r="N21" s="65" t="s">
        <v>270</v>
      </c>
      <c r="O21" s="64" t="s">
        <v>81</v>
      </c>
      <c r="P21" s="64" t="s">
        <v>57</v>
      </c>
      <c r="Q21" s="65">
        <v>1747</v>
      </c>
      <c r="R21" s="64" t="s">
        <v>58</v>
      </c>
      <c r="S21" s="64" t="s">
        <v>59</v>
      </c>
      <c r="T21" s="64" t="s">
        <v>4182</v>
      </c>
      <c r="U21" s="64" t="s">
        <v>4389</v>
      </c>
      <c r="V21" s="64">
        <v>45104</v>
      </c>
      <c r="W21" s="65" t="s">
        <v>66</v>
      </c>
      <c r="X21" s="64" t="s">
        <v>4390</v>
      </c>
      <c r="Y21" s="64" t="s">
        <v>4391</v>
      </c>
      <c r="Z21" s="64" t="s">
        <v>4392</v>
      </c>
      <c r="AA21" s="64" t="s">
        <v>4393</v>
      </c>
      <c r="AB21" s="64" t="s">
        <v>66</v>
      </c>
      <c r="AC21" s="64" t="s">
        <v>4394</v>
      </c>
    </row>
    <row r="22" spans="1:40" ht="18.75">
      <c r="B22" s="66" t="s">
        <v>4395</v>
      </c>
      <c r="C22" s="66" t="s">
        <v>4396</v>
      </c>
      <c r="D22" s="66" t="s">
        <v>4397</v>
      </c>
      <c r="E22" s="63"/>
      <c r="F22" s="64">
        <v>32707</v>
      </c>
      <c r="G22" s="64">
        <v>44363</v>
      </c>
      <c r="H22" s="64">
        <v>44363</v>
      </c>
      <c r="I22" s="64">
        <v>44363</v>
      </c>
      <c r="J22" s="64" t="s">
        <v>76</v>
      </c>
      <c r="K22" s="64"/>
      <c r="L22" s="64" t="s">
        <v>391</v>
      </c>
      <c r="M22" s="64" t="s">
        <v>4398</v>
      </c>
      <c r="N22" s="65" t="s">
        <v>4399</v>
      </c>
      <c r="O22" s="64" t="s">
        <v>190</v>
      </c>
      <c r="P22" s="64" t="s">
        <v>103</v>
      </c>
      <c r="Q22" s="65">
        <v>4102</v>
      </c>
      <c r="R22" s="64" t="s">
        <v>58</v>
      </c>
      <c r="S22" s="64" t="s">
        <v>59</v>
      </c>
      <c r="T22" s="64" t="s">
        <v>4182</v>
      </c>
      <c r="U22" s="64" t="s">
        <v>4400</v>
      </c>
      <c r="V22" s="64">
        <v>45491</v>
      </c>
      <c r="W22" s="65" t="s">
        <v>4401</v>
      </c>
      <c r="X22" s="64" t="s">
        <v>4402</v>
      </c>
      <c r="Y22" s="64" t="s">
        <v>4403</v>
      </c>
      <c r="Z22" s="64" t="s">
        <v>4404</v>
      </c>
      <c r="AA22" s="64" t="s">
        <v>4405</v>
      </c>
      <c r="AB22" s="64" t="s">
        <v>4406</v>
      </c>
      <c r="AC22" s="64" t="s">
        <v>4407</v>
      </c>
    </row>
    <row r="23" spans="1:40" ht="18.75">
      <c r="A23" t="s">
        <v>1382</v>
      </c>
      <c r="B23" s="66" t="s">
        <v>4408</v>
      </c>
      <c r="C23" s="66" t="s">
        <v>4249</v>
      </c>
      <c r="D23" s="66" t="s">
        <v>4409</v>
      </c>
      <c r="E23" s="63"/>
      <c r="F23" s="64">
        <v>31312</v>
      </c>
      <c r="G23" s="64">
        <v>44382</v>
      </c>
      <c r="H23" s="64">
        <v>45331</v>
      </c>
      <c r="I23" s="47">
        <v>16</v>
      </c>
      <c r="J23" s="47">
        <v>1</v>
      </c>
      <c r="L23" s="64" t="s">
        <v>76</v>
      </c>
      <c r="M23" s="64" t="s">
        <v>52</v>
      </c>
      <c r="N23" s="64" t="s">
        <v>4410</v>
      </c>
      <c r="O23" s="64" t="s">
        <v>4411</v>
      </c>
      <c r="P23" s="65" t="s">
        <v>3707</v>
      </c>
      <c r="Q23" s="64" t="s">
        <v>138</v>
      </c>
      <c r="R23" s="64" t="s">
        <v>103</v>
      </c>
      <c r="S23" s="65" t="s">
        <v>1752</v>
      </c>
      <c r="T23" s="64" t="s">
        <v>619</v>
      </c>
      <c r="U23" s="64" t="s">
        <v>620</v>
      </c>
      <c r="V23" s="64" t="s">
        <v>4182</v>
      </c>
      <c r="W23" s="64" t="s">
        <v>4412</v>
      </c>
      <c r="X23" s="64">
        <v>45557</v>
      </c>
      <c r="Y23" s="65" t="s">
        <v>4413</v>
      </c>
      <c r="Z23" s="64" t="s">
        <v>4414</v>
      </c>
      <c r="AA23" s="64" t="s">
        <v>4415</v>
      </c>
      <c r="AB23" s="64" t="s">
        <v>4416</v>
      </c>
      <c r="AC23" s="64" t="s">
        <v>4417</v>
      </c>
      <c r="AD23" s="64" t="s">
        <v>66</v>
      </c>
      <c r="AE23" s="64" t="s">
        <v>4418</v>
      </c>
    </row>
    <row r="25" spans="1:40" ht="51">
      <c r="A25" s="67" t="s">
        <v>1</v>
      </c>
      <c r="B25" s="67" t="s">
        <v>2</v>
      </c>
      <c r="C25" s="67" t="s">
        <v>7</v>
      </c>
      <c r="D25" s="68" t="s">
        <v>8</v>
      </c>
      <c r="E25" s="67" t="s">
        <v>4147</v>
      </c>
      <c r="F25" s="69" t="s">
        <v>11</v>
      </c>
      <c r="G25" s="69" t="s">
        <v>12</v>
      </c>
      <c r="H25" s="69" t="s">
        <v>13</v>
      </c>
      <c r="I25" s="69" t="s">
        <v>14</v>
      </c>
      <c r="J25" s="70" t="s">
        <v>15</v>
      </c>
      <c r="K25" s="70" t="s">
        <v>16</v>
      </c>
      <c r="L25" s="70" t="s">
        <v>17</v>
      </c>
      <c r="M25" s="70" t="s">
        <v>18</v>
      </c>
      <c r="N25" s="70" t="s">
        <v>19</v>
      </c>
      <c r="O25" s="70" t="s">
        <v>20</v>
      </c>
      <c r="P25" s="70" t="s">
        <v>23</v>
      </c>
      <c r="Q25" s="70" t="s">
        <v>24</v>
      </c>
      <c r="R25" s="70" t="s">
        <v>25</v>
      </c>
      <c r="S25" s="70" t="s">
        <v>26</v>
      </c>
      <c r="T25" s="70" t="s">
        <v>27</v>
      </c>
      <c r="U25" s="70" t="s">
        <v>28</v>
      </c>
      <c r="V25" s="70" t="s">
        <v>29</v>
      </c>
      <c r="W25" s="70" t="s">
        <v>30</v>
      </c>
      <c r="X25" s="70" t="s">
        <v>31</v>
      </c>
      <c r="Y25" s="70" t="s">
        <v>32</v>
      </c>
      <c r="Z25" s="70" t="s">
        <v>33</v>
      </c>
      <c r="AA25" s="70" t="s">
        <v>34</v>
      </c>
      <c r="AB25" s="70" t="s">
        <v>35</v>
      </c>
      <c r="AC25" s="70" t="s">
        <v>36</v>
      </c>
      <c r="AD25" s="70" t="s">
        <v>37</v>
      </c>
      <c r="AE25" s="70" t="s">
        <v>38</v>
      </c>
      <c r="AF25" s="70" t="s">
        <v>39</v>
      </c>
      <c r="AG25" s="70" t="s">
        <v>40</v>
      </c>
      <c r="AH25" s="70" t="s">
        <v>4159</v>
      </c>
    </row>
    <row r="26" spans="1:40" ht="18.75">
      <c r="A26" s="66" t="s">
        <v>1382</v>
      </c>
      <c r="B26" s="66" t="s">
        <v>1263</v>
      </c>
      <c r="C26" s="71">
        <v>16</v>
      </c>
      <c r="D26" s="72">
        <f>LOOKUP(C26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39672</v>
      </c>
      <c r="E26" s="71">
        <v>2</v>
      </c>
      <c r="F26" s="66" t="s">
        <v>4408</v>
      </c>
      <c r="G26" s="66" t="s">
        <v>4249</v>
      </c>
      <c r="H26" s="66" t="s">
        <v>4409</v>
      </c>
      <c r="I26" s="63"/>
      <c r="J26" s="64">
        <v>31312</v>
      </c>
      <c r="K26" s="64">
        <v>44382</v>
      </c>
      <c r="L26" s="64">
        <v>44382</v>
      </c>
      <c r="M26" s="64">
        <v>44867</v>
      </c>
      <c r="N26" s="64" t="s">
        <v>76</v>
      </c>
      <c r="O26" s="64" t="s">
        <v>52</v>
      </c>
      <c r="P26" s="64" t="s">
        <v>4410</v>
      </c>
      <c r="Q26" s="64" t="s">
        <v>4411</v>
      </c>
      <c r="R26" s="65" t="s">
        <v>3707</v>
      </c>
      <c r="S26" s="64" t="s">
        <v>138</v>
      </c>
      <c r="T26" s="64" t="s">
        <v>103</v>
      </c>
      <c r="U26" s="65">
        <v>4114</v>
      </c>
      <c r="V26" s="64" t="s">
        <v>619</v>
      </c>
      <c r="W26" s="64" t="s">
        <v>620</v>
      </c>
      <c r="X26" s="64" t="s">
        <v>4182</v>
      </c>
      <c r="Y26" s="64" t="s">
        <v>4412</v>
      </c>
      <c r="Z26" s="64">
        <v>45557</v>
      </c>
      <c r="AA26" s="65" t="s">
        <v>4413</v>
      </c>
      <c r="AB26" s="64" t="s">
        <v>4414</v>
      </c>
      <c r="AC26" s="64" t="s">
        <v>4415</v>
      </c>
      <c r="AD26" s="64" t="s">
        <v>4416</v>
      </c>
      <c r="AE26" s="64" t="s">
        <v>4417</v>
      </c>
      <c r="AF26" s="64" t="s">
        <v>66</v>
      </c>
      <c r="AG26" s="64" t="s">
        <v>4418</v>
      </c>
      <c r="AH26" s="64">
        <v>45331</v>
      </c>
    </row>
    <row r="27" spans="1:40" ht="18.75">
      <c r="A27" s="66" t="s">
        <v>1898</v>
      </c>
      <c r="B27" s="66" t="s">
        <v>1835</v>
      </c>
      <c r="C27" s="71">
        <v>15</v>
      </c>
      <c r="D27" s="72">
        <f>LOOKUP(C27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E27" s="71">
        <v>2</v>
      </c>
      <c r="F27" s="66" t="s">
        <v>4419</v>
      </c>
      <c r="G27" s="66" t="s">
        <v>4420</v>
      </c>
      <c r="H27" s="66" t="s">
        <v>4421</v>
      </c>
      <c r="I27" s="63"/>
      <c r="J27" s="64">
        <v>32878</v>
      </c>
      <c r="K27" s="64">
        <v>44851</v>
      </c>
      <c r="L27" s="64">
        <v>44851</v>
      </c>
      <c r="M27" s="64">
        <v>44851</v>
      </c>
      <c r="N27" s="64" t="s">
        <v>76</v>
      </c>
      <c r="O27" s="64" t="s">
        <v>52</v>
      </c>
      <c r="P27" s="64" t="s">
        <v>154</v>
      </c>
      <c r="Q27" s="64" t="s">
        <v>4422</v>
      </c>
      <c r="R27" s="65" t="s">
        <v>4423</v>
      </c>
      <c r="S27" s="64" t="s">
        <v>190</v>
      </c>
      <c r="T27" s="64" t="s">
        <v>103</v>
      </c>
      <c r="U27" s="65">
        <v>4102</v>
      </c>
      <c r="V27" s="64" t="s">
        <v>619</v>
      </c>
      <c r="W27" s="64" t="s">
        <v>620</v>
      </c>
      <c r="X27" s="64" t="s">
        <v>4182</v>
      </c>
      <c r="Y27" s="64" t="s">
        <v>4424</v>
      </c>
      <c r="Z27" s="64">
        <v>46143</v>
      </c>
      <c r="AA27" s="65" t="s">
        <v>66</v>
      </c>
      <c r="AB27" s="64" t="s">
        <v>4425</v>
      </c>
      <c r="AC27" s="64" t="s">
        <v>4426</v>
      </c>
      <c r="AD27" s="64" t="s">
        <v>4427</v>
      </c>
      <c r="AE27" s="64" t="s">
        <v>4428</v>
      </c>
      <c r="AF27" s="64" t="s">
        <v>66</v>
      </c>
      <c r="AG27" s="64" t="s">
        <v>4429</v>
      </c>
      <c r="AH27" s="64">
        <v>45358</v>
      </c>
    </row>
    <row r="28" spans="1:40" ht="18.75">
      <c r="A28" s="66" t="s">
        <v>3909</v>
      </c>
      <c r="B28" s="66" t="s">
        <v>3807</v>
      </c>
      <c r="C28" s="71">
        <v>4</v>
      </c>
      <c r="D28" s="72">
        <f>LOOKUP(C28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15586</v>
      </c>
      <c r="E28" s="71">
        <v>1</v>
      </c>
      <c r="F28" s="66" t="s">
        <v>4430</v>
      </c>
      <c r="G28" s="66" t="s">
        <v>4431</v>
      </c>
      <c r="H28" s="66" t="s">
        <v>4432</v>
      </c>
      <c r="I28" s="63"/>
      <c r="J28" s="64">
        <v>34528</v>
      </c>
      <c r="K28" s="64">
        <v>45124</v>
      </c>
      <c r="L28" s="64">
        <v>45124</v>
      </c>
      <c r="M28" s="64">
        <v>45124</v>
      </c>
      <c r="N28" s="64" t="s">
        <v>51</v>
      </c>
      <c r="O28" s="64" t="s">
        <v>77</v>
      </c>
      <c r="P28" s="64" t="s">
        <v>4433</v>
      </c>
      <c r="Q28" s="64" t="s">
        <v>4434</v>
      </c>
      <c r="R28" s="65" t="s">
        <v>4435</v>
      </c>
      <c r="S28" s="64" t="s">
        <v>102</v>
      </c>
      <c r="T28" s="64" t="s">
        <v>103</v>
      </c>
      <c r="U28" s="65">
        <v>4103</v>
      </c>
      <c r="V28" s="64" t="s">
        <v>619</v>
      </c>
      <c r="W28" s="64" t="s">
        <v>3359</v>
      </c>
      <c r="X28" s="64" t="s">
        <v>66</v>
      </c>
      <c r="Y28" s="64" t="s">
        <v>66</v>
      </c>
      <c r="Z28" s="64" t="s">
        <v>66</v>
      </c>
      <c r="AA28" s="65" t="s">
        <v>66</v>
      </c>
      <c r="AB28" s="64" t="s">
        <v>4436</v>
      </c>
      <c r="AC28" s="64" t="s">
        <v>4437</v>
      </c>
      <c r="AD28" s="64" t="s">
        <v>4438</v>
      </c>
      <c r="AE28" s="64" t="s">
        <v>4439</v>
      </c>
      <c r="AF28" s="64" t="s">
        <v>4440</v>
      </c>
      <c r="AG28" s="64" t="s">
        <v>4441</v>
      </c>
      <c r="AH28" s="64">
        <v>45350</v>
      </c>
    </row>
    <row r="29" spans="1:40" ht="18.75">
      <c r="A29" s="66" t="s">
        <v>426</v>
      </c>
      <c r="B29" s="66" t="s">
        <v>359</v>
      </c>
      <c r="C29" s="71">
        <v>23</v>
      </c>
      <c r="D29" s="72">
        <f>LOOKUP(C29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80003</v>
      </c>
      <c r="E29" s="71">
        <v>2</v>
      </c>
      <c r="F29" s="66" t="s">
        <v>4442</v>
      </c>
      <c r="G29" s="63" t="s">
        <v>4443</v>
      </c>
      <c r="H29" s="63" t="s">
        <v>4444</v>
      </c>
      <c r="I29" s="63"/>
      <c r="J29" s="64">
        <v>32551</v>
      </c>
      <c r="K29" s="64">
        <v>43439</v>
      </c>
      <c r="L29" s="64">
        <v>44348</v>
      </c>
      <c r="M29" s="64">
        <v>44348</v>
      </c>
      <c r="N29" s="64" t="s">
        <v>51</v>
      </c>
      <c r="O29" s="64" t="s">
        <v>77</v>
      </c>
      <c r="P29" s="64" t="s">
        <v>56</v>
      </c>
      <c r="Q29" s="64" t="s">
        <v>4445</v>
      </c>
      <c r="R29" s="65" t="s">
        <v>2539</v>
      </c>
      <c r="S29" s="64" t="s">
        <v>102</v>
      </c>
      <c r="T29" s="64" t="s">
        <v>103</v>
      </c>
      <c r="U29" s="65">
        <v>4103</v>
      </c>
      <c r="V29" s="64" t="s">
        <v>58</v>
      </c>
      <c r="W29" s="64" t="s">
        <v>59</v>
      </c>
      <c r="X29" s="64" t="s">
        <v>4182</v>
      </c>
      <c r="Y29" s="64" t="s">
        <v>4446</v>
      </c>
      <c r="Z29" s="64">
        <v>45993</v>
      </c>
      <c r="AA29" s="66">
        <v>2005260554</v>
      </c>
      <c r="AB29" s="64" t="s">
        <v>4447</v>
      </c>
      <c r="AC29" s="64" t="s">
        <v>4448</v>
      </c>
      <c r="AD29" s="64" t="s">
        <v>4449</v>
      </c>
      <c r="AE29" s="64" t="s">
        <v>4450</v>
      </c>
      <c r="AF29" s="64" t="s">
        <v>66</v>
      </c>
      <c r="AG29" s="64" t="s">
        <v>4451</v>
      </c>
      <c r="AH29" s="64">
        <v>45351</v>
      </c>
      <c r="AL29" s="64" t="s">
        <v>4450</v>
      </c>
      <c r="AM29" s="64" t="s">
        <v>66</v>
      </c>
      <c r="AN29" s="64" t="s">
        <v>4451</v>
      </c>
    </row>
    <row r="31" spans="1:40" ht="38.25">
      <c r="A31" s="73" t="s">
        <v>1</v>
      </c>
      <c r="B31" s="73" t="s">
        <v>2</v>
      </c>
      <c r="C31" s="73" t="s">
        <v>7</v>
      </c>
      <c r="D31" s="74" t="s">
        <v>8</v>
      </c>
      <c r="E31" s="73" t="s">
        <v>4147</v>
      </c>
      <c r="F31" s="73" t="s">
        <v>10</v>
      </c>
      <c r="G31" s="69" t="s">
        <v>11</v>
      </c>
      <c r="H31" s="69" t="s">
        <v>12</v>
      </c>
      <c r="I31" s="69" t="s">
        <v>13</v>
      </c>
      <c r="J31" s="69" t="s">
        <v>14</v>
      </c>
      <c r="K31" s="70" t="s">
        <v>15</v>
      </c>
      <c r="L31" s="70" t="s">
        <v>16</v>
      </c>
      <c r="M31" s="70" t="s">
        <v>17</v>
      </c>
      <c r="N31" s="70" t="s">
        <v>18</v>
      </c>
      <c r="O31" s="70" t="s">
        <v>19</v>
      </c>
      <c r="P31" s="70" t="s">
        <v>20</v>
      </c>
      <c r="Q31" s="70" t="s">
        <v>21</v>
      </c>
      <c r="R31" s="70" t="s">
        <v>22</v>
      </c>
      <c r="S31" s="70" t="s">
        <v>23</v>
      </c>
      <c r="T31" s="70" t="s">
        <v>24</v>
      </c>
      <c r="U31" s="70" t="s">
        <v>25</v>
      </c>
      <c r="V31" s="70" t="s">
        <v>26</v>
      </c>
      <c r="W31" s="70" t="s">
        <v>27</v>
      </c>
      <c r="X31" s="70" t="s">
        <v>28</v>
      </c>
      <c r="Y31" s="70" t="s">
        <v>29</v>
      </c>
      <c r="Z31" s="70" t="s">
        <v>30</v>
      </c>
      <c r="AA31" s="70" t="s">
        <v>31</v>
      </c>
      <c r="AB31" s="70" t="s">
        <v>32</v>
      </c>
      <c r="AC31" s="70" t="s">
        <v>33</v>
      </c>
      <c r="AD31" s="70" t="s">
        <v>34</v>
      </c>
      <c r="AE31" s="70" t="s">
        <v>35</v>
      </c>
      <c r="AF31" s="70" t="s">
        <v>36</v>
      </c>
      <c r="AG31" s="70" t="s">
        <v>37</v>
      </c>
      <c r="AH31" s="70" t="s">
        <v>38</v>
      </c>
      <c r="AI31" s="70" t="s">
        <v>39</v>
      </c>
      <c r="AJ31" s="70" t="s">
        <v>40</v>
      </c>
      <c r="AK31" s="70" t="s">
        <v>4159</v>
      </c>
    </row>
    <row r="32" spans="1:40" ht="18.75">
      <c r="A32" s="66" t="s">
        <v>2825</v>
      </c>
      <c r="B32" s="66" t="s">
        <v>2826</v>
      </c>
      <c r="C32" s="71">
        <v>11</v>
      </c>
      <c r="D32" s="72">
        <v>27000</v>
      </c>
      <c r="E32" s="71">
        <v>2</v>
      </c>
      <c r="F32" s="71" t="s">
        <v>1421</v>
      </c>
      <c r="G32" s="66" t="s">
        <v>4452</v>
      </c>
      <c r="H32" s="66" t="s">
        <v>4453</v>
      </c>
      <c r="I32" s="66" t="s">
        <v>4454</v>
      </c>
      <c r="J32" s="63"/>
      <c r="K32" s="64">
        <v>33772</v>
      </c>
      <c r="L32" s="64">
        <v>45104</v>
      </c>
      <c r="M32" s="64">
        <v>45104</v>
      </c>
      <c r="N32" s="64">
        <v>45104</v>
      </c>
      <c r="O32" s="64" t="s">
        <v>51</v>
      </c>
      <c r="P32" s="64" t="s">
        <v>77</v>
      </c>
      <c r="Q32" s="66">
        <v>32</v>
      </c>
      <c r="R32" s="66" t="s">
        <v>4154</v>
      </c>
      <c r="S32" s="64" t="s">
        <v>391</v>
      </c>
      <c r="T32" s="64" t="s">
        <v>4455</v>
      </c>
      <c r="U32" s="65" t="s">
        <v>2058</v>
      </c>
      <c r="V32" s="64" t="s">
        <v>237</v>
      </c>
      <c r="W32" s="64" t="s">
        <v>103</v>
      </c>
      <c r="X32" s="65">
        <v>4107</v>
      </c>
      <c r="Y32" s="64" t="s">
        <v>619</v>
      </c>
      <c r="Z32" s="64" t="s">
        <v>1107</v>
      </c>
      <c r="AA32" s="64" t="s">
        <v>4182</v>
      </c>
      <c r="AB32" s="64" t="s">
        <v>4456</v>
      </c>
      <c r="AC32" s="64">
        <v>45825</v>
      </c>
      <c r="AD32" s="65" t="s">
        <v>66</v>
      </c>
      <c r="AE32" s="64" t="s">
        <v>4457</v>
      </c>
      <c r="AF32" s="64" t="s">
        <v>4458</v>
      </c>
      <c r="AG32" s="64" t="s">
        <v>4459</v>
      </c>
      <c r="AH32" s="64" t="s">
        <v>4460</v>
      </c>
      <c r="AI32" s="64" t="s">
        <v>4461</v>
      </c>
      <c r="AJ32" s="64" t="s">
        <v>4462</v>
      </c>
      <c r="AK32" s="42">
        <v>45460</v>
      </c>
      <c r="AL32" s="75" t="s">
        <v>4463</v>
      </c>
    </row>
    <row r="33" spans="1:38" ht="18.75">
      <c r="A33" s="76" t="s">
        <v>2342</v>
      </c>
      <c r="B33" s="77" t="s">
        <v>1835</v>
      </c>
      <c r="C33" s="78">
        <v>15</v>
      </c>
      <c r="D33" s="79">
        <v>36619</v>
      </c>
      <c r="E33" s="78">
        <v>2</v>
      </c>
      <c r="F33" s="78" t="s">
        <v>1421</v>
      </c>
      <c r="G33" s="63" t="s">
        <v>4464</v>
      </c>
      <c r="H33" s="63" t="s">
        <v>4465</v>
      </c>
      <c r="I33" s="63" t="s">
        <v>4466</v>
      </c>
      <c r="J33" s="80"/>
      <c r="K33" s="81">
        <v>33439</v>
      </c>
      <c r="L33" s="81">
        <v>45337</v>
      </c>
      <c r="M33" s="81">
        <v>45337</v>
      </c>
      <c r="N33" s="81">
        <v>45337</v>
      </c>
      <c r="O33" s="81" t="s">
        <v>76</v>
      </c>
      <c r="P33" s="81" t="s">
        <v>52</v>
      </c>
      <c r="Q33" s="76">
        <v>32</v>
      </c>
      <c r="R33" s="76" t="s">
        <v>4154</v>
      </c>
      <c r="S33" s="81" t="s">
        <v>4467</v>
      </c>
      <c r="T33" s="81" t="s">
        <v>4468</v>
      </c>
      <c r="U33" s="82" t="s">
        <v>2125</v>
      </c>
      <c r="V33" s="81" t="s">
        <v>190</v>
      </c>
      <c r="W33" s="81" t="s">
        <v>103</v>
      </c>
      <c r="X33" s="82" t="s">
        <v>656</v>
      </c>
      <c r="Y33" s="81" t="s">
        <v>619</v>
      </c>
      <c r="Z33" s="81" t="s">
        <v>620</v>
      </c>
      <c r="AA33" s="81" t="s">
        <v>4182</v>
      </c>
      <c r="AB33" s="170" t="s">
        <v>4469</v>
      </c>
      <c r="AC33" s="81">
        <v>45858</v>
      </c>
      <c r="AD33" s="82" t="s">
        <v>66</v>
      </c>
      <c r="AE33" s="81" t="s">
        <v>4470</v>
      </c>
      <c r="AF33" s="81" t="s">
        <v>4471</v>
      </c>
      <c r="AG33" s="81" t="s">
        <v>4472</v>
      </c>
      <c r="AH33" s="81" t="s">
        <v>4473</v>
      </c>
      <c r="AI33" s="81" t="s">
        <v>4474</v>
      </c>
      <c r="AJ33" s="83" t="s">
        <v>4475</v>
      </c>
      <c r="AK33" s="42">
        <v>45473</v>
      </c>
      <c r="AL33" s="75" t="s">
        <v>4463</v>
      </c>
    </row>
    <row r="34" spans="1:38" ht="18.75">
      <c r="A34" s="76" t="s">
        <v>3792</v>
      </c>
      <c r="B34" s="76" t="s">
        <v>3744</v>
      </c>
      <c r="C34" s="78">
        <v>4</v>
      </c>
      <c r="D34" s="79">
        <v>15586</v>
      </c>
      <c r="E34" s="78">
        <v>1</v>
      </c>
      <c r="F34" s="78" t="s">
        <v>1421</v>
      </c>
      <c r="G34" s="66" t="s">
        <v>4476</v>
      </c>
      <c r="H34" s="66" t="s">
        <v>1120</v>
      </c>
      <c r="I34" s="66" t="s">
        <v>4477</v>
      </c>
      <c r="J34" s="80"/>
      <c r="K34" s="81">
        <v>36139</v>
      </c>
      <c r="L34" s="81">
        <v>44487</v>
      </c>
      <c r="M34" s="81">
        <v>44487</v>
      </c>
      <c r="N34" s="81">
        <v>44487</v>
      </c>
      <c r="O34" s="81" t="s">
        <v>76</v>
      </c>
      <c r="P34" s="81" t="s">
        <v>77</v>
      </c>
      <c r="Q34" s="76">
        <v>25</v>
      </c>
      <c r="R34" s="76" t="s">
        <v>4153</v>
      </c>
      <c r="S34" s="81" t="s">
        <v>4478</v>
      </c>
      <c r="T34" s="81" t="s">
        <v>942</v>
      </c>
      <c r="U34" s="82" t="s">
        <v>943</v>
      </c>
      <c r="V34" s="81" t="s">
        <v>190</v>
      </c>
      <c r="W34" s="81" t="s">
        <v>103</v>
      </c>
      <c r="X34" s="82">
        <v>4102</v>
      </c>
      <c r="Y34" s="81" t="s">
        <v>619</v>
      </c>
      <c r="Z34" s="81" t="s">
        <v>4479</v>
      </c>
      <c r="AA34" s="81" t="s">
        <v>66</v>
      </c>
      <c r="AB34" s="81" t="s">
        <v>66</v>
      </c>
      <c r="AC34" s="81" t="s">
        <v>66</v>
      </c>
      <c r="AD34" s="82" t="s">
        <v>4480</v>
      </c>
      <c r="AE34" s="81" t="s">
        <v>4481</v>
      </c>
      <c r="AF34" s="81" t="s">
        <v>4482</v>
      </c>
      <c r="AG34" s="81" t="s">
        <v>4483</v>
      </c>
      <c r="AH34" s="81" t="s">
        <v>4484</v>
      </c>
      <c r="AI34" s="81" t="s">
        <v>950</v>
      </c>
      <c r="AJ34" s="81" t="s">
        <v>4485</v>
      </c>
      <c r="AK34" s="42">
        <v>45480</v>
      </c>
      <c r="AL34" s="75" t="s">
        <v>4463</v>
      </c>
    </row>
    <row r="35" spans="1:38" ht="18.75">
      <c r="A35" s="66" t="s">
        <v>2039</v>
      </c>
      <c r="B35" s="66" t="s">
        <v>1835</v>
      </c>
      <c r="C35" s="78">
        <v>15</v>
      </c>
      <c r="D35" s="79">
        <v>36619</v>
      </c>
      <c r="E35" s="66">
        <v>2</v>
      </c>
      <c r="F35" s="71" t="s">
        <v>1421</v>
      </c>
      <c r="G35" s="66" t="s">
        <v>4486</v>
      </c>
      <c r="H35" s="66" t="s">
        <v>4487</v>
      </c>
      <c r="I35" s="66" t="s">
        <v>4488</v>
      </c>
      <c r="J35" s="63"/>
      <c r="K35" s="64">
        <v>21739</v>
      </c>
      <c r="L35" s="64">
        <v>37258</v>
      </c>
      <c r="M35" s="64">
        <v>44348</v>
      </c>
      <c r="N35" s="64">
        <v>44348</v>
      </c>
      <c r="O35" s="64" t="s">
        <v>51</v>
      </c>
      <c r="P35" s="64" t="s">
        <v>77</v>
      </c>
      <c r="Q35" s="66">
        <f t="shared" ref="Q35:Q38" ca="1" si="0">DATEDIF(K35,TODAY(),"Y")</f>
        <v>67</v>
      </c>
      <c r="R35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35" s="64" t="s">
        <v>4489</v>
      </c>
      <c r="T35" s="64" t="s">
        <v>4490</v>
      </c>
      <c r="U35" s="65" t="s">
        <v>4491</v>
      </c>
      <c r="V35" s="64" t="s">
        <v>138</v>
      </c>
      <c r="W35" s="64" t="s">
        <v>103</v>
      </c>
      <c r="X35" s="65">
        <v>4114</v>
      </c>
      <c r="Y35" s="64" t="s">
        <v>619</v>
      </c>
      <c r="Z35" s="64" t="s">
        <v>620</v>
      </c>
      <c r="AA35" s="64" t="s">
        <v>4182</v>
      </c>
      <c r="AB35" s="64" t="s">
        <v>4492</v>
      </c>
      <c r="AC35" s="64">
        <v>45846</v>
      </c>
      <c r="AD35" s="65" t="s">
        <v>4493</v>
      </c>
      <c r="AE35" s="64" t="s">
        <v>4494</v>
      </c>
      <c r="AF35" s="64" t="s">
        <v>4495</v>
      </c>
      <c r="AG35" s="64" t="s">
        <v>4496</v>
      </c>
      <c r="AH35" s="64" t="s">
        <v>4497</v>
      </c>
      <c r="AI35" s="64" t="s">
        <v>4498</v>
      </c>
      <c r="AJ35" s="64" t="s">
        <v>66</v>
      </c>
      <c r="AK35" s="42">
        <v>45481</v>
      </c>
      <c r="AL35" s="84" t="s">
        <v>4499</v>
      </c>
    </row>
    <row r="36" spans="1:38" ht="18.75">
      <c r="A36" s="66" t="s">
        <v>692</v>
      </c>
      <c r="B36" s="66" t="s">
        <v>693</v>
      </c>
      <c r="C36" s="71">
        <v>21</v>
      </c>
      <c r="D36" s="72">
        <f>LOOKUP(C36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63997</v>
      </c>
      <c r="E36" s="71">
        <v>2</v>
      </c>
      <c r="F36" s="71" t="str">
        <f>IF(Table1[[#This Row],[LAST]]="","Unfilled","Filled")</f>
        <v>Filled</v>
      </c>
      <c r="G36" s="66" t="s">
        <v>4500</v>
      </c>
      <c r="H36" s="66" t="s">
        <v>4501</v>
      </c>
      <c r="I36" s="66" t="s">
        <v>2442</v>
      </c>
      <c r="J36" s="63"/>
      <c r="K36" s="64">
        <v>21761</v>
      </c>
      <c r="L36" s="64">
        <v>42639</v>
      </c>
      <c r="M36" s="64">
        <v>44363</v>
      </c>
      <c r="N36" s="64">
        <v>44363</v>
      </c>
      <c r="O36" s="64" t="s">
        <v>51</v>
      </c>
      <c r="P36" s="64" t="s">
        <v>52</v>
      </c>
      <c r="Q36" s="66">
        <f t="shared" ca="1" si="0"/>
        <v>67</v>
      </c>
      <c r="R3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36" s="64" t="s">
        <v>154</v>
      </c>
      <c r="T36" s="64" t="s">
        <v>4502</v>
      </c>
      <c r="U36" s="65" t="s">
        <v>4503</v>
      </c>
      <c r="V36" s="64" t="s">
        <v>102</v>
      </c>
      <c r="W36" s="64" t="s">
        <v>103</v>
      </c>
      <c r="X36" s="65">
        <v>4103</v>
      </c>
      <c r="Y36" s="64" t="s">
        <v>58</v>
      </c>
      <c r="Z36" s="64" t="s">
        <v>59</v>
      </c>
      <c r="AA36" s="64" t="s">
        <v>4182</v>
      </c>
      <c r="AB36" s="64" t="s">
        <v>4504</v>
      </c>
      <c r="AC36" s="64">
        <v>45503</v>
      </c>
      <c r="AD36" s="65" t="s">
        <v>4505</v>
      </c>
      <c r="AE36" s="64" t="s">
        <v>4506</v>
      </c>
      <c r="AF36" s="64" t="s">
        <v>4507</v>
      </c>
      <c r="AG36" s="64" t="s">
        <v>4508</v>
      </c>
      <c r="AH36" s="64" t="s">
        <v>4509</v>
      </c>
      <c r="AI36" s="64" t="s">
        <v>4510</v>
      </c>
      <c r="AJ36" s="64" t="s">
        <v>4511</v>
      </c>
      <c r="AK36" s="42">
        <v>45504</v>
      </c>
      <c r="AL36" s="75" t="s">
        <v>4499</v>
      </c>
    </row>
    <row r="37" spans="1:38" ht="18.75">
      <c r="A37" s="66" t="s">
        <v>2381</v>
      </c>
      <c r="B37" s="77" t="s">
        <v>1835</v>
      </c>
      <c r="C37" s="71">
        <v>15</v>
      </c>
      <c r="D37" s="72">
        <f>LOOKUP(C37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E37" s="71">
        <v>2</v>
      </c>
      <c r="F37" s="71" t="str">
        <f>IF(Table1[[#This Row],[LAST]]="","Unfilled","Filled")</f>
        <v>Filled</v>
      </c>
      <c r="G37" s="63" t="s">
        <v>4512</v>
      </c>
      <c r="H37" s="63" t="s">
        <v>4513</v>
      </c>
      <c r="I37" s="63" t="s">
        <v>4514</v>
      </c>
      <c r="J37" s="63"/>
      <c r="K37" s="64">
        <v>30688</v>
      </c>
      <c r="L37" s="64">
        <v>45337</v>
      </c>
      <c r="M37" s="64">
        <v>45337</v>
      </c>
      <c r="N37" s="64">
        <v>45337</v>
      </c>
      <c r="O37" s="64" t="s">
        <v>76</v>
      </c>
      <c r="P37" s="64" t="s">
        <v>77</v>
      </c>
      <c r="Q37" s="66">
        <f t="shared" ca="1" si="0"/>
        <v>42</v>
      </c>
      <c r="R37" s="66" t="str">
        <f>IF(ABS(Table1[[#This Row],[AGE]])&gt;59,"60 and above",IF(ABS(Table1[[#This Row],[AGE]])&gt;49,"50-59",IF(ABS(Table1[[#This Row],[AGE]])&gt;39,"40-49",IF(ABS(Table1[[#This Row],[AGE]])&gt;29,"30-39",IF(ABS(Table1[[#This Row],[AGE]])&gt;19,"20-29","")))))</f>
        <v/>
      </c>
      <c r="S37" s="64" t="s">
        <v>56</v>
      </c>
      <c r="T37" s="64" t="s">
        <v>4515</v>
      </c>
      <c r="U37" s="65" t="s">
        <v>4516</v>
      </c>
      <c r="V37" s="64" t="s">
        <v>190</v>
      </c>
      <c r="W37" s="64" t="s">
        <v>103</v>
      </c>
      <c r="X37" s="65" t="s">
        <v>656</v>
      </c>
      <c r="Y37" s="64" t="s">
        <v>619</v>
      </c>
      <c r="Z37" s="64" t="s">
        <v>620</v>
      </c>
      <c r="AA37" s="64" t="s">
        <v>4182</v>
      </c>
      <c r="AB37" s="156" t="s">
        <v>4517</v>
      </c>
      <c r="AC37" s="64">
        <v>45664</v>
      </c>
      <c r="AD37" s="65" t="s">
        <v>66</v>
      </c>
      <c r="AE37" s="64" t="s">
        <v>4518</v>
      </c>
      <c r="AF37" s="64" t="s">
        <v>4519</v>
      </c>
      <c r="AG37" s="64" t="s">
        <v>4520</v>
      </c>
      <c r="AH37" s="64" t="s">
        <v>4521</v>
      </c>
      <c r="AI37" s="64" t="s">
        <v>66</v>
      </c>
      <c r="AJ37" s="85" t="s">
        <v>4522</v>
      </c>
      <c r="AK37" s="42">
        <v>45504</v>
      </c>
      <c r="AL37" s="75" t="s">
        <v>4463</v>
      </c>
    </row>
    <row r="38" spans="1:38" ht="18.75">
      <c r="A38" s="66" t="s">
        <v>455</v>
      </c>
      <c r="B38" s="86" t="s">
        <v>456</v>
      </c>
      <c r="C38" s="71">
        <v>23</v>
      </c>
      <c r="D38" s="72">
        <f>LOOKUP(C38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80003</v>
      </c>
      <c r="E38" s="71">
        <v>2</v>
      </c>
      <c r="F38" s="71" t="str">
        <f>IF(Table1[[#This Row],[LAST]]="","Unfilled","Filled")</f>
        <v>Filled</v>
      </c>
      <c r="G38" s="63" t="s">
        <v>4523</v>
      </c>
      <c r="H38" s="66" t="s">
        <v>4524</v>
      </c>
      <c r="I38" s="66" t="s">
        <v>4525</v>
      </c>
      <c r="J38" s="63"/>
      <c r="K38" s="64">
        <v>32025</v>
      </c>
      <c r="L38" s="64">
        <v>45329</v>
      </c>
      <c r="M38" s="64">
        <v>45329</v>
      </c>
      <c r="N38" s="64">
        <v>45329</v>
      </c>
      <c r="O38" s="64" t="s">
        <v>51</v>
      </c>
      <c r="P38" s="64" t="s">
        <v>77</v>
      </c>
      <c r="Q38" s="66">
        <f t="shared" ca="1" si="0"/>
        <v>38</v>
      </c>
      <c r="R3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38" s="64" t="s">
        <v>154</v>
      </c>
      <c r="T38" s="64" t="s">
        <v>4526</v>
      </c>
      <c r="U38" s="65" t="s">
        <v>4527</v>
      </c>
      <c r="V38" s="64" t="s">
        <v>56</v>
      </c>
      <c r="W38" s="64" t="s">
        <v>57</v>
      </c>
      <c r="X38" s="65" t="s">
        <v>810</v>
      </c>
      <c r="Y38" s="64" t="s">
        <v>58</v>
      </c>
      <c r="Z38" s="64" t="s">
        <v>59</v>
      </c>
      <c r="AA38" s="64" t="s">
        <v>4182</v>
      </c>
      <c r="AB38" s="156" t="s">
        <v>4528</v>
      </c>
      <c r="AC38" s="64">
        <v>46635</v>
      </c>
      <c r="AD38" s="65" t="s">
        <v>4529</v>
      </c>
      <c r="AE38" s="64" t="s">
        <v>4530</v>
      </c>
      <c r="AF38" s="64" t="s">
        <v>4531</v>
      </c>
      <c r="AG38" s="64" t="s">
        <v>4532</v>
      </c>
      <c r="AH38" s="64" t="s">
        <v>4533</v>
      </c>
      <c r="AI38" s="64" t="s">
        <v>66</v>
      </c>
      <c r="AJ38" s="85" t="s">
        <v>4534</v>
      </c>
      <c r="AK38" s="42">
        <v>45544</v>
      </c>
      <c r="AL38" s="75" t="s">
        <v>4463</v>
      </c>
    </row>
    <row r="39" spans="1:38" ht="18.75">
      <c r="A39" s="76" t="s">
        <v>648</v>
      </c>
      <c r="B39" s="76" t="s">
        <v>649</v>
      </c>
      <c r="C39" s="78">
        <v>21</v>
      </c>
      <c r="D39" s="79">
        <f>LOOKUP(C39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63997</v>
      </c>
      <c r="E39" s="78">
        <v>2</v>
      </c>
      <c r="F39" s="78" t="str">
        <f>IF(Table1[[#This Row],[LAST]]="","Unfilled","Filled")</f>
        <v>Filled</v>
      </c>
      <c r="G39" s="63" t="s">
        <v>4535</v>
      </c>
      <c r="H39" s="66" t="s">
        <v>4536</v>
      </c>
      <c r="I39" s="63" t="s">
        <v>4537</v>
      </c>
      <c r="J39" s="80"/>
      <c r="K39" s="81">
        <v>31178</v>
      </c>
      <c r="L39" s="81">
        <v>44671</v>
      </c>
      <c r="M39" s="81">
        <v>44671</v>
      </c>
      <c r="N39" s="81">
        <v>44671</v>
      </c>
      <c r="O39" s="81" t="s">
        <v>76</v>
      </c>
      <c r="P39" s="81" t="s">
        <v>77</v>
      </c>
      <c r="Q39" s="76">
        <f t="shared" ref="Q39" ca="1" si="1">DATEDIF(K39,TODAY(),"Y")</f>
        <v>41</v>
      </c>
      <c r="R39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39" s="81" t="s">
        <v>154</v>
      </c>
      <c r="T39" s="81" t="s">
        <v>4538</v>
      </c>
      <c r="U39" s="82" t="s">
        <v>4539</v>
      </c>
      <c r="V39" s="81" t="s">
        <v>56</v>
      </c>
      <c r="W39" s="81" t="s">
        <v>82</v>
      </c>
      <c r="X39" s="82">
        <v>1116</v>
      </c>
      <c r="Y39" s="81" t="s">
        <v>58</v>
      </c>
      <c r="Z39" s="81" t="s">
        <v>59</v>
      </c>
      <c r="AA39" s="81" t="s">
        <v>4182</v>
      </c>
      <c r="AB39" s="81" t="s">
        <v>4540</v>
      </c>
      <c r="AC39" s="81">
        <v>45057</v>
      </c>
      <c r="AD39" s="82" t="s">
        <v>4541</v>
      </c>
      <c r="AE39" s="81" t="s">
        <v>4542</v>
      </c>
      <c r="AF39" s="81" t="s">
        <v>4543</v>
      </c>
      <c r="AG39" s="81" t="s">
        <v>4544</v>
      </c>
      <c r="AH39" s="81" t="s">
        <v>4545</v>
      </c>
      <c r="AI39" s="81" t="s">
        <v>66</v>
      </c>
      <c r="AJ39" s="81" t="s">
        <v>4546</v>
      </c>
      <c r="AK39" s="42">
        <v>45565</v>
      </c>
      <c r="AL39" s="75" t="s">
        <v>4463</v>
      </c>
    </row>
    <row r="40" spans="1:38" ht="18.75">
      <c r="A40" s="66" t="s">
        <v>2054</v>
      </c>
      <c r="B40" s="66" t="s">
        <v>1835</v>
      </c>
      <c r="C40" s="71">
        <v>15</v>
      </c>
      <c r="D40" s="72">
        <f>LOOKUP(C40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36619</v>
      </c>
      <c r="E40" s="71">
        <v>2</v>
      </c>
      <c r="F40" s="71" t="str">
        <f>IF(Table1[[#This Row],[LAST]]="","Unfilled","Filled")</f>
        <v>Filled</v>
      </c>
      <c r="G40" s="66" t="s">
        <v>1887</v>
      </c>
      <c r="H40" s="66" t="s">
        <v>4547</v>
      </c>
      <c r="I40" s="66" t="s">
        <v>4548</v>
      </c>
      <c r="J40" s="63"/>
      <c r="K40" s="64">
        <v>32001</v>
      </c>
      <c r="L40" s="64">
        <v>45272</v>
      </c>
      <c r="M40" s="64">
        <v>45272</v>
      </c>
      <c r="N40" s="64">
        <v>45272</v>
      </c>
      <c r="O40" s="64" t="s">
        <v>51</v>
      </c>
      <c r="P40" s="64" t="s">
        <v>77</v>
      </c>
      <c r="Q40" s="66">
        <f t="shared" ref="Q40" ca="1" si="2">DATEDIF(K40,TODAY(),"Y")</f>
        <v>39</v>
      </c>
      <c r="R4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0" s="64" t="s">
        <v>822</v>
      </c>
      <c r="T40" s="64" t="s">
        <v>4549</v>
      </c>
      <c r="U40" s="65" t="s">
        <v>2244</v>
      </c>
      <c r="V40" s="64" t="s">
        <v>102</v>
      </c>
      <c r="W40" s="64" t="s">
        <v>103</v>
      </c>
      <c r="X40" s="65">
        <v>4103</v>
      </c>
      <c r="Y40" s="64" t="s">
        <v>619</v>
      </c>
      <c r="Z40" s="64" t="s">
        <v>620</v>
      </c>
      <c r="AA40" s="64" t="s">
        <v>4182</v>
      </c>
      <c r="AB40" s="64" t="s">
        <v>4550</v>
      </c>
      <c r="AC40" s="64" t="s">
        <v>4551</v>
      </c>
      <c r="AD40" s="65" t="s">
        <v>66</v>
      </c>
      <c r="AE40" s="64" t="s">
        <v>4552</v>
      </c>
      <c r="AF40" s="64" t="s">
        <v>4553</v>
      </c>
      <c r="AG40" s="64" t="s">
        <v>4554</v>
      </c>
      <c r="AH40" s="64" t="s">
        <v>4555</v>
      </c>
      <c r="AI40" s="64" t="s">
        <v>66</v>
      </c>
      <c r="AJ40" s="64" t="s">
        <v>4556</v>
      </c>
      <c r="AK40" s="42">
        <v>45550</v>
      </c>
      <c r="AL40" s="75" t="s">
        <v>4463</v>
      </c>
    </row>
    <row r="41" spans="1:38" ht="18.75">
      <c r="A41" s="76" t="s">
        <v>3198</v>
      </c>
      <c r="B41" s="76" t="s">
        <v>3199</v>
      </c>
      <c r="C41" s="78">
        <v>7</v>
      </c>
      <c r="D41" s="79">
        <f>LOOKUP(C41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18620</v>
      </c>
      <c r="E41" s="78">
        <v>1</v>
      </c>
      <c r="F41" s="78" t="str">
        <f>IF(Table1[[#This Row],[LAST]]="","Unfilled","Filled")</f>
        <v>Filled</v>
      </c>
      <c r="G41" s="63" t="s">
        <v>314</v>
      </c>
      <c r="H41" s="63" t="s">
        <v>4557</v>
      </c>
      <c r="I41" s="63" t="s">
        <v>4558</v>
      </c>
      <c r="J41" s="80"/>
      <c r="K41" s="81">
        <v>33086</v>
      </c>
      <c r="L41" s="81">
        <v>45107</v>
      </c>
      <c r="M41" s="81">
        <v>45107</v>
      </c>
      <c r="N41" s="81">
        <v>45107</v>
      </c>
      <c r="O41" s="81" t="s">
        <v>76</v>
      </c>
      <c r="P41" s="81" t="s">
        <v>77</v>
      </c>
      <c r="Q41" s="76">
        <f t="shared" ref="Q41" ca="1" si="3">DATEDIF(K41,TODAY(),"Y")</f>
        <v>36</v>
      </c>
      <c r="R41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1" s="81" t="s">
        <v>4559</v>
      </c>
      <c r="T41" s="81" t="s">
        <v>4560</v>
      </c>
      <c r="U41" s="82" t="s">
        <v>2044</v>
      </c>
      <c r="V41" s="81" t="s">
        <v>1184</v>
      </c>
      <c r="W41" s="81" t="s">
        <v>103</v>
      </c>
      <c r="X41" s="82">
        <v>4104</v>
      </c>
      <c r="Y41" s="81" t="s">
        <v>619</v>
      </c>
      <c r="Z41" s="81" t="s">
        <v>3145</v>
      </c>
      <c r="AA41" s="81" t="s">
        <v>641</v>
      </c>
      <c r="AB41" s="81" t="s">
        <v>66</v>
      </c>
      <c r="AC41" s="81" t="s">
        <v>66</v>
      </c>
      <c r="AD41" s="82" t="s">
        <v>4561</v>
      </c>
      <c r="AE41" s="81" t="s">
        <v>4562</v>
      </c>
      <c r="AF41" s="81" t="s">
        <v>4563</v>
      </c>
      <c r="AG41" s="81" t="s">
        <v>4564</v>
      </c>
      <c r="AH41" s="81" t="s">
        <v>4565</v>
      </c>
      <c r="AI41" s="81" t="s">
        <v>66</v>
      </c>
      <c r="AJ41" s="81" t="s">
        <v>4566</v>
      </c>
      <c r="AK41" s="42">
        <v>45582</v>
      </c>
      <c r="AL41" s="75" t="s">
        <v>4463</v>
      </c>
    </row>
    <row r="42" spans="1:38" ht="18.75">
      <c r="A42" s="76" t="s">
        <v>3982</v>
      </c>
      <c r="B42" s="76" t="s">
        <v>3807</v>
      </c>
      <c r="C42" s="78">
        <v>4</v>
      </c>
      <c r="D42" s="79">
        <f>LOOKUP(C42,{1,2,3,4,5,6,7,8,9,10,11,12,13,14,15,16,17,18,19,20,21,22,23,24,25,26,27,28,29,30,31,32,33},{13000,13819,14678,15586,16543,17553,18620,19744,21211,23176,27000,29165,31320,33843,36619,39672,43030,46725,51357,57347,63997,71511,80003,90078,102690,116040,131124,148171,167432,189199,278434,331954,419144})</f>
        <v>15586</v>
      </c>
      <c r="E42" s="78">
        <v>1</v>
      </c>
      <c r="F42" s="78" t="str">
        <f>IF(Table1[[#This Row],[LAST]]="","Unfilled","Filled")</f>
        <v>Filled</v>
      </c>
      <c r="G42" s="66" t="s">
        <v>4567</v>
      </c>
      <c r="H42" s="66" t="s">
        <v>4568</v>
      </c>
      <c r="I42" s="66" t="s">
        <v>4569</v>
      </c>
      <c r="J42" s="80"/>
      <c r="K42" s="81">
        <v>33927</v>
      </c>
      <c r="L42" s="81">
        <v>45127</v>
      </c>
      <c r="M42" s="81">
        <v>45127</v>
      </c>
      <c r="N42" s="81">
        <v>45127</v>
      </c>
      <c r="O42" s="81" t="s">
        <v>51</v>
      </c>
      <c r="P42" s="81" t="s">
        <v>77</v>
      </c>
      <c r="Q42" s="76">
        <f t="shared" ref="Q42" ca="1" si="4">DATEDIF(K42,TODAY(),"Y")</f>
        <v>33</v>
      </c>
      <c r="R42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2" s="81" t="s">
        <v>3613</v>
      </c>
      <c r="T42" s="81" t="s">
        <v>4570</v>
      </c>
      <c r="U42" s="82" t="s">
        <v>1598</v>
      </c>
      <c r="V42" s="81" t="s">
        <v>102</v>
      </c>
      <c r="W42" s="81" t="s">
        <v>103</v>
      </c>
      <c r="X42" s="82">
        <v>4103</v>
      </c>
      <c r="Y42" s="81" t="s">
        <v>2991</v>
      </c>
      <c r="Z42" s="81" t="s">
        <v>3450</v>
      </c>
      <c r="AA42" s="81" t="s">
        <v>66</v>
      </c>
      <c r="AB42" s="81" t="s">
        <v>66</v>
      </c>
      <c r="AC42" s="81" t="s">
        <v>66</v>
      </c>
      <c r="AD42" s="82" t="s">
        <v>4571</v>
      </c>
      <c r="AE42" s="81" t="s">
        <v>4572</v>
      </c>
      <c r="AF42" s="81" t="s">
        <v>4573</v>
      </c>
      <c r="AG42" s="81" t="s">
        <v>4574</v>
      </c>
      <c r="AH42" s="81" t="s">
        <v>4575</v>
      </c>
      <c r="AI42" s="81" t="s">
        <v>66</v>
      </c>
      <c r="AJ42" s="81" t="s">
        <v>4576</v>
      </c>
      <c r="AK42" s="42">
        <v>45592</v>
      </c>
      <c r="AL42" s="75" t="s">
        <v>4463</v>
      </c>
    </row>
    <row r="43" spans="1:38" ht="18.75">
      <c r="A43" s="66" t="s">
        <v>2502</v>
      </c>
      <c r="B43" s="66" t="s">
        <v>2503</v>
      </c>
      <c r="C43" s="71">
        <v>15</v>
      </c>
      <c r="D43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43" s="71">
        <v>2</v>
      </c>
      <c r="F43" s="71" t="str">
        <f>IF(Table1[[#This Row],[LAST]]="","Unfilled","Filled")</f>
        <v>Filled</v>
      </c>
      <c r="G43" s="63" t="s">
        <v>1424</v>
      </c>
      <c r="H43" s="63" t="s">
        <v>4577</v>
      </c>
      <c r="I43" s="63" t="s">
        <v>4578</v>
      </c>
      <c r="J43" s="63"/>
      <c r="K43" s="64">
        <v>31384</v>
      </c>
      <c r="L43" s="64">
        <v>45338</v>
      </c>
      <c r="M43" s="64">
        <v>45338</v>
      </c>
      <c r="N43" s="64">
        <v>45338</v>
      </c>
      <c r="O43" s="64" t="s">
        <v>76</v>
      </c>
      <c r="P43" s="64" t="s">
        <v>52</v>
      </c>
      <c r="Q43" s="66">
        <f t="shared" ref="Q43" ca="1" si="5">DATEDIF(K43,TODAY(),"Y")</f>
        <v>40</v>
      </c>
      <c r="R43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43" s="64" t="s">
        <v>1052</v>
      </c>
      <c r="T43" s="64" t="s">
        <v>4579</v>
      </c>
      <c r="U43" s="65" t="s">
        <v>1183</v>
      </c>
      <c r="V43" s="64" t="s">
        <v>1184</v>
      </c>
      <c r="W43" s="64" t="s">
        <v>103</v>
      </c>
      <c r="X43" s="65" t="s">
        <v>2045</v>
      </c>
      <c r="Y43" s="64" t="s">
        <v>619</v>
      </c>
      <c r="Z43" s="64" t="s">
        <v>1107</v>
      </c>
      <c r="AA43" s="64" t="s">
        <v>4182</v>
      </c>
      <c r="AB43" s="156" t="s">
        <v>4580</v>
      </c>
      <c r="AC43" s="64">
        <v>46359</v>
      </c>
      <c r="AD43" s="65" t="s">
        <v>4581</v>
      </c>
      <c r="AE43" s="64" t="s">
        <v>4582</v>
      </c>
      <c r="AF43" s="64" t="s">
        <v>4583</v>
      </c>
      <c r="AG43" s="64" t="s">
        <v>4584</v>
      </c>
      <c r="AH43" s="64" t="s">
        <v>4585</v>
      </c>
      <c r="AI43" s="64" t="s">
        <v>4586</v>
      </c>
      <c r="AJ43" s="85" t="s">
        <v>4587</v>
      </c>
      <c r="AK43" s="42">
        <v>45662</v>
      </c>
      <c r="AL43" s="75" t="s">
        <v>4588</v>
      </c>
    </row>
    <row r="44" spans="1:38" ht="18.75">
      <c r="A44" s="76" t="s">
        <v>843</v>
      </c>
      <c r="B44" s="76" t="s">
        <v>723</v>
      </c>
      <c r="C44" s="78">
        <v>21</v>
      </c>
      <c r="D44" s="79">
        <v>70013</v>
      </c>
      <c r="E44" s="78">
        <v>2</v>
      </c>
      <c r="F44" s="78" t="s">
        <v>1421</v>
      </c>
      <c r="G44" s="63" t="s">
        <v>342</v>
      </c>
      <c r="H44" s="63" t="s">
        <v>4589</v>
      </c>
      <c r="I44" s="63" t="s">
        <v>4080</v>
      </c>
      <c r="J44" s="80"/>
      <c r="K44" s="81">
        <v>31944</v>
      </c>
      <c r="L44" s="81">
        <v>45090</v>
      </c>
      <c r="M44" s="81">
        <v>45090</v>
      </c>
      <c r="N44" s="81">
        <v>45090</v>
      </c>
      <c r="O44" s="81" t="s">
        <v>51</v>
      </c>
      <c r="P44" s="81" t="s">
        <v>52</v>
      </c>
      <c r="Q44" s="76">
        <v>37</v>
      </c>
      <c r="R44" s="76" t="s">
        <v>4154</v>
      </c>
      <c r="S44" s="81" t="s">
        <v>56</v>
      </c>
      <c r="T44" s="81" t="s">
        <v>4590</v>
      </c>
      <c r="U44" s="82" t="s">
        <v>4591</v>
      </c>
      <c r="V44" s="81" t="s">
        <v>448</v>
      </c>
      <c r="W44" s="81" t="s">
        <v>331</v>
      </c>
      <c r="X44" s="82">
        <v>4029</v>
      </c>
      <c r="Y44" s="81" t="s">
        <v>58</v>
      </c>
      <c r="Z44" s="81" t="s">
        <v>59</v>
      </c>
      <c r="AA44" s="81" t="s">
        <v>4182</v>
      </c>
      <c r="AB44" s="81" t="s">
        <v>4592</v>
      </c>
      <c r="AC44" s="81">
        <v>46554</v>
      </c>
      <c r="AD44" s="82" t="s">
        <v>4593</v>
      </c>
      <c r="AE44" s="81" t="s">
        <v>4594</v>
      </c>
      <c r="AF44" s="81" t="s">
        <v>4595</v>
      </c>
      <c r="AG44" s="81" t="s">
        <v>4596</v>
      </c>
      <c r="AH44" s="81" t="s">
        <v>4597</v>
      </c>
      <c r="AI44" s="81" t="s">
        <v>66</v>
      </c>
      <c r="AJ44" s="81" t="s">
        <v>4598</v>
      </c>
      <c r="AK44" s="42">
        <v>45736</v>
      </c>
      <c r="AL44" s="75" t="s">
        <v>4463</v>
      </c>
    </row>
    <row r="45" spans="1:38" ht="18.75">
      <c r="A45" s="66" t="s">
        <v>1886</v>
      </c>
      <c r="B45" s="66" t="s">
        <v>1835</v>
      </c>
      <c r="C45" s="71">
        <v>15</v>
      </c>
      <c r="D45" s="72">
        <v>40208</v>
      </c>
      <c r="E45" s="71">
        <v>2</v>
      </c>
      <c r="F45" s="71" t="s">
        <v>1421</v>
      </c>
      <c r="G45" s="66" t="s">
        <v>4599</v>
      </c>
      <c r="H45" s="66" t="s">
        <v>4600</v>
      </c>
      <c r="I45" s="66" t="s">
        <v>4601</v>
      </c>
      <c r="J45" s="63"/>
      <c r="K45" s="64">
        <v>32405</v>
      </c>
      <c r="L45" s="64">
        <v>44874</v>
      </c>
      <c r="M45" s="64">
        <v>44874</v>
      </c>
      <c r="N45" s="64">
        <v>44874</v>
      </c>
      <c r="O45" s="64" t="s">
        <v>51</v>
      </c>
      <c r="P45" s="64" t="s">
        <v>77</v>
      </c>
      <c r="Q45" s="66">
        <v>36</v>
      </c>
      <c r="R45" s="66" t="s">
        <v>4154</v>
      </c>
      <c r="S45" s="64" t="s">
        <v>154</v>
      </c>
      <c r="T45" s="64" t="s">
        <v>4602</v>
      </c>
      <c r="U45" s="65" t="s">
        <v>1799</v>
      </c>
      <c r="V45" s="64" t="s">
        <v>102</v>
      </c>
      <c r="W45" s="64" t="s">
        <v>103</v>
      </c>
      <c r="X45" s="65">
        <v>4114</v>
      </c>
      <c r="Y45" s="64" t="s">
        <v>619</v>
      </c>
      <c r="Z45" s="64" t="s">
        <v>620</v>
      </c>
      <c r="AA45" s="64" t="s">
        <v>4182</v>
      </c>
      <c r="AB45" s="64" t="s">
        <v>4603</v>
      </c>
      <c r="AC45" s="64">
        <v>46649</v>
      </c>
      <c r="AD45" s="65" t="s">
        <v>4604</v>
      </c>
      <c r="AE45" s="64" t="s">
        <v>1867</v>
      </c>
      <c r="AF45" s="64" t="s">
        <v>4605</v>
      </c>
      <c r="AG45" s="64" t="s">
        <v>4606</v>
      </c>
      <c r="AH45" s="64" t="s">
        <v>4607</v>
      </c>
      <c r="AI45" s="64" t="s">
        <v>66</v>
      </c>
      <c r="AJ45" s="64" t="s">
        <v>4608</v>
      </c>
      <c r="AL45" s="75" t="s">
        <v>4463</v>
      </c>
    </row>
    <row r="46" spans="1:38" ht="18.75">
      <c r="A46" s="66" t="s">
        <v>1872</v>
      </c>
      <c r="B46" s="66" t="s">
        <v>1835</v>
      </c>
      <c r="C46" s="71">
        <v>15</v>
      </c>
      <c r="D46" s="72">
        <v>40208</v>
      </c>
      <c r="E46" s="71">
        <v>2</v>
      </c>
      <c r="F46" s="71" t="s">
        <v>1421</v>
      </c>
      <c r="G46" s="66" t="s">
        <v>2788</v>
      </c>
      <c r="H46" s="66" t="s">
        <v>4609</v>
      </c>
      <c r="I46" s="66" t="s">
        <v>4610</v>
      </c>
      <c r="J46" s="63"/>
      <c r="K46" s="64">
        <v>31065</v>
      </c>
      <c r="L46" s="64">
        <v>45495</v>
      </c>
      <c r="M46" s="64">
        <v>45495</v>
      </c>
      <c r="N46" s="64">
        <v>45495</v>
      </c>
      <c r="O46" s="64" t="s">
        <v>51</v>
      </c>
      <c r="P46" s="64" t="s">
        <v>77</v>
      </c>
      <c r="Q46" s="66">
        <f ca="1">DATEDIF(K46,TODAY(),"Y")</f>
        <v>41</v>
      </c>
      <c r="R46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6" s="64" t="s">
        <v>121</v>
      </c>
      <c r="T46" s="64" t="s">
        <v>4611</v>
      </c>
      <c r="U46" s="65" t="s">
        <v>1672</v>
      </c>
      <c r="V46" s="64" t="s">
        <v>102</v>
      </c>
      <c r="W46" s="64" t="s">
        <v>103</v>
      </c>
      <c r="X46" s="65" t="s">
        <v>1106</v>
      </c>
      <c r="Y46" s="64" t="s">
        <v>619</v>
      </c>
      <c r="Z46" s="64" t="s">
        <v>620</v>
      </c>
      <c r="AA46" s="64" t="s">
        <v>4182</v>
      </c>
      <c r="AB46" s="156" t="s">
        <v>4612</v>
      </c>
      <c r="AC46" s="64">
        <v>46405</v>
      </c>
      <c r="AD46" s="65" t="s">
        <v>4613</v>
      </c>
      <c r="AE46" s="64" t="s">
        <v>4614</v>
      </c>
      <c r="AF46" s="64" t="s">
        <v>4615</v>
      </c>
      <c r="AG46" s="64" t="s">
        <v>4616</v>
      </c>
      <c r="AH46" s="64" t="s">
        <v>4617</v>
      </c>
      <c r="AI46" s="64" t="s">
        <v>66</v>
      </c>
      <c r="AJ46" s="85" t="s">
        <v>4618</v>
      </c>
      <c r="AK46" s="42">
        <v>45823</v>
      </c>
      <c r="AL46" s="87" t="s">
        <v>4463</v>
      </c>
    </row>
    <row r="47" spans="1:38" ht="18.75">
      <c r="A47" s="66" t="s">
        <v>2199</v>
      </c>
      <c r="B47" s="66" t="s">
        <v>1835</v>
      </c>
      <c r="C47" s="71">
        <v>15</v>
      </c>
      <c r="D47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47" s="71" t="s">
        <v>95</v>
      </c>
      <c r="F47" s="71" t="str">
        <f>IF(Table1[[#This Row],[LAST]]="","Unfilled","Filled")</f>
        <v>Filled</v>
      </c>
      <c r="G47" s="66" t="s">
        <v>4619</v>
      </c>
      <c r="H47" s="66" t="s">
        <v>4620</v>
      </c>
      <c r="I47" s="66" t="s">
        <v>4621</v>
      </c>
      <c r="J47" s="63"/>
      <c r="K47" s="64">
        <v>30585</v>
      </c>
      <c r="L47" s="64">
        <v>45160</v>
      </c>
      <c r="M47" s="64">
        <v>45160</v>
      </c>
      <c r="N47" s="64">
        <v>45160</v>
      </c>
      <c r="O47" s="64" t="s">
        <v>51</v>
      </c>
      <c r="P47" s="64" t="s">
        <v>77</v>
      </c>
      <c r="Q47" s="66">
        <f t="shared" ref="Q47" ca="1" si="6">DATEDIF(K47,TODAY(),"Y")</f>
        <v>42</v>
      </c>
      <c r="R47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47" s="64" t="s">
        <v>391</v>
      </c>
      <c r="T47" s="64" t="s">
        <v>4622</v>
      </c>
      <c r="U47" s="65" t="s">
        <v>1492</v>
      </c>
      <c r="V47" s="64" t="s">
        <v>190</v>
      </c>
      <c r="W47" s="64" t="s">
        <v>103</v>
      </c>
      <c r="X47" s="65">
        <v>4102</v>
      </c>
      <c r="Y47" s="64" t="s">
        <v>619</v>
      </c>
      <c r="Z47" s="64" t="s">
        <v>620</v>
      </c>
      <c r="AA47" s="64" t="s">
        <v>4182</v>
      </c>
      <c r="AB47" s="64" t="s">
        <v>4623</v>
      </c>
      <c r="AC47" s="64">
        <v>45926</v>
      </c>
      <c r="AD47" s="65" t="s">
        <v>4624</v>
      </c>
      <c r="AE47" s="64" t="s">
        <v>4625</v>
      </c>
      <c r="AF47" s="64" t="s">
        <v>4626</v>
      </c>
      <c r="AG47" s="64" t="s">
        <v>4627</v>
      </c>
      <c r="AH47" s="64" t="s">
        <v>4628</v>
      </c>
      <c r="AI47" s="64" t="s">
        <v>4629</v>
      </c>
      <c r="AJ47" s="64" t="s">
        <v>4630</v>
      </c>
      <c r="AK47" s="42">
        <v>45920</v>
      </c>
      <c r="AL47" s="87" t="s">
        <v>4463</v>
      </c>
    </row>
    <row r="48" spans="1:38" ht="18.75">
      <c r="A48" s="66" t="s">
        <v>1820</v>
      </c>
      <c r="B48" s="66" t="s">
        <v>1780</v>
      </c>
      <c r="C48" s="71">
        <v>15</v>
      </c>
      <c r="D48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48" s="71" t="s">
        <v>95</v>
      </c>
      <c r="F48" s="71" t="str">
        <f>IF(Table1[[#This Row],[LAST]]="","Unfilled","Filled")</f>
        <v>Filled</v>
      </c>
      <c r="G48" s="66" t="s">
        <v>4631</v>
      </c>
      <c r="H48" s="66" t="s">
        <v>4632</v>
      </c>
      <c r="I48" s="66" t="s">
        <v>4633</v>
      </c>
      <c r="J48" s="63"/>
      <c r="K48" s="64">
        <v>33894</v>
      </c>
      <c r="L48" s="64">
        <v>44823</v>
      </c>
      <c r="M48" s="64">
        <v>44823</v>
      </c>
      <c r="N48" s="64">
        <v>45266</v>
      </c>
      <c r="O48" s="64" t="s">
        <v>51</v>
      </c>
      <c r="P48" s="64" t="s">
        <v>52</v>
      </c>
      <c r="Q48" s="66">
        <f t="shared" ref="Q48" ca="1" si="7">DATEDIF(K48,TODAY(),"Y")</f>
        <v>33</v>
      </c>
      <c r="R48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48" s="64" t="s">
        <v>391</v>
      </c>
      <c r="T48" s="64" t="s">
        <v>4634</v>
      </c>
      <c r="U48" s="65" t="s">
        <v>4635</v>
      </c>
      <c r="V48" s="64" t="s">
        <v>190</v>
      </c>
      <c r="W48" s="64" t="s">
        <v>103</v>
      </c>
      <c r="X48" s="65">
        <v>4102</v>
      </c>
      <c r="Y48" s="64" t="s">
        <v>619</v>
      </c>
      <c r="Z48" s="64" t="s">
        <v>1040</v>
      </c>
      <c r="AA48" s="64" t="s">
        <v>4182</v>
      </c>
      <c r="AB48" s="64" t="s">
        <v>4636</v>
      </c>
      <c r="AC48" s="64">
        <v>45947</v>
      </c>
      <c r="AD48" s="65" t="s">
        <v>4637</v>
      </c>
      <c r="AE48" s="64" t="s">
        <v>4638</v>
      </c>
      <c r="AF48" s="64" t="s">
        <v>4639</v>
      </c>
      <c r="AG48" s="64" t="s">
        <v>4640</v>
      </c>
      <c r="AH48" s="64" t="s">
        <v>4641</v>
      </c>
      <c r="AI48" s="64" t="s">
        <v>66</v>
      </c>
      <c r="AJ48" s="64" t="s">
        <v>4642</v>
      </c>
      <c r="AK48" s="42">
        <v>45975</v>
      </c>
      <c r="AL48" s="87" t="s">
        <v>4463</v>
      </c>
    </row>
    <row r="49" spans="1:38" ht="18.75">
      <c r="A49" s="66" t="s">
        <v>211</v>
      </c>
      <c r="B49" s="66" t="s">
        <v>212</v>
      </c>
      <c r="C49" s="71">
        <v>24</v>
      </c>
      <c r="D49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/2</f>
        <v>35006.5</v>
      </c>
      <c r="E49" s="71" t="s">
        <v>95</v>
      </c>
      <c r="F49" s="71" t="str">
        <f>IF(Table1[[#This Row],[LAST]]="","Unfilled","Filled")</f>
        <v>Filled</v>
      </c>
      <c r="G49" s="63" t="s">
        <v>4643</v>
      </c>
      <c r="H49" s="63" t="s">
        <v>4644</v>
      </c>
      <c r="I49" s="63" t="s">
        <v>4645</v>
      </c>
      <c r="J49" s="63"/>
      <c r="K49" s="64">
        <v>32456</v>
      </c>
      <c r="L49" s="64">
        <v>45019</v>
      </c>
      <c r="M49" s="64">
        <v>45019</v>
      </c>
      <c r="N49" s="64">
        <v>45019</v>
      </c>
      <c r="O49" s="64" t="s">
        <v>51</v>
      </c>
      <c r="P49" s="64" t="s">
        <v>77</v>
      </c>
      <c r="Q49" s="66">
        <f t="shared" ref="Q49:Q50" ca="1" si="8">DATEDIF(K49,TODAY(),"Y")</f>
        <v>37</v>
      </c>
      <c r="R49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49" s="64" t="s">
        <v>78</v>
      </c>
      <c r="T49" s="64" t="s">
        <v>4646</v>
      </c>
      <c r="U49" s="65" t="s">
        <v>4647</v>
      </c>
      <c r="V49" s="64" t="s">
        <v>102</v>
      </c>
      <c r="W49" s="64" t="s">
        <v>82</v>
      </c>
      <c r="X49" s="65">
        <v>4103</v>
      </c>
      <c r="Y49" s="64" t="s">
        <v>58</v>
      </c>
      <c r="Z49" s="64" t="s">
        <v>59</v>
      </c>
      <c r="AA49" s="64" t="s">
        <v>4182</v>
      </c>
      <c r="AB49" s="64" t="s">
        <v>4648</v>
      </c>
      <c r="AC49" s="64">
        <v>46276</v>
      </c>
      <c r="AD49" s="66">
        <v>2004285297</v>
      </c>
      <c r="AE49" s="64" t="s">
        <v>4649</v>
      </c>
      <c r="AF49" s="64" t="s">
        <v>4650</v>
      </c>
      <c r="AG49" s="64" t="s">
        <v>4651</v>
      </c>
      <c r="AH49" s="64" t="s">
        <v>4652</v>
      </c>
      <c r="AI49" s="64" t="s">
        <v>4653</v>
      </c>
      <c r="AJ49" s="64" t="s">
        <v>4654</v>
      </c>
      <c r="AK49" s="42">
        <v>45998</v>
      </c>
      <c r="AL49" s="87" t="s">
        <v>4463</v>
      </c>
    </row>
    <row r="50" spans="1:38" ht="18.75">
      <c r="A50" s="66" t="s">
        <v>1947</v>
      </c>
      <c r="B50" s="66" t="s">
        <v>1835</v>
      </c>
      <c r="C50" s="71">
        <v>15</v>
      </c>
      <c r="D50" s="72">
        <v>40208</v>
      </c>
      <c r="E50" s="71" t="s">
        <v>95</v>
      </c>
      <c r="F50" s="71" t="str">
        <f>IF(Table1[[#This Row],[LAST]]="","Unfilled","Filled")</f>
        <v>Filled</v>
      </c>
      <c r="G50" s="63" t="s">
        <v>4655</v>
      </c>
      <c r="H50" s="63" t="s">
        <v>1607</v>
      </c>
      <c r="I50" s="63" t="s">
        <v>4656</v>
      </c>
      <c r="J50" s="63"/>
      <c r="K50" s="64">
        <v>30586</v>
      </c>
      <c r="L50" s="64">
        <v>45446</v>
      </c>
      <c r="M50" s="64">
        <v>45446</v>
      </c>
      <c r="N50" s="64">
        <v>45446</v>
      </c>
      <c r="O50" s="64" t="s">
        <v>76</v>
      </c>
      <c r="P50" s="64" t="s">
        <v>77</v>
      </c>
      <c r="Q50" s="66">
        <f t="shared" ca="1" si="8"/>
        <v>42</v>
      </c>
      <c r="R50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40-49</v>
      </c>
      <c r="S50" s="64" t="s">
        <v>56</v>
      </c>
      <c r="T50" s="64" t="s">
        <v>4657</v>
      </c>
      <c r="U50" s="65" t="s">
        <v>3707</v>
      </c>
      <c r="V50" s="65" t="s">
        <v>138</v>
      </c>
      <c r="W50" s="64" t="s">
        <v>103</v>
      </c>
      <c r="X50" s="65" t="s">
        <v>1752</v>
      </c>
      <c r="Y50" s="64" t="s">
        <v>619</v>
      </c>
      <c r="Z50" s="64" t="s">
        <v>620</v>
      </c>
      <c r="AA50" s="64" t="s">
        <v>4182</v>
      </c>
      <c r="AB50" s="156" t="s">
        <v>4658</v>
      </c>
      <c r="AC50" s="64">
        <v>46657</v>
      </c>
      <c r="AD50" s="65" t="s">
        <v>4659</v>
      </c>
      <c r="AE50" s="64" t="s">
        <v>4660</v>
      </c>
      <c r="AF50" s="64" t="s">
        <v>4661</v>
      </c>
      <c r="AG50" s="64" t="s">
        <v>4662</v>
      </c>
      <c r="AH50" s="64" t="s">
        <v>4663</v>
      </c>
      <c r="AI50" s="64" t="s">
        <v>66</v>
      </c>
      <c r="AJ50" s="85" t="s">
        <v>4664</v>
      </c>
      <c r="AK50" s="42">
        <v>46022</v>
      </c>
      <c r="AL50" s="87" t="s">
        <v>4463</v>
      </c>
    </row>
    <row r="51" spans="1:38" ht="18.75">
      <c r="A51" s="66" t="s">
        <v>3909</v>
      </c>
      <c r="B51" s="66" t="s">
        <v>3807</v>
      </c>
      <c r="C51" s="71">
        <v>4</v>
      </c>
      <c r="D51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51" s="71" t="s">
        <v>2956</v>
      </c>
      <c r="F51" s="71" t="str">
        <f>IF(Table1[[#This Row],[LAST]]="","Unfilled","Filled")</f>
        <v>Filled</v>
      </c>
      <c r="G51" s="88" t="s">
        <v>4665</v>
      </c>
      <c r="H51" s="89" t="s">
        <v>4666</v>
      </c>
      <c r="I51" s="89" t="s">
        <v>4667</v>
      </c>
      <c r="J51" s="63"/>
      <c r="K51" s="64">
        <v>32706</v>
      </c>
      <c r="L51" s="64">
        <v>45383</v>
      </c>
      <c r="M51" s="64">
        <v>45383</v>
      </c>
      <c r="N51" s="64">
        <v>45383</v>
      </c>
      <c r="O51" s="64" t="s">
        <v>51</v>
      </c>
      <c r="P51" s="64" t="s">
        <v>52</v>
      </c>
      <c r="Q51" s="66">
        <f t="shared" ref="Q51" ca="1" si="9">DATEDIF(K51,TODAY(),"Y")</f>
        <v>37</v>
      </c>
      <c r="R5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1" s="64" t="s">
        <v>56</v>
      </c>
      <c r="T51" s="64" t="s">
        <v>4668</v>
      </c>
      <c r="U51" s="65" t="s">
        <v>4669</v>
      </c>
      <c r="V51" s="64" t="s">
        <v>190</v>
      </c>
      <c r="W51" s="64" t="s">
        <v>103</v>
      </c>
      <c r="X51" s="65" t="s">
        <v>656</v>
      </c>
      <c r="Y51" s="64" t="s">
        <v>619</v>
      </c>
      <c r="Z51" s="64" t="s">
        <v>620</v>
      </c>
      <c r="AA51" s="64" t="s">
        <v>66</v>
      </c>
      <c r="AB51" s="64" t="s">
        <v>66</v>
      </c>
      <c r="AC51" s="64" t="s">
        <v>66</v>
      </c>
      <c r="AD51" s="65">
        <v>2006464659</v>
      </c>
      <c r="AE51" s="64" t="s">
        <v>4670</v>
      </c>
      <c r="AF51" s="64" t="s">
        <v>4671</v>
      </c>
      <c r="AG51" s="64" t="s">
        <v>4672</v>
      </c>
      <c r="AH51" s="64" t="s">
        <v>4673</v>
      </c>
      <c r="AI51" s="64" t="s">
        <v>66</v>
      </c>
      <c r="AJ51" s="85" t="s">
        <v>4674</v>
      </c>
      <c r="AK51" s="42">
        <v>45979</v>
      </c>
      <c r="AL51" s="87" t="s">
        <v>4675</v>
      </c>
    </row>
    <row r="52" spans="1:38" ht="18.75">
      <c r="A52" s="66" t="s">
        <v>371</v>
      </c>
      <c r="B52" s="66" t="s">
        <v>359</v>
      </c>
      <c r="C52" s="71">
        <v>23</v>
      </c>
      <c r="D52" s="72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52" s="71" t="s">
        <v>95</v>
      </c>
      <c r="F52" s="71" t="str">
        <f>IF(Table1[[#This Row],[LAST]]="","Unfilled","Filled")</f>
        <v>Filled</v>
      </c>
      <c r="G52" s="88" t="s">
        <v>4676</v>
      </c>
      <c r="H52" s="89" t="s">
        <v>4677</v>
      </c>
      <c r="I52" s="88" t="s">
        <v>941</v>
      </c>
      <c r="J52" s="63"/>
      <c r="K52" s="64">
        <v>33294</v>
      </c>
      <c r="L52" s="64">
        <v>44573</v>
      </c>
      <c r="M52" s="64">
        <v>44573</v>
      </c>
      <c r="N52" s="64">
        <v>44573</v>
      </c>
      <c r="O52" s="64" t="s">
        <v>76</v>
      </c>
      <c r="P52" s="64" t="s">
        <v>77</v>
      </c>
      <c r="Q52" s="66">
        <f t="shared" ref="Q52" ca="1" si="10">DATEDIF(K52,TODAY(),"Y")</f>
        <v>35</v>
      </c>
      <c r="R52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2" s="64" t="s">
        <v>154</v>
      </c>
      <c r="T52" s="64" t="s">
        <v>4678</v>
      </c>
      <c r="U52" s="65" t="s">
        <v>4679</v>
      </c>
      <c r="V52" s="64" t="s">
        <v>190</v>
      </c>
      <c r="W52" s="64" t="s">
        <v>103</v>
      </c>
      <c r="X52" s="65">
        <v>4102</v>
      </c>
      <c r="Y52" s="64" t="s">
        <v>58</v>
      </c>
      <c r="Z52" s="64" t="s">
        <v>59</v>
      </c>
      <c r="AA52" s="64" t="s">
        <v>4182</v>
      </c>
      <c r="AB52" s="64" t="s">
        <v>4680</v>
      </c>
      <c r="AC52" s="64">
        <v>46443</v>
      </c>
      <c r="AD52" s="66">
        <v>2004973769</v>
      </c>
      <c r="AE52" s="64" t="s">
        <v>4681</v>
      </c>
      <c r="AF52" s="64" t="s">
        <v>4682</v>
      </c>
      <c r="AG52" s="64" t="s">
        <v>4683</v>
      </c>
      <c r="AH52" s="64" t="s">
        <v>4684</v>
      </c>
      <c r="AI52" s="64" t="s">
        <v>4685</v>
      </c>
      <c r="AJ52" s="64" t="s">
        <v>4686</v>
      </c>
      <c r="AK52" s="42">
        <v>46037</v>
      </c>
      <c r="AL52" s="87" t="s">
        <v>4463</v>
      </c>
    </row>
    <row r="53" spans="1:38" ht="18.75">
      <c r="A53" s="76" t="s">
        <v>608</v>
      </c>
      <c r="B53" s="76" t="s">
        <v>609</v>
      </c>
      <c r="C53" s="78">
        <v>22</v>
      </c>
      <c r="D53" s="79">
        <f>LOOKUP(Table1[[#This Row],[SALARY GRADE]],{1,2,3,4,5,6,7,8,9,10,11,12,13,14,15,16,17,18,19,20,21,22,23,24,25,26,27,28,29,30,31,32,33},{14061,14925,15852,16833,17866,18957,20110,21448,23226,25586,30024,32245,34421,37024,40208,43560,47247,51304,56390,62967,70013,78162,87315,98185,111727,126252,142663,160469,180492,203200,293191,347888,438844})</f>
        <v>70013</v>
      </c>
      <c r="E53" s="78" t="s">
        <v>95</v>
      </c>
      <c r="F53" s="78" t="str">
        <f>IF(Table1[[#This Row],[LAST]]="","Unfilled","Filled")</f>
        <v>Filled</v>
      </c>
      <c r="G53" s="76" t="s">
        <v>4687</v>
      </c>
      <c r="H53" s="76" t="s">
        <v>1369</v>
      </c>
      <c r="I53" s="76" t="s">
        <v>4688</v>
      </c>
      <c r="J53" s="80"/>
      <c r="K53" s="81">
        <v>22918</v>
      </c>
      <c r="L53" s="81">
        <v>31138</v>
      </c>
      <c r="M53" s="81">
        <v>44348</v>
      </c>
      <c r="N53" s="81">
        <v>44412</v>
      </c>
      <c r="O53" s="81" t="s">
        <v>76</v>
      </c>
      <c r="P53" s="81" t="s">
        <v>77</v>
      </c>
      <c r="Q53" s="76">
        <f t="shared" ref="Q53" ca="1" si="11">DATEDIF(K53,TODAY(),"Y")</f>
        <v>63</v>
      </c>
      <c r="R53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3" s="81" t="s">
        <v>697</v>
      </c>
      <c r="T53" s="82">
        <v>231</v>
      </c>
      <c r="U53" s="82" t="s">
        <v>4689</v>
      </c>
      <c r="V53" s="81" t="s">
        <v>102</v>
      </c>
      <c r="W53" s="81" t="s">
        <v>103</v>
      </c>
      <c r="X53" s="82">
        <v>4103</v>
      </c>
      <c r="Y53" s="81" t="s">
        <v>639</v>
      </c>
      <c r="Z53" s="81" t="s">
        <v>1025</v>
      </c>
      <c r="AA53" s="81" t="s">
        <v>4182</v>
      </c>
      <c r="AB53" s="81" t="s">
        <v>4690</v>
      </c>
      <c r="AC53" s="81">
        <v>46294</v>
      </c>
      <c r="AD53" s="82" t="s">
        <v>4691</v>
      </c>
      <c r="AE53" s="81" t="s">
        <v>4692</v>
      </c>
      <c r="AF53" s="81" t="s">
        <v>4693</v>
      </c>
      <c r="AG53" s="81" t="s">
        <v>4694</v>
      </c>
      <c r="AH53" s="81" t="s">
        <v>4695</v>
      </c>
      <c r="AI53" s="81" t="s">
        <v>4696</v>
      </c>
      <c r="AJ53" s="83" t="s">
        <v>4697</v>
      </c>
      <c r="AK53" s="42">
        <v>46037</v>
      </c>
      <c r="AL53" s="87" t="s">
        <v>4499</v>
      </c>
    </row>
    <row r="54" spans="1:38" ht="18.75">
      <c r="A54" s="66" t="s">
        <v>1231</v>
      </c>
      <c r="B54" s="66" t="s">
        <v>1232</v>
      </c>
      <c r="C54" s="71">
        <v>16</v>
      </c>
      <c r="D54" s="72">
        <v>45694</v>
      </c>
      <c r="E54" s="71" t="s">
        <v>95</v>
      </c>
      <c r="F54" s="71" t="str">
        <f>IF(Table1[[#This Row],[LAST]]="","Unfilled","Filled")</f>
        <v>Filled</v>
      </c>
      <c r="G54" s="89" t="s">
        <v>4698</v>
      </c>
      <c r="H54" s="89" t="s">
        <v>872</v>
      </c>
      <c r="I54" s="89" t="s">
        <v>4699</v>
      </c>
      <c r="J54" s="63"/>
      <c r="K54" s="64">
        <v>30748</v>
      </c>
      <c r="L54" s="64">
        <v>42747</v>
      </c>
      <c r="M54" s="64">
        <v>45142</v>
      </c>
      <c r="N54" s="64">
        <v>45142</v>
      </c>
      <c r="O54" s="64" t="s">
        <v>51</v>
      </c>
      <c r="P54" s="64" t="s">
        <v>52</v>
      </c>
      <c r="Q54" s="66">
        <f t="shared" ref="Q54" ca="1" si="12">DATEDIF(K54,TODAY(),"Y")</f>
        <v>42</v>
      </c>
      <c r="R54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4" s="64" t="s">
        <v>4700</v>
      </c>
      <c r="T54" s="64" t="s">
        <v>4701</v>
      </c>
      <c r="U54" s="65" t="s">
        <v>4702</v>
      </c>
      <c r="V54" s="64" t="s">
        <v>102</v>
      </c>
      <c r="W54" s="64" t="s">
        <v>103</v>
      </c>
      <c r="X54" s="65">
        <v>4103</v>
      </c>
      <c r="Y54" s="64" t="s">
        <v>619</v>
      </c>
      <c r="Z54" s="64" t="s">
        <v>895</v>
      </c>
      <c r="AA54" s="64" t="s">
        <v>4182</v>
      </c>
      <c r="AB54" s="64" t="s">
        <v>4703</v>
      </c>
      <c r="AC54" s="64">
        <v>46453</v>
      </c>
      <c r="AD54" s="65">
        <v>2005131360</v>
      </c>
      <c r="AE54" s="64" t="s">
        <v>4704</v>
      </c>
      <c r="AF54" s="64" t="s">
        <v>4705</v>
      </c>
      <c r="AG54" s="64" t="s">
        <v>4706</v>
      </c>
      <c r="AH54" s="64" t="s">
        <v>4707</v>
      </c>
      <c r="AI54" s="64" t="s">
        <v>4708</v>
      </c>
      <c r="AJ54" s="64" t="s">
        <v>4709</v>
      </c>
      <c r="AK54" s="42">
        <v>46044</v>
      </c>
      <c r="AL54" s="87" t="s">
        <v>4588</v>
      </c>
    </row>
    <row r="55" spans="1:38" ht="18.75">
      <c r="A55" s="76" t="s">
        <v>560</v>
      </c>
      <c r="B55" s="76" t="s">
        <v>456</v>
      </c>
      <c r="C55" s="78">
        <v>23</v>
      </c>
      <c r="D55" s="79">
        <v>91306</v>
      </c>
      <c r="E55" s="78" t="s">
        <v>95</v>
      </c>
      <c r="F55" s="78" t="s">
        <v>1421</v>
      </c>
      <c r="G55" s="89" t="s">
        <v>4710</v>
      </c>
      <c r="H55" s="89" t="s">
        <v>4711</v>
      </c>
      <c r="I55" s="89" t="s">
        <v>1139</v>
      </c>
      <c r="J55" s="80"/>
      <c r="K55" s="81">
        <v>32227</v>
      </c>
      <c r="L55" s="81">
        <v>44363</v>
      </c>
      <c r="M55" s="81">
        <v>44363</v>
      </c>
      <c r="N55" s="81">
        <v>44363</v>
      </c>
      <c r="O55" s="81" t="s">
        <v>51</v>
      </c>
      <c r="P55" s="81" t="s">
        <v>52</v>
      </c>
      <c r="Q55" s="76">
        <v>37</v>
      </c>
      <c r="R55" s="76" t="s">
        <v>4154</v>
      </c>
      <c r="S55" s="81" t="s">
        <v>154</v>
      </c>
      <c r="T55" s="81" t="s">
        <v>4712</v>
      </c>
      <c r="U55" s="82" t="s">
        <v>2072</v>
      </c>
      <c r="V55" s="81" t="s">
        <v>237</v>
      </c>
      <c r="W55" s="81" t="s">
        <v>103</v>
      </c>
      <c r="X55" s="82">
        <v>4107</v>
      </c>
      <c r="Y55" s="81" t="s">
        <v>58</v>
      </c>
      <c r="Z55" s="81" t="s">
        <v>59</v>
      </c>
      <c r="AA55" s="81" t="s">
        <v>4182</v>
      </c>
      <c r="AB55" s="81" t="s">
        <v>4713</v>
      </c>
      <c r="AC55" s="81">
        <v>45741</v>
      </c>
      <c r="AD55" s="82" t="s">
        <v>4714</v>
      </c>
      <c r="AE55" s="81" t="s">
        <v>4715</v>
      </c>
      <c r="AF55" s="81" t="s">
        <v>4716</v>
      </c>
      <c r="AG55" s="81" t="s">
        <v>4717</v>
      </c>
      <c r="AH55" s="81" t="s">
        <v>4718</v>
      </c>
      <c r="AI55" s="81" t="s">
        <v>4719</v>
      </c>
      <c r="AJ55" s="81" t="s">
        <v>4720</v>
      </c>
      <c r="AK55" s="90">
        <v>46084</v>
      </c>
      <c r="AL55" s="87" t="s">
        <v>4463</v>
      </c>
    </row>
    <row r="56" spans="1:38" ht="18.75">
      <c r="A56" s="66" t="s">
        <v>602</v>
      </c>
      <c r="B56" s="66" t="s">
        <v>603</v>
      </c>
      <c r="C56" s="71">
        <v>23</v>
      </c>
      <c r="D56" s="72">
        <v>91306</v>
      </c>
      <c r="E56" s="71" t="s">
        <v>95</v>
      </c>
      <c r="F56" s="71" t="s">
        <v>1421</v>
      </c>
      <c r="G56" s="88" t="s">
        <v>4721</v>
      </c>
      <c r="H56" s="88" t="s">
        <v>4722</v>
      </c>
      <c r="I56" s="88" t="s">
        <v>4723</v>
      </c>
      <c r="J56" s="63"/>
      <c r="K56" s="64">
        <v>33421</v>
      </c>
      <c r="L56" s="64">
        <v>45691</v>
      </c>
      <c r="M56" s="64">
        <v>45691</v>
      </c>
      <c r="N56" s="64">
        <v>45691</v>
      </c>
      <c r="O56" s="64" t="s">
        <v>76</v>
      </c>
      <c r="P56" s="64" t="s">
        <v>52</v>
      </c>
      <c r="Q56" s="66">
        <v>34</v>
      </c>
      <c r="R56" s="66" t="s">
        <v>4154</v>
      </c>
      <c r="S56" s="64" t="s">
        <v>910</v>
      </c>
      <c r="T56" s="64" t="s">
        <v>4724</v>
      </c>
      <c r="U56" s="65" t="s">
        <v>4725</v>
      </c>
      <c r="V56" s="64" t="s">
        <v>4726</v>
      </c>
      <c r="W56" s="64" t="s">
        <v>4727</v>
      </c>
      <c r="X56" s="65" t="s">
        <v>4728</v>
      </c>
      <c r="Y56" s="64" t="s">
        <v>58</v>
      </c>
      <c r="Z56" s="64" t="s">
        <v>59</v>
      </c>
      <c r="AA56" s="64" t="s">
        <v>4182</v>
      </c>
      <c r="AB56" s="156" t="s">
        <v>4729</v>
      </c>
      <c r="AC56" s="64">
        <v>45840</v>
      </c>
      <c r="AD56" s="65" t="s">
        <v>4730</v>
      </c>
      <c r="AE56" s="64" t="s">
        <v>4731</v>
      </c>
      <c r="AF56" s="64" t="s">
        <v>4732</v>
      </c>
      <c r="AG56" s="64" t="s">
        <v>4733</v>
      </c>
      <c r="AH56" s="64" t="s">
        <v>4734</v>
      </c>
      <c r="AI56" s="64" t="s">
        <v>66</v>
      </c>
      <c r="AJ56" s="85" t="s">
        <v>4735</v>
      </c>
      <c r="AK56" s="42">
        <v>46086</v>
      </c>
      <c r="AL56" s="87" t="s">
        <v>4463</v>
      </c>
    </row>
    <row r="57" spans="1:38" ht="18.75">
      <c r="A57" s="76" t="s">
        <v>1098</v>
      </c>
      <c r="B57" s="76" t="s">
        <v>1099</v>
      </c>
      <c r="C57" s="78">
        <v>18</v>
      </c>
      <c r="D57" s="79">
        <v>53818</v>
      </c>
      <c r="E57" s="78" t="s">
        <v>95</v>
      </c>
      <c r="F57" s="78" t="s">
        <v>1421</v>
      </c>
      <c r="G57" s="88" t="s">
        <v>4736</v>
      </c>
      <c r="H57" s="89" t="s">
        <v>4737</v>
      </c>
      <c r="I57" s="89" t="s">
        <v>4738</v>
      </c>
      <c r="J57" s="80"/>
      <c r="K57" s="81">
        <v>35011</v>
      </c>
      <c r="L57" s="81">
        <v>44354</v>
      </c>
      <c r="M57" s="81">
        <v>44354</v>
      </c>
      <c r="N57" s="81">
        <v>45334</v>
      </c>
      <c r="O57" s="81" t="s">
        <v>76</v>
      </c>
      <c r="P57" s="81" t="s">
        <v>52</v>
      </c>
      <c r="Q57" s="76">
        <v>30</v>
      </c>
      <c r="R57" s="76" t="s">
        <v>4154</v>
      </c>
      <c r="S57" s="81" t="s">
        <v>1465</v>
      </c>
      <c r="T57" s="81" t="s">
        <v>4739</v>
      </c>
      <c r="U57" s="82" t="s">
        <v>4298</v>
      </c>
      <c r="V57" s="81" t="s">
        <v>190</v>
      </c>
      <c r="W57" s="81" t="s">
        <v>103</v>
      </c>
      <c r="X57" s="82">
        <v>4102</v>
      </c>
      <c r="Y57" s="81" t="s">
        <v>619</v>
      </c>
      <c r="Z57" s="81" t="s">
        <v>1107</v>
      </c>
      <c r="AA57" s="81" t="s">
        <v>4182</v>
      </c>
      <c r="AB57" s="81" t="s">
        <v>4740</v>
      </c>
      <c r="AC57" s="81">
        <v>46334</v>
      </c>
      <c r="AD57" s="82" t="s">
        <v>4741</v>
      </c>
      <c r="AE57" s="81" t="s">
        <v>4742</v>
      </c>
      <c r="AF57" s="81" t="s">
        <v>4743</v>
      </c>
      <c r="AG57" s="81" t="s">
        <v>4744</v>
      </c>
      <c r="AH57" s="81" t="s">
        <v>4745</v>
      </c>
      <c r="AI57" s="81" t="s">
        <v>66</v>
      </c>
      <c r="AJ57" s="81" t="s">
        <v>4746</v>
      </c>
      <c r="AK57" s="90">
        <v>46098</v>
      </c>
      <c r="AL57" s="87" t="s">
        <v>4463</v>
      </c>
    </row>
    <row r="58" spans="1:38" ht="18.75">
      <c r="A58" s="66" t="s">
        <v>2505</v>
      </c>
      <c r="B58" s="66" t="s">
        <v>2503</v>
      </c>
      <c r="C58" s="71">
        <v>15</v>
      </c>
      <c r="D58" s="72">
        <v>42178</v>
      </c>
      <c r="E58" s="71" t="s">
        <v>95</v>
      </c>
      <c r="F58" s="71" t="s">
        <v>1421</v>
      </c>
      <c r="G58" s="88" t="s">
        <v>4747</v>
      </c>
      <c r="H58" s="88" t="s">
        <v>4748</v>
      </c>
      <c r="I58" s="89" t="s">
        <v>403</v>
      </c>
      <c r="J58" s="63"/>
      <c r="K58" s="64">
        <v>35141</v>
      </c>
      <c r="L58" s="64">
        <v>44354</v>
      </c>
      <c r="M58" s="64">
        <v>44354</v>
      </c>
      <c r="N58" s="64">
        <v>45520</v>
      </c>
      <c r="O58" s="64" t="s">
        <v>76</v>
      </c>
      <c r="P58" s="64" t="s">
        <v>77</v>
      </c>
      <c r="Q58" s="66">
        <v>29</v>
      </c>
      <c r="R58" s="66" t="s">
        <v>4153</v>
      </c>
      <c r="S58" s="64" t="s">
        <v>1737</v>
      </c>
      <c r="T58" s="65">
        <v>263</v>
      </c>
      <c r="U58" s="65" t="s">
        <v>2491</v>
      </c>
      <c r="V58" s="64" t="s">
        <v>102</v>
      </c>
      <c r="W58" s="64" t="s">
        <v>103</v>
      </c>
      <c r="X58" s="65">
        <v>4103</v>
      </c>
      <c r="Y58" s="64" t="s">
        <v>619</v>
      </c>
      <c r="Z58" s="64" t="s">
        <v>1107</v>
      </c>
      <c r="AA58" s="64" t="s">
        <v>4182</v>
      </c>
      <c r="AB58" s="64" t="s">
        <v>4749</v>
      </c>
      <c r="AC58" s="64">
        <v>46098</v>
      </c>
      <c r="AD58" s="65" t="s">
        <v>4750</v>
      </c>
      <c r="AE58" s="64" t="s">
        <v>4751</v>
      </c>
      <c r="AF58" s="64" t="s">
        <v>4752</v>
      </c>
      <c r="AG58" s="64" t="s">
        <v>4753</v>
      </c>
      <c r="AH58" s="64" t="s">
        <v>4754</v>
      </c>
      <c r="AI58" s="64" t="s">
        <v>66</v>
      </c>
      <c r="AJ58" s="64" t="s">
        <v>4755</v>
      </c>
      <c r="AK58" s="90">
        <v>46106</v>
      </c>
      <c r="AL58" s="87" t="s">
        <v>4463</v>
      </c>
    </row>
    <row r="59" spans="1:38" ht="18.75">
      <c r="A59" s="76" t="s">
        <v>3083</v>
      </c>
      <c r="B59" s="76" t="s">
        <v>3055</v>
      </c>
      <c r="C59" s="78">
        <v>8</v>
      </c>
      <c r="D59" s="79">
        <v>22423</v>
      </c>
      <c r="E59" s="78" t="s">
        <v>2956</v>
      </c>
      <c r="F59" s="78" t="str">
        <f>IF(Table1[[#This Row],[LAST]]="","Unfilled","Filled")</f>
        <v>Filled</v>
      </c>
      <c r="G59" s="76" t="s">
        <v>4756</v>
      </c>
      <c r="H59" s="76" t="s">
        <v>4757</v>
      </c>
      <c r="I59" s="76" t="s">
        <v>4758</v>
      </c>
      <c r="J59" s="80"/>
      <c r="K59" s="81">
        <v>31848</v>
      </c>
      <c r="L59" s="81">
        <v>44319</v>
      </c>
      <c r="M59" s="81">
        <v>44319</v>
      </c>
      <c r="N59" s="81">
        <v>44319</v>
      </c>
      <c r="O59" s="81" t="s">
        <v>76</v>
      </c>
      <c r="P59" s="81" t="s">
        <v>52</v>
      </c>
      <c r="Q59" s="76">
        <f ca="1">DATEDIF(K59,TODAY(),"Y")</f>
        <v>39</v>
      </c>
      <c r="R59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59" s="81" t="s">
        <v>4759</v>
      </c>
      <c r="T59" s="81" t="s">
        <v>4760</v>
      </c>
      <c r="U59" s="82" t="s">
        <v>1785</v>
      </c>
      <c r="V59" s="81" t="s">
        <v>190</v>
      </c>
      <c r="W59" s="81" t="s">
        <v>103</v>
      </c>
      <c r="X59" s="82">
        <v>4102</v>
      </c>
      <c r="Y59" s="81" t="s">
        <v>619</v>
      </c>
      <c r="Z59" s="81" t="s">
        <v>895</v>
      </c>
      <c r="AA59" s="81" t="s">
        <v>2887</v>
      </c>
      <c r="AB59" s="81" t="s">
        <v>66</v>
      </c>
      <c r="AC59" s="81" t="s">
        <v>66</v>
      </c>
      <c r="AD59" s="82" t="s">
        <v>4761</v>
      </c>
      <c r="AE59" s="81" t="s">
        <v>4762</v>
      </c>
      <c r="AF59" s="81" t="s">
        <v>4763</v>
      </c>
      <c r="AG59" s="81" t="s">
        <v>4764</v>
      </c>
      <c r="AH59" s="81" t="s">
        <v>4765</v>
      </c>
      <c r="AI59" s="81" t="s">
        <v>66</v>
      </c>
      <c r="AJ59" s="81" t="s">
        <v>4766</v>
      </c>
      <c r="AK59" s="42">
        <v>46094</v>
      </c>
      <c r="AL59" s="87" t="s">
        <v>4767</v>
      </c>
    </row>
    <row r="60" spans="1:38" ht="18.75">
      <c r="A60" s="76" t="s">
        <v>1515</v>
      </c>
      <c r="B60" s="76" t="s">
        <v>1263</v>
      </c>
      <c r="C60" s="78">
        <v>16</v>
      </c>
      <c r="D60" s="79">
        <v>45694</v>
      </c>
      <c r="E60" s="78" t="s">
        <v>95</v>
      </c>
      <c r="F60" s="78" t="str">
        <f>IF(Table1[[#This Row],[LAST]]="","Unfilled","Filled")</f>
        <v>Filled</v>
      </c>
      <c r="G60" s="76" t="s">
        <v>4768</v>
      </c>
      <c r="H60" s="76" t="s">
        <v>4769</v>
      </c>
      <c r="I60" s="76" t="s">
        <v>4770</v>
      </c>
      <c r="J60" s="80"/>
      <c r="K60" s="81">
        <v>30512</v>
      </c>
      <c r="L60" s="81">
        <v>44503</v>
      </c>
      <c r="M60" s="81">
        <v>44503</v>
      </c>
      <c r="N60" s="81">
        <v>45079</v>
      </c>
      <c r="O60" s="81" t="s">
        <v>51</v>
      </c>
      <c r="P60" s="81" t="s">
        <v>77</v>
      </c>
      <c r="Q60" s="76">
        <f ca="1">DATEDIF(K60,TODAY(),"Y")</f>
        <v>43</v>
      </c>
      <c r="R60" s="7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50-59</v>
      </c>
      <c r="S60" s="81" t="s">
        <v>394</v>
      </c>
      <c r="T60" s="81" t="s">
        <v>4771</v>
      </c>
      <c r="U60" s="82" t="s">
        <v>699</v>
      </c>
      <c r="V60" s="81" t="s">
        <v>237</v>
      </c>
      <c r="W60" s="81" t="s">
        <v>103</v>
      </c>
      <c r="X60" s="82">
        <v>4107</v>
      </c>
      <c r="Y60" s="81" t="s">
        <v>619</v>
      </c>
      <c r="Z60" s="81" t="s">
        <v>620</v>
      </c>
      <c r="AA60" s="81" t="s">
        <v>60</v>
      </c>
      <c r="AB60" s="81" t="s">
        <v>4772</v>
      </c>
      <c r="AC60" s="81">
        <v>45853</v>
      </c>
      <c r="AD60" s="82" t="s">
        <v>4773</v>
      </c>
      <c r="AE60" s="81" t="s">
        <v>4774</v>
      </c>
      <c r="AF60" s="81" t="s">
        <v>4775</v>
      </c>
      <c r="AG60" s="81" t="s">
        <v>4776</v>
      </c>
      <c r="AH60" s="81" t="s">
        <v>4777</v>
      </c>
      <c r="AI60" s="81" t="s">
        <v>66</v>
      </c>
      <c r="AJ60" s="81" t="s">
        <v>4778</v>
      </c>
      <c r="AK60" s="42">
        <v>46081</v>
      </c>
      <c r="AL60" s="87" t="s">
        <v>4463</v>
      </c>
    </row>
    <row r="61" spans="1:38" ht="18.75">
      <c r="A61" s="66" t="s">
        <v>2199</v>
      </c>
      <c r="B61" s="66" t="s">
        <v>1835</v>
      </c>
      <c r="C61" s="71">
        <v>15</v>
      </c>
      <c r="D61" s="72">
        <f>LOOKUP(Table1[[#This Row],[SALARY GRADE]],{1,2,3,4,5,6,7,8,9,10,11,12,13,14,15,16,17,18,19,20,21,22,23,24,25,26,27,28,29,30,31,32,33},{14364,15522,16486,17506,18581,19716,20914,22423,24329,26917,31705,33947,36125,38764,42178,45694,49562,53818,59153,66052,73303,81796,91306,102603,116643,131807,148940,167129,187531,210718,300961,356237,449157})</f>
        <v>53818</v>
      </c>
      <c r="E61" s="71" t="s">
        <v>95</v>
      </c>
      <c r="F61" s="71" t="str">
        <f>IF(Table1[[#This Row],[LAST]]="","Unfilled","Filled")</f>
        <v>Filled</v>
      </c>
      <c r="G61" s="89" t="s">
        <v>4779</v>
      </c>
      <c r="H61" s="89" t="s">
        <v>4780</v>
      </c>
      <c r="I61" s="89" t="s">
        <v>4781</v>
      </c>
      <c r="J61" s="63"/>
      <c r="K61" s="64">
        <v>33353</v>
      </c>
      <c r="L61" s="64">
        <v>45980</v>
      </c>
      <c r="M61" s="64">
        <v>45980</v>
      </c>
      <c r="N61" s="64">
        <v>45980</v>
      </c>
      <c r="O61" s="64" t="s">
        <v>51</v>
      </c>
      <c r="P61" s="64" t="s">
        <v>52</v>
      </c>
      <c r="Q61" s="66">
        <f t="shared" ref="Q61" ca="1" si="13">DATEDIF(K61,TODAY(),"Y")</f>
        <v>35</v>
      </c>
      <c r="R61" s="66" t="str">
        <f ca="1">IF(ABS(Table1[[#This Row],[AGE]])&gt;59,"60 and above",IF(ABS(Table1[[#This Row],[AGE]])&gt;49,"50-59",IF(ABS(Table1[[#This Row],[AGE]])&gt;39,"40-49",IF(ABS(Table1[[#This Row],[AGE]])&gt;29,"30-39",IF(ABS(Table1[[#This Row],[AGE]])&gt;19,"20-29","")))))</f>
        <v>30-39</v>
      </c>
      <c r="S61" s="64" t="s">
        <v>4217</v>
      </c>
      <c r="T61" s="64" t="s">
        <v>4782</v>
      </c>
      <c r="U61" s="65" t="s">
        <v>2322</v>
      </c>
      <c r="V61" s="64" t="s">
        <v>190</v>
      </c>
      <c r="W61" s="64" t="s">
        <v>103</v>
      </c>
      <c r="X61" s="65" t="s">
        <v>656</v>
      </c>
      <c r="Y61" s="64" t="s">
        <v>619</v>
      </c>
      <c r="Z61" s="64" t="s">
        <v>620</v>
      </c>
      <c r="AA61" s="64" t="s">
        <v>60</v>
      </c>
      <c r="AB61" s="156" t="s">
        <v>4783</v>
      </c>
      <c r="AC61" s="64">
        <v>46868</v>
      </c>
      <c r="AD61" s="65" t="s">
        <v>4784</v>
      </c>
      <c r="AE61" s="64" t="s">
        <v>4785</v>
      </c>
      <c r="AF61" s="64" t="s">
        <v>4786</v>
      </c>
      <c r="AG61" s="64" t="s">
        <v>4787</v>
      </c>
      <c r="AH61" s="64" t="s">
        <v>4788</v>
      </c>
      <c r="AI61" s="64" t="s">
        <v>4789</v>
      </c>
      <c r="AJ61" s="85" t="s">
        <v>4790</v>
      </c>
      <c r="AK61" s="42">
        <v>46127</v>
      </c>
      <c r="AL61" s="87" t="s">
        <v>4463</v>
      </c>
    </row>
  </sheetData>
  <autoFilter ref="B1:AG23" xr:uid="{00000000-0009-0000-0000-000003000000}"/>
  <conditionalFormatting sqref="A18">
    <cfRule type="duplicateValues" dxfId="5" priority="5"/>
    <cfRule type="duplicateValues" dxfId="4" priority="6"/>
  </conditionalFormatting>
  <conditionalFormatting sqref="A19">
    <cfRule type="duplicateValues" dxfId="3" priority="3"/>
    <cfRule type="duplicateValues" dxfId="2" priority="4"/>
  </conditionalFormatting>
  <conditionalFormatting sqref="A20">
    <cfRule type="duplicateValues" dxfId="1" priority="1"/>
    <cfRule type="duplicateValues" dxfId="0" priority="2"/>
  </conditionalFormatting>
  <hyperlinks>
    <hyperlink ref="AF13" r:id="rId1" xr:uid="{00000000-0004-0000-0300-000000000000}"/>
    <hyperlink ref="AF17" r:id="rId2" xr:uid="{00000000-0004-0000-0300-000001000000}"/>
    <hyperlink ref="AF18" r:id="rId3" xr:uid="{00000000-0004-0000-0300-000002000000}"/>
    <hyperlink ref="AF19" r:id="rId4" xr:uid="{00000000-0004-0000-0300-000003000000}"/>
    <hyperlink ref="AJ33" r:id="rId5" xr:uid="{00000000-0004-0000-0300-000004000000}"/>
    <hyperlink ref="AJ37" r:id="rId6" xr:uid="{00000000-0004-0000-0300-000005000000}"/>
    <hyperlink ref="AJ38" r:id="rId7" xr:uid="{00000000-0004-0000-0300-000006000000}"/>
    <hyperlink ref="AJ43" r:id="rId8" xr:uid="{00000000-0004-0000-0300-000007000000}"/>
    <hyperlink ref="AJ46" r:id="rId9" xr:uid="{00000000-0004-0000-0300-000008000000}"/>
    <hyperlink ref="AJ50" r:id="rId10" xr:uid="{00000000-0004-0000-0300-000009000000}"/>
    <hyperlink ref="AJ51" r:id="rId11" xr:uid="{00000000-0004-0000-0300-00000A000000}"/>
    <hyperlink ref="AJ53" r:id="rId12" xr:uid="{00000000-0004-0000-0300-00000B000000}"/>
    <hyperlink ref="AJ56" r:id="rId13" xr:uid="{00000000-0004-0000-0300-00000C000000}"/>
    <hyperlink ref="AJ61" r:id="rId14" xr:uid="{00000000-0004-0000-03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DATABANK</vt:lpstr>
      <vt:lpstr>DASHBOARD</vt:lpstr>
      <vt:lpstr>FormulaSheet</vt:lpstr>
      <vt:lpstr>DISCONNECTED</vt:lpstr>
      <vt:lpstr>DASHBOARD!Print_Area</vt:lpstr>
      <vt:lpstr>DATABANK!Print_Area</vt:lpstr>
      <vt:lpstr>DASHBOARD!Print_Titles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HROffice</dc:creator>
  <cp:lastModifiedBy>admin</cp:lastModifiedBy>
  <cp:lastPrinted>2026-08-18T06:27:42Z</cp:lastPrinted>
  <dcterms:created xsi:type="dcterms:W3CDTF">2022-07-05T06:22:00Z</dcterms:created>
  <dcterms:modified xsi:type="dcterms:W3CDTF">2026-08-18T06:28:15Z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719605C4C1A348FCA19A60EF4F276A81_12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