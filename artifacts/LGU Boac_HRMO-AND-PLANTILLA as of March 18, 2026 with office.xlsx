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laragon\www\HRIS\artifacts\"/>
    </mc:Choice>
  </mc:AlternateContent>
  <xr:revisionPtr revIDLastSave="0" documentId="13_ncr:1_{5A9575DB-C420-4E88-ADAA-2A50B13A9594}" xr6:coauthVersionLast="47" xr6:coauthVersionMax="47" xr10:uidLastSave="{00000000-0000-0000-0000-000000000000}"/>
  <bookViews>
    <workbookView xWindow="-120" yWindow="-120" windowWidth="29040" windowHeight="15720" tabRatio="607" activeTab="1" xr2:uid="{00000000-000D-0000-FFFF-FFFF00000000}"/>
  </bookViews>
  <sheets>
    <sheet name="HRMO" sheetId="9" r:id="rId1"/>
    <sheet name="PLANTILLA" sheetId="2" r:id="rId2"/>
    <sheet name="Plantilla Guidelines" sheetId="3" r:id="rId3"/>
    <sheet name="Positions" sheetId="4" r:id="rId4"/>
    <sheet name="Eligibilities" sheetId="5" r:id="rId5"/>
  </sheets>
  <externalReferences>
    <externalReference r:id="rId6"/>
  </externalReferences>
  <definedNames>
    <definedName name="_xlnm._FilterDatabase" localSheetId="4" hidden="1">Eligibilities!$A$1:$A$69</definedName>
    <definedName name="_xlnm._FilterDatabase" localSheetId="1" hidden="1">PLANTILLA!$A$1:$AD$173</definedName>
    <definedName name="_xlnm.Print_Area" localSheetId="0">HRMO!$A$1:$H$12</definedName>
    <definedName name="_xlnm.Print_Area" localSheetId="1">PLANTILLA!$A$1:$T$173</definedName>
    <definedName name="_xlnm.Print_Titles" localSheetId="1">PLANTILLA!$1:$1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9" i="2" l="1"/>
  <c r="F159" i="2" s="1"/>
  <c r="P5" i="2"/>
  <c r="P159" i="2"/>
  <c r="P156" i="2"/>
  <c r="P50" i="2" l="1"/>
  <c r="P173" i="2" l="1"/>
  <c r="F173" i="2"/>
  <c r="P172" i="2"/>
  <c r="F172" i="2"/>
  <c r="P171" i="2"/>
  <c r="F171" i="2"/>
  <c r="P170" i="2"/>
  <c r="F170" i="2"/>
  <c r="P169" i="2"/>
  <c r="F169" i="2"/>
  <c r="P168" i="2"/>
  <c r="F168" i="2"/>
  <c r="P167" i="2"/>
  <c r="F167" i="2"/>
  <c r="F166" i="2"/>
  <c r="F165" i="2"/>
  <c r="P164" i="2"/>
  <c r="F164" i="2"/>
  <c r="P163" i="2"/>
  <c r="F163" i="2"/>
  <c r="P162" i="2"/>
  <c r="F162" i="2"/>
  <c r="P161" i="2"/>
  <c r="F161" i="2"/>
  <c r="E160" i="2"/>
  <c r="P158" i="2"/>
  <c r="F158" i="2"/>
  <c r="P157" i="2"/>
  <c r="F157" i="2"/>
  <c r="E156" i="2"/>
  <c r="F156" i="2" s="1"/>
  <c r="P155" i="2"/>
  <c r="F155" i="2"/>
  <c r="P154" i="2"/>
  <c r="F154" i="2"/>
  <c r="E153" i="2"/>
  <c r="F153" i="2" s="1"/>
  <c r="P152" i="2"/>
  <c r="F152" i="2"/>
  <c r="P151" i="2"/>
  <c r="F151" i="2"/>
  <c r="P150" i="2"/>
  <c r="F150" i="2"/>
  <c r="P149" i="2"/>
  <c r="F149" i="2"/>
  <c r="P148" i="2"/>
  <c r="F148" i="2"/>
  <c r="P147" i="2"/>
  <c r="F147" i="2"/>
  <c r="P146" i="2"/>
  <c r="F146" i="2"/>
  <c r="P145" i="2"/>
  <c r="F145" i="2"/>
  <c r="P144" i="2"/>
  <c r="F144" i="2"/>
  <c r="P143" i="2"/>
  <c r="F143" i="2"/>
  <c r="P142" i="2"/>
  <c r="F142" i="2"/>
  <c r="P141" i="2"/>
  <c r="F141" i="2"/>
  <c r="P140" i="2"/>
  <c r="F140" i="2"/>
  <c r="P139" i="2"/>
  <c r="F139" i="2"/>
  <c r="P138" i="2"/>
  <c r="F138" i="2"/>
  <c r="P137" i="2"/>
  <c r="F137" i="2"/>
  <c r="P136" i="2"/>
  <c r="F136" i="2"/>
  <c r="P135" i="2"/>
  <c r="F135" i="2"/>
  <c r="P134" i="2"/>
  <c r="F134" i="2"/>
  <c r="P133" i="2"/>
  <c r="F133" i="2"/>
  <c r="P132" i="2"/>
  <c r="F132" i="2"/>
  <c r="P131" i="2"/>
  <c r="F131" i="2"/>
  <c r="P130" i="2"/>
  <c r="F130" i="2"/>
  <c r="P129" i="2"/>
  <c r="F129" i="2"/>
  <c r="P128" i="2"/>
  <c r="F128" i="2"/>
  <c r="P127" i="2"/>
  <c r="F127" i="2"/>
  <c r="P126" i="2"/>
  <c r="F126" i="2"/>
  <c r="P125" i="2"/>
  <c r="F125" i="2"/>
  <c r="P124" i="2"/>
  <c r="E124" i="2"/>
  <c r="F124" i="2" s="1"/>
  <c r="P123" i="2"/>
  <c r="F123" i="2"/>
  <c r="P122" i="2"/>
  <c r="F122" i="2"/>
  <c r="P121" i="2"/>
  <c r="F121" i="2"/>
  <c r="P120" i="2"/>
  <c r="F120" i="2"/>
  <c r="P119" i="2"/>
  <c r="F119" i="2"/>
  <c r="E118" i="2"/>
  <c r="F118" i="2" s="1"/>
  <c r="E117" i="2"/>
  <c r="F117" i="2" s="1"/>
  <c r="E116" i="2"/>
  <c r="F116" i="2" s="1"/>
  <c r="E115" i="2"/>
  <c r="F115" i="2" s="1"/>
  <c r="P114" i="2"/>
  <c r="F114" i="2"/>
  <c r="P113" i="2"/>
  <c r="F113" i="2"/>
  <c r="E112" i="2"/>
  <c r="F112" i="2" s="1"/>
  <c r="P111" i="2"/>
  <c r="F111" i="2"/>
  <c r="P110" i="2"/>
  <c r="F110" i="2"/>
  <c r="P109" i="2"/>
  <c r="F109" i="2"/>
  <c r="P108" i="2"/>
  <c r="F108" i="2"/>
  <c r="P107" i="2"/>
  <c r="F107" i="2"/>
  <c r="P106" i="2"/>
  <c r="F106" i="2"/>
  <c r="P105" i="2"/>
  <c r="F105" i="2"/>
  <c r="F104" i="2"/>
  <c r="P103" i="2"/>
  <c r="F103" i="2"/>
  <c r="P102" i="2"/>
  <c r="F102" i="2"/>
  <c r="P101" i="2"/>
  <c r="F101" i="2"/>
  <c r="P100" i="2"/>
  <c r="F100" i="2"/>
  <c r="P99" i="2"/>
  <c r="E99" i="2"/>
  <c r="F99" i="2" s="1"/>
  <c r="P98" i="2"/>
  <c r="F98" i="2"/>
  <c r="P97" i="2"/>
  <c r="F97" i="2"/>
  <c r="P96" i="2"/>
  <c r="F96" i="2"/>
  <c r="P95" i="2"/>
  <c r="F95" i="2"/>
  <c r="P94" i="2"/>
  <c r="F94" i="2"/>
  <c r="P93" i="2"/>
  <c r="F93" i="2"/>
  <c r="P92" i="2"/>
  <c r="F92" i="2"/>
  <c r="P91" i="2"/>
  <c r="F91" i="2"/>
  <c r="P90" i="2"/>
  <c r="F90" i="2"/>
  <c r="P89" i="2"/>
  <c r="F89" i="2"/>
  <c r="P88" i="2"/>
  <c r="F88" i="2"/>
  <c r="P87" i="2"/>
  <c r="F87" i="2"/>
  <c r="F86" i="2"/>
  <c r="P85" i="2"/>
  <c r="E85" i="2"/>
  <c r="F85" i="2" s="1"/>
  <c r="P84" i="2"/>
  <c r="F84" i="2"/>
  <c r="P83" i="2"/>
  <c r="F83" i="2"/>
  <c r="F82" i="2"/>
  <c r="P81" i="2"/>
  <c r="F81" i="2"/>
  <c r="P80" i="2"/>
  <c r="F80" i="2"/>
  <c r="P79" i="2"/>
  <c r="F79" i="2"/>
  <c r="E78" i="2"/>
  <c r="F78" i="2" s="1"/>
  <c r="P77" i="2"/>
  <c r="F77" i="2"/>
  <c r="P76" i="2"/>
  <c r="F76" i="2"/>
  <c r="P75" i="2"/>
  <c r="F75" i="2"/>
  <c r="F74" i="2"/>
  <c r="P73" i="2"/>
  <c r="F73" i="2"/>
  <c r="P72" i="2"/>
  <c r="F72" i="2"/>
  <c r="P71" i="2"/>
  <c r="F71" i="2"/>
  <c r="P70" i="2"/>
  <c r="F70" i="2"/>
  <c r="P69" i="2"/>
  <c r="F69" i="2"/>
  <c r="P68" i="2"/>
  <c r="F68" i="2"/>
  <c r="P67" i="2"/>
  <c r="F67" i="2"/>
  <c r="P66" i="2"/>
  <c r="F66" i="2"/>
  <c r="P65" i="2"/>
  <c r="F65" i="2"/>
  <c r="P64" i="2"/>
  <c r="P63" i="2"/>
  <c r="F63" i="2"/>
  <c r="P62" i="2"/>
  <c r="F62" i="2"/>
  <c r="P61" i="2"/>
  <c r="F61" i="2"/>
  <c r="P60" i="2"/>
  <c r="F60" i="2"/>
  <c r="P59" i="2"/>
  <c r="F59" i="2"/>
  <c r="P58" i="2"/>
  <c r="F58" i="2"/>
  <c r="P57" i="2"/>
  <c r="F57" i="2"/>
  <c r="P56" i="2"/>
  <c r="F56" i="2"/>
  <c r="P55" i="2"/>
  <c r="F55" i="2"/>
  <c r="P54" i="2"/>
  <c r="F54" i="2"/>
  <c r="P53" i="2"/>
  <c r="E53" i="2"/>
  <c r="F53" i="2" s="1"/>
  <c r="P52" i="2"/>
  <c r="F52" i="2"/>
  <c r="P51" i="2"/>
  <c r="F51" i="2"/>
  <c r="F50" i="2"/>
  <c r="P49" i="2"/>
  <c r="E49" i="2"/>
  <c r="F49" i="2" s="1"/>
  <c r="P48" i="2"/>
  <c r="F48" i="2"/>
  <c r="P47" i="2"/>
  <c r="P46" i="2"/>
  <c r="F46" i="2"/>
  <c r="P44" i="2"/>
  <c r="F44" i="2"/>
  <c r="P43" i="2"/>
  <c r="F43" i="2"/>
  <c r="P42" i="2"/>
  <c r="F42" i="2"/>
  <c r="P41" i="2"/>
  <c r="F41" i="2"/>
  <c r="P40" i="2"/>
  <c r="F40" i="2"/>
  <c r="P39" i="2"/>
  <c r="F39" i="2"/>
  <c r="P38" i="2"/>
  <c r="F38" i="2"/>
  <c r="P37" i="2"/>
  <c r="F37" i="2"/>
  <c r="P36" i="2"/>
  <c r="F36" i="2"/>
  <c r="P35" i="2"/>
  <c r="F35" i="2"/>
  <c r="P34" i="2"/>
  <c r="F34" i="2"/>
  <c r="P33" i="2"/>
  <c r="F33" i="2"/>
  <c r="P32" i="2"/>
  <c r="F32" i="2"/>
  <c r="P31" i="2"/>
  <c r="F31" i="2"/>
  <c r="P30" i="2"/>
  <c r="F30" i="2"/>
  <c r="P29" i="2"/>
  <c r="F29" i="2"/>
  <c r="P28" i="2"/>
  <c r="F28" i="2"/>
  <c r="P27" i="2"/>
  <c r="F27" i="2"/>
  <c r="P26" i="2"/>
  <c r="F26" i="2"/>
  <c r="P25" i="2"/>
  <c r="F25" i="2"/>
  <c r="P24" i="2"/>
  <c r="F24" i="2"/>
  <c r="P23" i="2"/>
  <c r="F23" i="2"/>
  <c r="P22" i="2"/>
  <c r="F22" i="2"/>
  <c r="P21" i="2"/>
  <c r="F21" i="2"/>
  <c r="P20" i="2"/>
  <c r="F20" i="2"/>
  <c r="P19" i="2"/>
  <c r="F19" i="2"/>
  <c r="P18" i="2"/>
  <c r="F18" i="2"/>
  <c r="P17" i="2"/>
  <c r="F17" i="2"/>
  <c r="P16" i="2"/>
  <c r="F16" i="2"/>
  <c r="P15" i="2"/>
  <c r="F15" i="2"/>
  <c r="P14" i="2"/>
  <c r="F14" i="2"/>
  <c r="E13" i="2"/>
  <c r="F13" i="2" s="1"/>
  <c r="P12" i="2"/>
  <c r="F12" i="2"/>
  <c r="P11" i="2"/>
  <c r="F11" i="2"/>
  <c r="P10" i="2"/>
  <c r="F10" i="2"/>
  <c r="P9" i="2"/>
  <c r="F9" i="2"/>
  <c r="P8" i="2"/>
  <c r="F8" i="2"/>
  <c r="P7" i="2"/>
  <c r="F7" i="2"/>
  <c r="P6" i="2"/>
  <c r="F6" i="2"/>
  <c r="F4" i="2"/>
  <c r="P3" i="2"/>
  <c r="F3" i="2"/>
  <c r="P2" i="2"/>
  <c r="F2" i="2"/>
</calcChain>
</file>

<file path=xl/sharedStrings.xml><?xml version="1.0" encoding="utf-8"?>
<sst xmlns="http://schemas.openxmlformats.org/spreadsheetml/2006/main" count="5776" uniqueCount="3442">
  <si>
    <t>ORGANIZATIONAL UNIT (1)</t>
  </si>
  <si>
    <t>ITEM NUMBER (2)</t>
  </si>
  <si>
    <t>POSITION TITLE (3)</t>
  </si>
  <si>
    <t>SALARY GRADE (4)</t>
  </si>
  <si>
    <t>AUTHORIZED ANNUAL SALARY(5)</t>
  </si>
  <si>
    <t>ACTUAL ANNUAL SALARY (6)</t>
  </si>
  <si>
    <t>STEP (7)</t>
  </si>
  <si>
    <t>AREA CODE (8)</t>
  </si>
  <si>
    <t>AREA TYPE (9)</t>
  </si>
  <si>
    <t>LEVEL (10)</t>
  </si>
  <si>
    <t>LAST NAME (11)</t>
  </si>
  <si>
    <t>FIRST NAME (12)</t>
  </si>
  <si>
    <t>MIDDLE NAME (13)</t>
  </si>
  <si>
    <t>SEX (14)</t>
  </si>
  <si>
    <t>DATE OF BIRTH (15)</t>
  </si>
  <si>
    <t>AGE</t>
  </si>
  <si>
    <t>TIN (16)</t>
  </si>
  <si>
    <t>DATE OF ORIGINAL APPOINTMENT (17)</t>
  </si>
  <si>
    <t>DATE OF LAST PROMOTION/APPOINTMENT (18)</t>
  </si>
  <si>
    <t>STATUS (19)</t>
  </si>
  <si>
    <t>CIVIL SERVICE ELIGIBILITY (20)</t>
  </si>
  <si>
    <t>COMMENT/ANNOTATION (21)</t>
  </si>
  <si>
    <t>PWD (Y) (22)</t>
  </si>
  <si>
    <t>INDIGENOUS PEOPLE (Y) (23)</t>
  </si>
  <si>
    <t>SOLO PARENT (ID_NUMBER) (24)</t>
  </si>
  <si>
    <t>ABOLISHED</t>
  </si>
  <si>
    <t>DISSOLVED</t>
  </si>
  <si>
    <t>GSIS BP NUMBER</t>
  </si>
  <si>
    <t>POSITION CLASSIFICATION</t>
  </si>
  <si>
    <t>Guidelines on How to Accomplish the Plantilla template</t>
  </si>
  <si>
    <t>Column No.</t>
  </si>
  <si>
    <t>What and How to Enter</t>
  </si>
  <si>
    <t>Enter your organizational unit in column 1.  In most cases, it is the agency/department name.  In LGUs, it is the Office name (e.g. Office of the Mayor, Office of the Governor)</t>
  </si>
  <si>
    <t>Enter the plantilla item number in column 2.  Please ensure that this number is unique per item in your Office.</t>
  </si>
  <si>
    <t>Enter the position title in column 3 or you may select from the dropdown list.</t>
  </si>
  <si>
    <t>Enter the salary grade in column 4.  Please DO NOT include the word "SG".  Simply enter the salary grade number.</t>
  </si>
  <si>
    <t xml:space="preserve">Enter the authorized annual salary in column 5. </t>
  </si>
  <si>
    <t>Enter the actual annual salary in column 6.</t>
  </si>
  <si>
    <t>Enter step increment number in column 7.</t>
  </si>
  <si>
    <t>Enter the area code (Regional code) in column 8, but you may leave it blank.</t>
  </si>
  <si>
    <t>Enter the area type (R - "Region", P - "Province", D - "District", M - "Municipality", F - "Foreign Post") in column 9, but you may leave it blank.</t>
  </si>
  <si>
    <t>In column 10, select the position level from the dropdown list (K - "Key positions", A - "Adminsitrative positions", S - "Support to Key positions", and T- "Technical positions")</t>
  </si>
  <si>
    <t>Enter the employee's complete last name in column 11.</t>
  </si>
  <si>
    <t>Enter the employee's complete first name in column 12.</t>
  </si>
  <si>
    <t>Enter the employee's complete middle name in column 13, if any.</t>
  </si>
  <si>
    <t>Enter either "M" or "F" in column 14 the employee's sex or you may select from the dropdown list.</t>
  </si>
  <si>
    <t>Enter the employee's birth date in column 15 using the format YYYY-MM-DD.</t>
  </si>
  <si>
    <t>Enter the employee's TIN in column 16, if any.</t>
  </si>
  <si>
    <t>Enter the employee's date of original appointment in column 17 using the format YYYY-MM-DD.</t>
  </si>
  <si>
    <t>If applicable, enter the employee's date of last promotion/appointment in column 18 using the format YYYY-MM-DD.</t>
  </si>
  <si>
    <t>In column 20, enter the employee's career service eligibility or you may select it from the dropdown list.  Please provide one (1) type of eligibility only.  You can use column 22 for the additional eligibilities.</t>
  </si>
  <si>
    <t>The column 21 is for any remarks/comment like additional career service eligibilities or any information about the employee which are not found in some of the dropdown lists.</t>
  </si>
  <si>
    <t>Indicate 'Y' in column 22 if the individual is a Person with Disability (PWD)</t>
  </si>
  <si>
    <t xml:space="preserve">Indicate 'Y' in column 23 if the individual is a Indigenous people </t>
  </si>
  <si>
    <t>Enter the Solo parent ID number in column 24.</t>
  </si>
  <si>
    <t>Position Classification (1st Level, 2nd Level, Executive/Managerial [appointment is made by authorities other than the President]   or 3rd Level [appointment is made by the President] )</t>
  </si>
  <si>
    <t>Note:</t>
  </si>
  <si>
    <t>For more information on how to properly accomplish the plantilla template, please refer to DBM National Budget Circular No. 549 dated October 21, 2013.</t>
  </si>
  <si>
    <t>Accountant I</t>
  </si>
  <si>
    <t>Accountant II</t>
  </si>
  <si>
    <t>Accountant III</t>
  </si>
  <si>
    <t>Accountant IV</t>
  </si>
  <si>
    <t>Accounting Analyst</t>
  </si>
  <si>
    <t>Accounting Clerk I</t>
  </si>
  <si>
    <t>Accounting Clerk II</t>
  </si>
  <si>
    <t>Accounting Clerk III</t>
  </si>
  <si>
    <t>Accounting Machine Operator I</t>
  </si>
  <si>
    <t>Accounting Machine Operator II</t>
  </si>
  <si>
    <t>Accounting Machine Operator III</t>
  </si>
  <si>
    <t>Accounts Liquidation Assistant</t>
  </si>
  <si>
    <t>Accounts Liquidation Officer I</t>
  </si>
  <si>
    <t>Accounts Liquidation Officer II</t>
  </si>
  <si>
    <t>Accounts Liquidation Officer III</t>
  </si>
  <si>
    <t>Accounts Liquidation Officer IV</t>
  </si>
  <si>
    <t>Accounts Liquidation Officer V</t>
  </si>
  <si>
    <t>Actuarial Researcher</t>
  </si>
  <si>
    <t>Acupressure Technician</t>
  </si>
  <si>
    <t>Administrative Aide I</t>
  </si>
  <si>
    <t>Administrative Aide II</t>
  </si>
  <si>
    <t>Administrative Aide III</t>
  </si>
  <si>
    <t>Administrative Aide IV</t>
  </si>
  <si>
    <t>Administrative Aide V</t>
  </si>
  <si>
    <t>Administrative Aide VI</t>
  </si>
  <si>
    <t>Administrative Assistant</t>
  </si>
  <si>
    <t>Administrative Assistant I</t>
  </si>
  <si>
    <t>Administrative Assistant II</t>
  </si>
  <si>
    <t>Administrative Assistant III</t>
  </si>
  <si>
    <t>Administrative Assistant IV</t>
  </si>
  <si>
    <t>Administrative Assistant V</t>
  </si>
  <si>
    <t>Administrative Assistant VI</t>
  </si>
  <si>
    <t>Administrative Officer I</t>
  </si>
  <si>
    <t>Administrative Officer II</t>
  </si>
  <si>
    <t>Administrative Officer III</t>
  </si>
  <si>
    <t>Administrative Officer IV</t>
  </si>
  <si>
    <t>Administrative Officer V</t>
  </si>
  <si>
    <t>Administrator I</t>
  </si>
  <si>
    <t>Administrator II</t>
  </si>
  <si>
    <t>Administrator III</t>
  </si>
  <si>
    <t>Admiral</t>
  </si>
  <si>
    <t>Advertising Officer I</t>
  </si>
  <si>
    <t>Advertising Officer II</t>
  </si>
  <si>
    <t>Advertising Officer III</t>
  </si>
  <si>
    <t>Advertising Officer IV</t>
  </si>
  <si>
    <t>Aerial Photo Analyst I</t>
  </si>
  <si>
    <t>Aerial Photo Analyst II</t>
  </si>
  <si>
    <t>Agrarian Reform Program Officer I</t>
  </si>
  <si>
    <t>Agrarian Reform Program Officer II</t>
  </si>
  <si>
    <t>Agrarian Reform Program Technologist</t>
  </si>
  <si>
    <t>Agricultural Center Chief I</t>
  </si>
  <si>
    <t>Agricultural Center Chief II</t>
  </si>
  <si>
    <t>Agricultural Center Chief III</t>
  </si>
  <si>
    <t>Agricultural Center Chief IV</t>
  </si>
  <si>
    <t>Agricultural Products Inspector I</t>
  </si>
  <si>
    <t>Agricultural Products Inspector II</t>
  </si>
  <si>
    <t>Agricultural Products Inspector III</t>
  </si>
  <si>
    <t>Agricultural Technician I</t>
  </si>
  <si>
    <t>Agricultural Technician II</t>
  </si>
  <si>
    <t>Agricultural Technologist</t>
  </si>
  <si>
    <t>Agriculturist I</t>
  </si>
  <si>
    <t>Agriculturist II</t>
  </si>
  <si>
    <t>Air Navigation Services Supervisor</t>
  </si>
  <si>
    <t>Air Navigation System Specialist I</t>
  </si>
  <si>
    <t>Air Navigation System Specialist II</t>
  </si>
  <si>
    <t>Air Terminal Supervisor</t>
  </si>
  <si>
    <t>Air Traffic Controller I</t>
  </si>
  <si>
    <t>Air Traffic Controller II</t>
  </si>
  <si>
    <t>Air Traffic Services Supervisor</t>
  </si>
  <si>
    <t>Air-Conditioning Technician I</t>
  </si>
  <si>
    <t>Air-Conditioning Technician II</t>
  </si>
  <si>
    <t>Aircraft Maintenance Technologist I</t>
  </si>
  <si>
    <t>Aircraft Maintenance Technologist II</t>
  </si>
  <si>
    <t>Aircraft Maintenance Technologist III</t>
  </si>
  <si>
    <t>Aircraft Mechanic I</t>
  </si>
  <si>
    <t>Aircraft Mechanic II</t>
  </si>
  <si>
    <t>Aircraft Mechanic III</t>
  </si>
  <si>
    <t>Aircraft Mechanic IV</t>
  </si>
  <si>
    <t>Airfield Power Technician I</t>
  </si>
  <si>
    <t>Airfield Power Technician II</t>
  </si>
  <si>
    <t>Airfield Power Technician III</t>
  </si>
  <si>
    <t>Airfield Power Technician IV</t>
  </si>
  <si>
    <t>Airfield Power Technician V</t>
  </si>
  <si>
    <t>Airport Manager I</t>
  </si>
  <si>
    <t>Airport Manager II</t>
  </si>
  <si>
    <t>Airport Manager III</t>
  </si>
  <si>
    <t>Airport Manager IV</t>
  </si>
  <si>
    <t>Airport Project Supervisor</t>
  </si>
  <si>
    <t>Airways Communications Services Supervisor</t>
  </si>
  <si>
    <t>Airways Communicator I</t>
  </si>
  <si>
    <t>Airways Communicator II</t>
  </si>
  <si>
    <t>Ammunition Worker I</t>
  </si>
  <si>
    <t>Ammunition Worker II</t>
  </si>
  <si>
    <t>Animal Feed Control Officer</t>
  </si>
  <si>
    <t>Animal Keeper I</t>
  </si>
  <si>
    <t>Animal Keeper II</t>
  </si>
  <si>
    <t>Animal Keeper III</t>
  </si>
  <si>
    <t>Antenna Rigger</t>
  </si>
  <si>
    <t>Apprentice Seaman</t>
  </si>
  <si>
    <t>Aquacultural Technician I</t>
  </si>
  <si>
    <t>Aquacultural Technician II</t>
  </si>
  <si>
    <t>Aquacultural Technologist</t>
  </si>
  <si>
    <t>Aquaculturist I</t>
  </si>
  <si>
    <t>Aquaculturist II</t>
  </si>
  <si>
    <t>Architect I</t>
  </si>
  <si>
    <t>Architect II</t>
  </si>
  <si>
    <t>Architect III</t>
  </si>
  <si>
    <t>Architect IV</t>
  </si>
  <si>
    <t>Architect V</t>
  </si>
  <si>
    <t>Archivist I</t>
  </si>
  <si>
    <t>Archivist II</t>
  </si>
  <si>
    <t>Armorer I</t>
  </si>
  <si>
    <t>Armorer II</t>
  </si>
  <si>
    <t>Artificial Limb and Brace Maker I</t>
  </si>
  <si>
    <t>Artificial Limb and Brace Maker II</t>
  </si>
  <si>
    <t>Artificial Limb and Brace Maker III</t>
  </si>
  <si>
    <t>Artist-Illustrator I</t>
  </si>
  <si>
    <t>Artist-Illustrator II</t>
  </si>
  <si>
    <t>Artist-Illustrator III</t>
  </si>
  <si>
    <t>Assessment Clerk I</t>
  </si>
  <si>
    <t>Assessment Clerk II</t>
  </si>
  <si>
    <t>Assessment Clerk III</t>
  </si>
  <si>
    <t>Assistant Cabinet Secretary</t>
  </si>
  <si>
    <t>Assistant Chef</t>
  </si>
  <si>
    <t>Assistant Chief Air Navigation System Specialist</t>
  </si>
  <si>
    <t>Assistant Chief Air Traffic Controller</t>
  </si>
  <si>
    <t>Assistant Chief Airways Communicator</t>
  </si>
  <si>
    <t>Assistant Chief of Staff (OVP)</t>
  </si>
  <si>
    <t>Assistant Chief State Counsel</t>
  </si>
  <si>
    <t>Assistant College Department Head</t>
  </si>
  <si>
    <t>Assistant Commissioner of Internal Revenue</t>
  </si>
  <si>
    <t>Assistant Commissioner, Constitutional Commission</t>
  </si>
  <si>
    <t>Assistant Court Administrator of the Supreme Court</t>
  </si>
  <si>
    <t>Assistant Customs Operations Officer</t>
  </si>
  <si>
    <t>Assistant Director-General</t>
  </si>
  <si>
    <t>Assistant Executive Secretary</t>
  </si>
  <si>
    <t>Assistant Financial Claims Examiner</t>
  </si>
  <si>
    <t>Assistant General Manager</t>
  </si>
  <si>
    <t>Assistant Government Corporate Counsel</t>
  </si>
  <si>
    <t>Assistant Information Officer</t>
  </si>
  <si>
    <t>Assistant Land Registration Examiner</t>
  </si>
  <si>
    <t>Assistant Launch Service Supervisor</t>
  </si>
  <si>
    <t>Assistant Mining Claims Examiner</t>
  </si>
  <si>
    <t>Assistant National Cashier</t>
  </si>
  <si>
    <t>Assistant Nutritionist-Dietitian</t>
  </si>
  <si>
    <t>Assistant Ombudsman</t>
  </si>
  <si>
    <t>Assistant Parole Officer</t>
  </si>
  <si>
    <t>Assistant Press Secretary</t>
  </si>
  <si>
    <t>Assistant Professor I</t>
  </si>
  <si>
    <t>Assistant Professor I (Part-Time)</t>
  </si>
  <si>
    <t>Assistant Professor II</t>
  </si>
  <si>
    <t>Assistant Professor II (Part-Time)</t>
  </si>
  <si>
    <t>Assistant Professor III</t>
  </si>
  <si>
    <t>Assistant Professor III (Part-Time)</t>
  </si>
  <si>
    <t>Assistant Professor IV</t>
  </si>
  <si>
    <t>Assistant Professor IV (Part-Time)</t>
  </si>
  <si>
    <t>Assistant Provincial Warden</t>
  </si>
  <si>
    <t>Assistant Regional Cabinet Secretary</t>
  </si>
  <si>
    <t>Assistant Regional Executive Secretary</t>
  </si>
  <si>
    <t>Assistant Registration Officer</t>
  </si>
  <si>
    <t>Assistant Remote Sensing Technologist</t>
  </si>
  <si>
    <t>Assistant Revenue Officer</t>
  </si>
  <si>
    <t>Assistant School Principal I</t>
  </si>
  <si>
    <t>Assistant School Principal II</t>
  </si>
  <si>
    <t>Assistant School Principal III</t>
  </si>
  <si>
    <t>Assistant Schools Division Superintendent</t>
  </si>
  <si>
    <t>Assistant Scientist</t>
  </si>
  <si>
    <t>Assistant Secondary School Principal I</t>
  </si>
  <si>
    <t>Assistant Secondary School Principal II</t>
  </si>
  <si>
    <t>Assistant Secondary School Principal III</t>
  </si>
  <si>
    <t>Assistant Solicitor General</t>
  </si>
  <si>
    <t>Assistant Solicitor-General</t>
  </si>
  <si>
    <t>Assistant Special School Principal</t>
  </si>
  <si>
    <t>Assistant Statistical Coordination Officer</t>
  </si>
  <si>
    <t>Assistant Statistician</t>
  </si>
  <si>
    <t>Assistant Superintendent of Printing</t>
  </si>
  <si>
    <t>Assistant Supervisor of Student Teaching</t>
  </si>
  <si>
    <t>Assistant Teachers Camp Superintendent</t>
  </si>
  <si>
    <t>Assistant Traffic Operations Officer</t>
  </si>
  <si>
    <t>Assistant Weather Services Chief</t>
  </si>
  <si>
    <t>Associate Government Corporate Attorney I</t>
  </si>
  <si>
    <t>Associate Government Corporate Attorney II</t>
  </si>
  <si>
    <t>Associate Graft Investigation Officer I</t>
  </si>
  <si>
    <t>Associate Graft Investigation Officer II</t>
  </si>
  <si>
    <t>Associate Graft Investigation Officer III</t>
  </si>
  <si>
    <t>Associate Justice</t>
  </si>
  <si>
    <t>Associate Justice of the Supreme Court</t>
  </si>
  <si>
    <t>Associate Justice, Court of Appeals</t>
  </si>
  <si>
    <t>Associate Justice, Sandiganbayan</t>
  </si>
  <si>
    <t>Associate Professor I</t>
  </si>
  <si>
    <t>Associate Professor I (Part-Time)</t>
  </si>
  <si>
    <t>Associate Professor II</t>
  </si>
  <si>
    <t>Associate Professor II (Part-Time)</t>
  </si>
  <si>
    <t>Associate Professor III</t>
  </si>
  <si>
    <t>Associate Professor III (Part-Time)</t>
  </si>
  <si>
    <t>Associate Professor IV</t>
  </si>
  <si>
    <t>Associate Professor IV (Part-Time)</t>
  </si>
  <si>
    <t>Associate Professor V</t>
  </si>
  <si>
    <t>Associate Professor V (Part-Time)</t>
  </si>
  <si>
    <t>Associate Prosecution Attorney I</t>
  </si>
  <si>
    <t>Associate Prosecution Attorney II</t>
  </si>
  <si>
    <t>Associate Public Attorney I</t>
  </si>
  <si>
    <t>Associate Public Attorney II</t>
  </si>
  <si>
    <t>Associate Scientist</t>
  </si>
  <si>
    <t>Associate Solicitor I</t>
  </si>
  <si>
    <t>Associate Solicitor II</t>
  </si>
  <si>
    <t>Associate Solicitor III</t>
  </si>
  <si>
    <t>Associate Special Prosecution Officer I</t>
  </si>
  <si>
    <t>Associate Special Prosecution Officer II</t>
  </si>
  <si>
    <t>Associate State Counsel I</t>
  </si>
  <si>
    <t>Associate State Counsel II</t>
  </si>
  <si>
    <t>Attache I</t>
  </si>
  <si>
    <t>Attache II</t>
  </si>
  <si>
    <t>Attorney I</t>
  </si>
  <si>
    <t>Attorney II</t>
  </si>
  <si>
    <t>Attorney III</t>
  </si>
  <si>
    <t>Attorney IV</t>
  </si>
  <si>
    <t>Attorney V</t>
  </si>
  <si>
    <t>Attorney VI</t>
  </si>
  <si>
    <t>Audio-Visual Aids Technician I</t>
  </si>
  <si>
    <t>Audio-Visual Aids Technician II</t>
  </si>
  <si>
    <t>Audio-Visual Aids Technician III</t>
  </si>
  <si>
    <t>Audio-Visual Aids Technician IV</t>
  </si>
  <si>
    <t>Audio-Visual Equipment Operator I</t>
  </si>
  <si>
    <t>Audio-Visual Equipment Operator II</t>
  </si>
  <si>
    <t>Audio-Visual Equipment Operator III</t>
  </si>
  <si>
    <t>Auditing Systems Analyst</t>
  </si>
  <si>
    <t>Auditing Systems Specialist I</t>
  </si>
  <si>
    <t>Auditing Systems Specialist II</t>
  </si>
  <si>
    <t>Automotive Equipment Inspector I</t>
  </si>
  <si>
    <t>Automotive Equipment Inspector II</t>
  </si>
  <si>
    <t>Autonomous Region Legislative Staff Assistant I</t>
  </si>
  <si>
    <t>Autonomous Region Legislative Staff Assistant II</t>
  </si>
  <si>
    <t>Autonomous Region Legislative Staff Officer I</t>
  </si>
  <si>
    <t>Autonomous Region Legislative Staff Officer II</t>
  </si>
  <si>
    <t>Autonomous Region Legislative Staff Officer III</t>
  </si>
  <si>
    <t>Autonomous Region Legislative Staff Officer IV</t>
  </si>
  <si>
    <t>Autonomous Region Legislative Staff Officer V</t>
  </si>
  <si>
    <t>Autonomous Region Legislative Staff Officer VI</t>
  </si>
  <si>
    <t>Auxiliary Machine Operator I</t>
  </si>
  <si>
    <t>Auxiliary Machine Operator II</t>
  </si>
  <si>
    <t>Auxiliary Machine Operator III</t>
  </si>
  <si>
    <t>Auxiliary Machine Operator IV</t>
  </si>
  <si>
    <t>Aviation Safety Regulation Officer I</t>
  </si>
  <si>
    <t>Aviation Safety Regulation Officer II</t>
  </si>
  <si>
    <t>Bacteriologist I</t>
  </si>
  <si>
    <t>Bacteriologist II</t>
  </si>
  <si>
    <t>Bacteriologist III</t>
  </si>
  <si>
    <t>Bacteriologist IV</t>
  </si>
  <si>
    <t>Bailiff I</t>
  </si>
  <si>
    <t>Bailiff II</t>
  </si>
  <si>
    <t>Bailiff III</t>
  </si>
  <si>
    <t>Ballistician I</t>
  </si>
  <si>
    <t>Ballistician II</t>
  </si>
  <si>
    <t>Ballistician III</t>
  </si>
  <si>
    <t>Ballistician IV</t>
  </si>
  <si>
    <t>Ballistician V</t>
  </si>
  <si>
    <t>Bandmaster</t>
  </si>
  <si>
    <t>Barangay Health Aide</t>
  </si>
  <si>
    <t>Barber</t>
  </si>
  <si>
    <t>Bill Collector</t>
  </si>
  <si>
    <t>Biological and Feed Products Inspector</t>
  </si>
  <si>
    <t>Biologist I</t>
  </si>
  <si>
    <t>Biologist II</t>
  </si>
  <si>
    <t>Biologist III</t>
  </si>
  <si>
    <t>Blacksmith I</t>
  </si>
  <si>
    <t>Blacksmith II</t>
  </si>
  <si>
    <t>Blacksmith Shop Foreman</t>
  </si>
  <si>
    <t>Board Chairman I</t>
  </si>
  <si>
    <t>Board Chairman II</t>
  </si>
  <si>
    <t>Board Chairman III</t>
  </si>
  <si>
    <t>Board Chairman IV</t>
  </si>
  <si>
    <t>Board Governor</t>
  </si>
  <si>
    <t>Board Member I</t>
  </si>
  <si>
    <t>Board Member II</t>
  </si>
  <si>
    <t>Board Member III</t>
  </si>
  <si>
    <t>Board Member IV</t>
  </si>
  <si>
    <t>Board Secretary I</t>
  </si>
  <si>
    <t>Board Secretary II</t>
  </si>
  <si>
    <t>Board Secretary III</t>
  </si>
  <si>
    <t>Board Secretary IV</t>
  </si>
  <si>
    <t>Board Secretary V</t>
  </si>
  <si>
    <t>Board Secretary VI</t>
  </si>
  <si>
    <t>Boatswain</t>
  </si>
  <si>
    <t>Bookbinder I</t>
  </si>
  <si>
    <t>Bookbinder II</t>
  </si>
  <si>
    <t>Bookbinder III</t>
  </si>
  <si>
    <t>Bookbinder IV</t>
  </si>
  <si>
    <t>Bookkeeper</t>
  </si>
  <si>
    <t>Botanist</t>
  </si>
  <si>
    <t>Brigadier General</t>
  </si>
  <si>
    <t>Broadcast Operations Chief</t>
  </si>
  <si>
    <t>Broadcast Operations Supervisor</t>
  </si>
  <si>
    <t>Broadcast Operations Technician I</t>
  </si>
  <si>
    <t>Broadcast Operations Technician II</t>
  </si>
  <si>
    <t>Broadcast Operations Technician III</t>
  </si>
  <si>
    <t>Broadcast Operator I</t>
  </si>
  <si>
    <t>Broadcast Operator II</t>
  </si>
  <si>
    <t>Broadcast Production Supervisor</t>
  </si>
  <si>
    <t>Broadcast Program Producer-Announcer I</t>
  </si>
  <si>
    <t>Broadcast Program Producer-Announcer II</t>
  </si>
  <si>
    <t>Broadcast Program Producer-Announcer III</t>
  </si>
  <si>
    <t>Broadcast Program Traffic Officer</t>
  </si>
  <si>
    <t>Broadcast Station Manager</t>
  </si>
  <si>
    <t>Budget Analyst</t>
  </si>
  <si>
    <t>Budget and Management Analyst</t>
  </si>
  <si>
    <t>Budget and Management Assistant</t>
  </si>
  <si>
    <t>Budget and Management Specialist I</t>
  </si>
  <si>
    <t>Budget and Management Specialist II</t>
  </si>
  <si>
    <t>Budget Officer I</t>
  </si>
  <si>
    <t>Budget Officer II</t>
  </si>
  <si>
    <t>Budget Officer III</t>
  </si>
  <si>
    <t>Budget Officer IV</t>
  </si>
  <si>
    <t>Budget Officer V</t>
  </si>
  <si>
    <t>Budget Specialist I</t>
  </si>
  <si>
    <t>Budget Specialist II</t>
  </si>
  <si>
    <t>Budgeting Aide</t>
  </si>
  <si>
    <t>Budgeting Assistant</t>
  </si>
  <si>
    <t>Building Inspector</t>
  </si>
  <si>
    <t>Building Official</t>
  </si>
  <si>
    <t>Building Pest Control Officer</t>
  </si>
  <si>
    <t>Building Regulations Coordinator</t>
  </si>
  <si>
    <t>Buyer I</t>
  </si>
  <si>
    <t>Buyer II</t>
  </si>
  <si>
    <t>Buyer III</t>
  </si>
  <si>
    <t>Buyer IV</t>
  </si>
  <si>
    <t>Buyer V</t>
  </si>
  <si>
    <t>Cabin Crew Examiner I</t>
  </si>
  <si>
    <t>Cabin Crew Examiner II</t>
  </si>
  <si>
    <t>Cabinet Secretary</t>
  </si>
  <si>
    <t>Cabinet Undersecretary</t>
  </si>
  <si>
    <t>Cadet</t>
  </si>
  <si>
    <t>Candidate Soldier</t>
  </si>
  <si>
    <t>Captain</t>
  </si>
  <si>
    <t>Captain (Chief Hydrographic Engineer)</t>
  </si>
  <si>
    <t>Captain, NAMRIA</t>
  </si>
  <si>
    <t>Captain, PCG</t>
  </si>
  <si>
    <t>Career Minister</t>
  </si>
  <si>
    <t>Carpenter Foreman</t>
  </si>
  <si>
    <t>Carpenter General Foreman</t>
  </si>
  <si>
    <t>Carpenter I</t>
  </si>
  <si>
    <t>Carpenter II</t>
  </si>
  <si>
    <t>Cartographer I</t>
  </si>
  <si>
    <t>Cartographer II</t>
  </si>
  <si>
    <t>Cartographer III</t>
  </si>
  <si>
    <t>Cartographer IV</t>
  </si>
  <si>
    <t>Cartographer V</t>
  </si>
  <si>
    <t>Cash Clerk I</t>
  </si>
  <si>
    <t>Cash Clerk II</t>
  </si>
  <si>
    <t>Cash Clerk III</t>
  </si>
  <si>
    <t>Cashier I</t>
  </si>
  <si>
    <t>Cashier II</t>
  </si>
  <si>
    <t>Cashier III</t>
  </si>
  <si>
    <t>Cashier IV</t>
  </si>
  <si>
    <t>Cashier V</t>
  </si>
  <si>
    <t>Cemetery Caretaker</t>
  </si>
  <si>
    <t>Chairman (Ex-Officio)</t>
  </si>
  <si>
    <t>Chairman, Constitutional Commission</t>
  </si>
  <si>
    <t>Chairman, Police Regional Appellate Board</t>
  </si>
  <si>
    <t>Chairperson</t>
  </si>
  <si>
    <t>Chancellor I</t>
  </si>
  <si>
    <t>Chancellor II</t>
  </si>
  <si>
    <t>Chancellor III</t>
  </si>
  <si>
    <t>Chaplain</t>
  </si>
  <si>
    <t>Chauffeur I</t>
  </si>
  <si>
    <t>Chauffeur II</t>
  </si>
  <si>
    <t>Chauffeur III</t>
  </si>
  <si>
    <t>Chauffeur IV</t>
  </si>
  <si>
    <t>Check Flight Radio Operator</t>
  </si>
  <si>
    <t>Check Pilot I</t>
  </si>
  <si>
    <t>Check Pilot II</t>
  </si>
  <si>
    <t>Check Pilot III</t>
  </si>
  <si>
    <t>Check Pilot IV</t>
  </si>
  <si>
    <t>Chef</t>
  </si>
  <si>
    <t>Chemist I</t>
  </si>
  <si>
    <t>Chemist II</t>
  </si>
  <si>
    <t>Chemist III</t>
  </si>
  <si>
    <t>Chemist IV</t>
  </si>
  <si>
    <t>Chemist V</t>
  </si>
  <si>
    <t>Chief Accountant</t>
  </si>
  <si>
    <t>Chief Administrative Officer</t>
  </si>
  <si>
    <t>Chief Agrarian Reform Program Officer</t>
  </si>
  <si>
    <t>Chief Agriculturist</t>
  </si>
  <si>
    <t>Chief Air Navigation System Specialist</t>
  </si>
  <si>
    <t>Chief Air Traffic Controller</t>
  </si>
  <si>
    <t>Chief Airways Communicator</t>
  </si>
  <si>
    <t>Chief Aquaculturist</t>
  </si>
  <si>
    <t>Chief Archivist</t>
  </si>
  <si>
    <t>Chief Auditing Systems Specialist</t>
  </si>
  <si>
    <t>Chief Aviation Safety Regulation Officer</t>
  </si>
  <si>
    <t>Chief Bookbinder</t>
  </si>
  <si>
    <t>Chief Budget and Management Specialist</t>
  </si>
  <si>
    <t>Chief Communications Development Officer</t>
  </si>
  <si>
    <t>Chief Cooperatives Development Specialist</t>
  </si>
  <si>
    <t>Chief Customs Operations Officer</t>
  </si>
  <si>
    <t>Chief Defense Research Officer</t>
  </si>
  <si>
    <t>Chief Economic Development Specialist</t>
  </si>
  <si>
    <t>Chief Ecosystems Management Specialist</t>
  </si>
  <si>
    <t>Chief Education Program Specialist</t>
  </si>
  <si>
    <t>Chief Education Supervisor</t>
  </si>
  <si>
    <t>Chief Electrotyper</t>
  </si>
  <si>
    <t>Chief Emigrant Services Officer</t>
  </si>
  <si>
    <t>Chief Energy Regulation Officer</t>
  </si>
  <si>
    <t>Chief Environmental Management Specialist</t>
  </si>
  <si>
    <t>Chief Executive Staff</t>
  </si>
  <si>
    <t>Chief Fiber Development Officer</t>
  </si>
  <si>
    <t>Chief Fidelity Bond Examiner</t>
  </si>
  <si>
    <t>Chief Financial Management Specialist</t>
  </si>
  <si>
    <t>Chief Fishing Regulations Officer</t>
  </si>
  <si>
    <t>Chief Foreign Affairs Research Specialist</t>
  </si>
  <si>
    <t>Chief Forest Management Specialist</t>
  </si>
  <si>
    <t>Chief Geologist</t>
  </si>
  <si>
    <t>Chief Health Program Officer</t>
  </si>
  <si>
    <t>Chief Historic Sites Development Officer</t>
  </si>
  <si>
    <t>Chief History Researcher</t>
  </si>
  <si>
    <t>Chief Home Management Specialist</t>
  </si>
  <si>
    <t>Chief Immigration Officer</t>
  </si>
  <si>
    <t>Chief Industrial Design Specialist</t>
  </si>
  <si>
    <t>Chief Inspector</t>
  </si>
  <si>
    <t>Chief Insurance Specialist</t>
  </si>
  <si>
    <t>Chief Investments Specialist</t>
  </si>
  <si>
    <t>Chief Judicial Staff Officer</t>
  </si>
  <si>
    <t>Chief Justice of the Supreme Court</t>
  </si>
  <si>
    <t>Chief Justice Staff Head</t>
  </si>
  <si>
    <t>Chief Labor and Employment Officer</t>
  </si>
  <si>
    <t>Chief Language Researcher</t>
  </si>
  <si>
    <t>Chief Legislative Staff Officer</t>
  </si>
  <si>
    <t>Chief Local Treasury Examiner</t>
  </si>
  <si>
    <t>Chief Manpower Development Officer</t>
  </si>
  <si>
    <t>Chief Maritime Industry Development Specialist</t>
  </si>
  <si>
    <t>Chief Master Sergeant</t>
  </si>
  <si>
    <t>Chief Meat Control Officer</t>
  </si>
  <si>
    <t>Chief Metallurgist</t>
  </si>
  <si>
    <t>Chief of Hospital I</t>
  </si>
  <si>
    <t>Chief of Hospital II</t>
  </si>
  <si>
    <t>Chief of Hospital III</t>
  </si>
  <si>
    <t>Chief of Medical Professional Staff I</t>
  </si>
  <si>
    <t>Chief of Medical Professional Staff II</t>
  </si>
  <si>
    <t>Chief of Mission, Class I</t>
  </si>
  <si>
    <t>Chief of Mission, Class II</t>
  </si>
  <si>
    <t>Chief of Sanitarium I</t>
  </si>
  <si>
    <t>Chief of Sanitarium II</t>
  </si>
  <si>
    <t>Chief of Sanitarium III</t>
  </si>
  <si>
    <t>Chief of Staff (OVP)</t>
  </si>
  <si>
    <t>Chief Parole Officer</t>
  </si>
  <si>
    <t>Chief Penal Institution Program Officer</t>
  </si>
  <si>
    <t>Chief Personnel Specialist</t>
  </si>
  <si>
    <t>Chief Petty Officer</t>
  </si>
  <si>
    <t>Chief Petty Officer (2nd Marine Engineer)</t>
  </si>
  <si>
    <t>Chief Petty Officer, NAMRIA</t>
  </si>
  <si>
    <t>Chief Photoengraver</t>
  </si>
  <si>
    <t>Chief Political Affairs Officer</t>
  </si>
  <si>
    <t>Chief Postal Service Officer</t>
  </si>
  <si>
    <t>Chief Pressman</t>
  </si>
  <si>
    <t>Chief Probation Officer</t>
  </si>
  <si>
    <t>Chief Professional Regulations Officer</t>
  </si>
  <si>
    <t>Chief Prosecutor</t>
  </si>
  <si>
    <t>Chief Public Attorney</t>
  </si>
  <si>
    <t>Chief Public Utilities Regulation Officer</t>
  </si>
  <si>
    <t>Chief Records Management Analyst</t>
  </si>
  <si>
    <t>Chief Remote Sensing Technologist</t>
  </si>
  <si>
    <t>Chief Revenue Officer I</t>
  </si>
  <si>
    <t>Chief Revenue Officer II</t>
  </si>
  <si>
    <t>Chief Revenue Officer III</t>
  </si>
  <si>
    <t>Chief Revenue Officer IV</t>
  </si>
  <si>
    <t>Chief Scholarship Affairs Officer</t>
  </si>
  <si>
    <t>Chief Science Research Specialist</t>
  </si>
  <si>
    <t>Chief Securities and Exchange Specialist</t>
  </si>
  <si>
    <t>Chief Shipbuilding Specialist</t>
  </si>
  <si>
    <t>Chief Shipping Operations Specialist</t>
  </si>
  <si>
    <t>Chief Shrine Curator</t>
  </si>
  <si>
    <t>Chief Sports and Games Regulation Officer</t>
  </si>
  <si>
    <t>Chief State Counsel</t>
  </si>
  <si>
    <t>Chief Superintendent</t>
  </si>
  <si>
    <t>Chief Tariff Specialist</t>
  </si>
  <si>
    <t>Chief Tax Specialist</t>
  </si>
  <si>
    <t>Chief Technical Audit Specialist</t>
  </si>
  <si>
    <t>Chief Technical Education and Skills Development Specialist</t>
  </si>
  <si>
    <t>Chief Telegraphic Transfer Service Officer</t>
  </si>
  <si>
    <t>Chief Tourism Operations Officer</t>
  </si>
  <si>
    <t>Chief Trade-Industry Development Specialist</t>
  </si>
  <si>
    <t>Chief Transportation Development Officer</t>
  </si>
  <si>
    <t>Chief Transportation Regulation Officer</t>
  </si>
  <si>
    <t>Chief Treasury Operations Officer I</t>
  </si>
  <si>
    <t>Chief Treasury Operations Officer II</t>
  </si>
  <si>
    <t>Chief Typesetter</t>
  </si>
  <si>
    <t>Chief Veterans Assistance Officer</t>
  </si>
  <si>
    <t>Chief Volunteer Service Officer</t>
  </si>
  <si>
    <t>Chief Water Resources Development Officer</t>
  </si>
  <si>
    <t>Cinematographer I</t>
  </si>
  <si>
    <t>Cinematographer II</t>
  </si>
  <si>
    <t>Cinematographer III</t>
  </si>
  <si>
    <t>Cinematographer IV</t>
  </si>
  <si>
    <t>City Government Assistant Department Head I</t>
  </si>
  <si>
    <t>City Government Assistant Department Head II</t>
  </si>
  <si>
    <t>City Government Assistant Department Head III</t>
  </si>
  <si>
    <t>City Government Department Head I</t>
  </si>
  <si>
    <t>City Government Department Head II</t>
  </si>
  <si>
    <t>City Government Department Head III</t>
  </si>
  <si>
    <t>City Government Office Head</t>
  </si>
  <si>
    <t>City Health Officer I</t>
  </si>
  <si>
    <t>City Health Officer II</t>
  </si>
  <si>
    <t>City Health Officer III</t>
  </si>
  <si>
    <t>City Mayor</t>
  </si>
  <si>
    <t>City Trial Court Judge</t>
  </si>
  <si>
    <t>City Vice Mayor I</t>
  </si>
  <si>
    <t>City Vice Mayor II</t>
  </si>
  <si>
    <t>Civil Defense Assistant</t>
  </si>
  <si>
    <t>Civil Defense Officer I</t>
  </si>
  <si>
    <t>Civil Defense Officer II</t>
  </si>
  <si>
    <t>Civil Defense Officer III</t>
  </si>
  <si>
    <t>Civil Defense Officer IV</t>
  </si>
  <si>
    <t>Civil Defense Officer V</t>
  </si>
  <si>
    <t>Clearing Officer</t>
  </si>
  <si>
    <t>Clerk I</t>
  </si>
  <si>
    <t>Clerk II</t>
  </si>
  <si>
    <t>Clerk III</t>
  </si>
  <si>
    <t>Clerk IV</t>
  </si>
  <si>
    <t>Clerk of Court I</t>
  </si>
  <si>
    <t>Clerk of Court II</t>
  </si>
  <si>
    <t>Clerk of Court III</t>
  </si>
  <si>
    <t>Clerk of Court IV</t>
  </si>
  <si>
    <t>Clerk of Court V</t>
  </si>
  <si>
    <t>Clerk of Court VI</t>
  </si>
  <si>
    <t>Clerk of Court VII</t>
  </si>
  <si>
    <t>Clerk of the Commission</t>
  </si>
  <si>
    <t>Clerk of the Electoral Tribunal</t>
  </si>
  <si>
    <t>Clothes Designer</t>
  </si>
  <si>
    <t>Collector of Customs I</t>
  </si>
  <si>
    <t>Collector of Customs II</t>
  </si>
  <si>
    <t>Collector of Customs III</t>
  </si>
  <si>
    <t>Collector of Customs IV</t>
  </si>
  <si>
    <t>Collector of Customs V</t>
  </si>
  <si>
    <t>Collector of Customs VI</t>
  </si>
  <si>
    <t>College Administrator I</t>
  </si>
  <si>
    <t>College Administrator II</t>
  </si>
  <si>
    <t>College Business Manager I</t>
  </si>
  <si>
    <t>College Business Manager II</t>
  </si>
  <si>
    <t>College Business Manager III</t>
  </si>
  <si>
    <t>College Business Manager IV</t>
  </si>
  <si>
    <t>College Department Head</t>
  </si>
  <si>
    <t>College Librarian I</t>
  </si>
  <si>
    <t>College Librarian II</t>
  </si>
  <si>
    <t>College Librarian III</t>
  </si>
  <si>
    <t>College Librarian IV</t>
  </si>
  <si>
    <t>College Librarian V</t>
  </si>
  <si>
    <t>College Professor</t>
  </si>
  <si>
    <t>College Professor - CP</t>
  </si>
  <si>
    <t>Colonel</t>
  </si>
  <si>
    <t>Color Separation Technician I</t>
  </si>
  <si>
    <t>Color Separation Technician II</t>
  </si>
  <si>
    <t>Commander</t>
  </si>
  <si>
    <t>Commander (Supervising Hydrographic Engineer II)</t>
  </si>
  <si>
    <t>Commander, NAMRIA</t>
  </si>
  <si>
    <t>Commission Chairman I</t>
  </si>
  <si>
    <t>Commission Chairman II</t>
  </si>
  <si>
    <t>Commission Chairman III</t>
  </si>
  <si>
    <t>Commission Chairman IV</t>
  </si>
  <si>
    <t>Commission Member I</t>
  </si>
  <si>
    <t>Commission Member II</t>
  </si>
  <si>
    <t>Commission Member III</t>
  </si>
  <si>
    <t>Commission Member IV</t>
  </si>
  <si>
    <t>Commissioner I</t>
  </si>
  <si>
    <t>Commissioner II</t>
  </si>
  <si>
    <t>Commissioner III</t>
  </si>
  <si>
    <t>Commissioner of Customs</t>
  </si>
  <si>
    <t>Commissioner of Internal Revenue</t>
  </si>
  <si>
    <t>Commissioner, Constitutional Commission</t>
  </si>
  <si>
    <t>Committee Head (Ex-Officio)</t>
  </si>
  <si>
    <t>Committee Member (Ex-Officio)</t>
  </si>
  <si>
    <t>Commodore</t>
  </si>
  <si>
    <t>Communications Development Officer I</t>
  </si>
  <si>
    <t>Communications Development Officer II</t>
  </si>
  <si>
    <t>Communications Equipment Inspector I</t>
  </si>
  <si>
    <t>Communications Equipment Inspector II</t>
  </si>
  <si>
    <t>Communications Equipment Operator I</t>
  </si>
  <si>
    <t>Communications Equipment Operator II</t>
  </si>
  <si>
    <t>Communications Equipment Operator III</t>
  </si>
  <si>
    <t>Communications Equipment Operator IV</t>
  </si>
  <si>
    <t>Communications Equipment Operator V</t>
  </si>
  <si>
    <t>Community Affairs Assistant I</t>
  </si>
  <si>
    <t>Community Affairs Assistant II</t>
  </si>
  <si>
    <t>Community Affairs Officer I</t>
  </si>
  <si>
    <t>Community Affairs Officer II</t>
  </si>
  <si>
    <t>Community Affairs Officer III</t>
  </si>
  <si>
    <t>Community Affairs Officer IV</t>
  </si>
  <si>
    <t>Community Affairs Officer V</t>
  </si>
  <si>
    <t>Community Development Assistant I</t>
  </si>
  <si>
    <t>Community Development Assistant II</t>
  </si>
  <si>
    <t>Community Development Officer I</t>
  </si>
  <si>
    <t>Community Development Officer II</t>
  </si>
  <si>
    <t>Community Development Officer III</t>
  </si>
  <si>
    <t>Community Development Officer IV</t>
  </si>
  <si>
    <t>Community Development Officer V</t>
  </si>
  <si>
    <t>Community Environment and Natural Resources Officer</t>
  </si>
  <si>
    <t>Computer File Librarian I</t>
  </si>
  <si>
    <t>Computer File Librarian II</t>
  </si>
  <si>
    <t>Computer File Librarian III</t>
  </si>
  <si>
    <t>Computer Maintenance Technologist I</t>
  </si>
  <si>
    <t>Computer Maintenance Technologist II</t>
  </si>
  <si>
    <t>Computer Maintenance Technologist III</t>
  </si>
  <si>
    <t>Computer Operator I</t>
  </si>
  <si>
    <t>Computer Operator II</t>
  </si>
  <si>
    <t>Computer Operator III</t>
  </si>
  <si>
    <t>Computer Operator IV</t>
  </si>
  <si>
    <t>Computer Programmer I</t>
  </si>
  <si>
    <t>Computer Programmer II</t>
  </si>
  <si>
    <t>Computer Programmer III</t>
  </si>
  <si>
    <t>Conciliator</t>
  </si>
  <si>
    <t>Conciliator-Mediator</t>
  </si>
  <si>
    <t>Confidential Positions</t>
  </si>
  <si>
    <t>Construction and Maintenance Capataz</t>
  </si>
  <si>
    <t>Construction and Maintenance Foreman</t>
  </si>
  <si>
    <t>Construction and Maintenance General Foreman</t>
  </si>
  <si>
    <t>Construction and Maintenance Man</t>
  </si>
  <si>
    <t>Construction Equipment Operator</t>
  </si>
  <si>
    <t>Contested Ballot Box Custodian I</t>
  </si>
  <si>
    <t>Contested Ballot Box Custodian II</t>
  </si>
  <si>
    <t>Cook I</t>
  </si>
  <si>
    <t>Cook II</t>
  </si>
  <si>
    <t>Cooperatives Development Specialist I</t>
  </si>
  <si>
    <t>Cooperatives Development Specialist II</t>
  </si>
  <si>
    <t>Copy Reader</t>
  </si>
  <si>
    <t>Copyright Examiner</t>
  </si>
  <si>
    <t>Core Driller I</t>
  </si>
  <si>
    <t>Core Driller II</t>
  </si>
  <si>
    <t>Corporal</t>
  </si>
  <si>
    <t>Corporate Governance Officer I</t>
  </si>
  <si>
    <t>Corporate Governance Officer II</t>
  </si>
  <si>
    <t>Corporate Governance Officer III</t>
  </si>
  <si>
    <t>Corporate Governance Officer IV</t>
  </si>
  <si>
    <t>Corporate Governance Officer V</t>
  </si>
  <si>
    <t>Council Chairman I</t>
  </si>
  <si>
    <t>Council Chairman II</t>
  </si>
  <si>
    <t>Council Chairman III</t>
  </si>
  <si>
    <t>Council Chairman IV</t>
  </si>
  <si>
    <t>Council Member I</t>
  </si>
  <si>
    <t>Council Member II</t>
  </si>
  <si>
    <t>Council Member III</t>
  </si>
  <si>
    <t>Council Member IV</t>
  </si>
  <si>
    <t>Council/Commission/Board Chairman III</t>
  </si>
  <si>
    <t>Court Administrator of the Supreme Court</t>
  </si>
  <si>
    <t>Court Attorney I</t>
  </si>
  <si>
    <t>Court Attorney II</t>
  </si>
  <si>
    <t>Court Attorney III</t>
  </si>
  <si>
    <t>Court Attorney IV</t>
  </si>
  <si>
    <t>Court Attorney V</t>
  </si>
  <si>
    <t>Court Attorney VI</t>
  </si>
  <si>
    <t>Court Legal Researcher I</t>
  </si>
  <si>
    <t>Court Legal Researcher II</t>
  </si>
  <si>
    <t>Court Legal Researcher III</t>
  </si>
  <si>
    <t>Court of Appeals Reporter I</t>
  </si>
  <si>
    <t>Court of Appeals Reporter II</t>
  </si>
  <si>
    <t>Court Secretary I</t>
  </si>
  <si>
    <t>Court Secretary II</t>
  </si>
  <si>
    <t>Court Stenographer I</t>
  </si>
  <si>
    <t>Court Stenographer II</t>
  </si>
  <si>
    <t>Court Stenographer III</t>
  </si>
  <si>
    <t>Court Stenographer IV</t>
  </si>
  <si>
    <t>Coxswain</t>
  </si>
  <si>
    <t>Crafts and Trades Helper</t>
  </si>
  <si>
    <t>Crafts Education Demonstrator I</t>
  </si>
  <si>
    <t>Crafts Education Demonstrator II</t>
  </si>
  <si>
    <t>Creative Arts Specialist I</t>
  </si>
  <si>
    <t>Creative Arts Specialist II</t>
  </si>
  <si>
    <t>Creative Arts Specialist III</t>
  </si>
  <si>
    <t>Creative Arts Specialist IV</t>
  </si>
  <si>
    <t>Creative Arts Specialist V</t>
  </si>
  <si>
    <t>Credit Officer I</t>
  </si>
  <si>
    <t>Credit Officer II</t>
  </si>
  <si>
    <t>Credit Officer III</t>
  </si>
  <si>
    <t>Credit Officer IV</t>
  </si>
  <si>
    <t>Crime Investigator I</t>
  </si>
  <si>
    <t>Crime Investigator II</t>
  </si>
  <si>
    <t>Crime Investigator III</t>
  </si>
  <si>
    <t>Crime Investigator IV</t>
  </si>
  <si>
    <t>Crime Investigator V</t>
  </si>
  <si>
    <t>Cryptanalyst</t>
  </si>
  <si>
    <t>Customs Gatekeeper</t>
  </si>
  <si>
    <t>Customs Operations Officer I</t>
  </si>
  <si>
    <t>Customs Operations Officer II</t>
  </si>
  <si>
    <t>Customs Operations Officer III</t>
  </si>
  <si>
    <t>Customs Operations Officer IV</t>
  </si>
  <si>
    <t>Customs Operations Officer V</t>
  </si>
  <si>
    <t>Cutter Service Supervisor</t>
  </si>
  <si>
    <t>Dangerous Drugs Regulation Officer I</t>
  </si>
  <si>
    <t>Dangerous Drugs Regulation Officer II</t>
  </si>
  <si>
    <t>Dangerous Drugs Regulation Officer III</t>
  </si>
  <si>
    <t>Dangerous Drugs Regulation Officer IV</t>
  </si>
  <si>
    <t>Dangerous Drugs Regulation Officer V</t>
  </si>
  <si>
    <t>Data Controller I</t>
  </si>
  <si>
    <t>Data Controller II</t>
  </si>
  <si>
    <t>Data Controller III</t>
  </si>
  <si>
    <t>Data Controller IV</t>
  </si>
  <si>
    <t>Data Entry Machine Operator I</t>
  </si>
  <si>
    <t>Data Entry Machine Operator II</t>
  </si>
  <si>
    <t>Data Entry Machine Operator III</t>
  </si>
  <si>
    <t>Data Entry Machine Operator IV</t>
  </si>
  <si>
    <t>Day Care Worker I</t>
  </si>
  <si>
    <t>Day Care Worker II</t>
  </si>
  <si>
    <t>Deeds Registry Inspector I</t>
  </si>
  <si>
    <t>Deeds Registry Inspector II</t>
  </si>
  <si>
    <t>Deeds Registry Inspector III</t>
  </si>
  <si>
    <t>Deeds Registry Inspector IV</t>
  </si>
  <si>
    <t>Deeds Registry Inspector V</t>
  </si>
  <si>
    <t>Defense Research Officer I</t>
  </si>
  <si>
    <t>Defense Research Officer II</t>
  </si>
  <si>
    <t>Dental Aide</t>
  </si>
  <si>
    <t>Dental Hygienist</t>
  </si>
  <si>
    <t>Dental Program Supervisor</t>
  </si>
  <si>
    <t>Dentist I</t>
  </si>
  <si>
    <t>Dentist II</t>
  </si>
  <si>
    <t>Dentist III</t>
  </si>
  <si>
    <t>Dentist IV</t>
  </si>
  <si>
    <t>Dentist V</t>
  </si>
  <si>
    <t>Dentist VI</t>
  </si>
  <si>
    <t>Dentist VII</t>
  </si>
  <si>
    <t>Department Assistant Secretary</t>
  </si>
  <si>
    <t>Department Legislative Liaison Officer</t>
  </si>
  <si>
    <t>Department Legislative Liaison Specialist</t>
  </si>
  <si>
    <t>Department Secretary</t>
  </si>
  <si>
    <t>Department Undersecretary</t>
  </si>
  <si>
    <t>Deputy Administrator I</t>
  </si>
  <si>
    <t>Deputy Administrator II</t>
  </si>
  <si>
    <t>Deputy Administrator III</t>
  </si>
  <si>
    <t>Deputy Chief Public Attorney</t>
  </si>
  <si>
    <t>Deputy Clerk of the Electoral Tribunal</t>
  </si>
  <si>
    <t>Deputy Commissioner I</t>
  </si>
  <si>
    <t>Deputy Commissioner II</t>
  </si>
  <si>
    <t>Deputy Commissioner III</t>
  </si>
  <si>
    <t>Deputy Commissioner of Customs</t>
  </si>
  <si>
    <t>Deputy Commissioner of Internal Revenue</t>
  </si>
  <si>
    <t>Deputy Court Administrator of the Supreme Court</t>
  </si>
  <si>
    <t>Deputy Director-General</t>
  </si>
  <si>
    <t>Deputy Director-General, PNP</t>
  </si>
  <si>
    <t>Deputy Executive Director I</t>
  </si>
  <si>
    <t>Deputy Executive Director II</t>
  </si>
  <si>
    <t>Deputy Executive Director III</t>
  </si>
  <si>
    <t>Deputy Executive Director IV</t>
  </si>
  <si>
    <t>Deputy Executive Director V</t>
  </si>
  <si>
    <t>Deputy Executive Secretary</t>
  </si>
  <si>
    <t>Deputy Government Corporate Counsel</t>
  </si>
  <si>
    <t>Deputy Insurance Commissioner</t>
  </si>
  <si>
    <t>Deputy Ombudsman</t>
  </si>
  <si>
    <t>Deputy Press Secretary</t>
  </si>
  <si>
    <t>Deputy Regional Governor</t>
  </si>
  <si>
    <t>Deputy Register of Deeds I</t>
  </si>
  <si>
    <t>Deputy Register of Deeds II</t>
  </si>
  <si>
    <t>Deputy Register of Deeds III</t>
  </si>
  <si>
    <t>Deputy Register of Deeds IV</t>
  </si>
  <si>
    <t>Deputy Secretary of the Commission on Appointments</t>
  </si>
  <si>
    <t>Deputy Secretary of the House Electoral Tribunal</t>
  </si>
  <si>
    <t>Deputy Secretary of the Senate</t>
  </si>
  <si>
    <t>Deputy Secretary of the Senate Electoral Tribunal</t>
  </si>
  <si>
    <t>Deputy Secretary-General of the House of Representatives</t>
  </si>
  <si>
    <t>Deputy Special Prosecutor</t>
  </si>
  <si>
    <t>Deputy Treasurer of the Philippines</t>
  </si>
  <si>
    <t>Development Management Officer I</t>
  </si>
  <si>
    <t>Development Management Officer II</t>
  </si>
  <si>
    <t>Development Management Officer III</t>
  </si>
  <si>
    <t>Development Management Officer IV</t>
  </si>
  <si>
    <t>Development Management Officer V</t>
  </si>
  <si>
    <t>Diary Plant Superintendent</t>
  </si>
  <si>
    <t>Dietary Adviser</t>
  </si>
  <si>
    <t>Director</t>
  </si>
  <si>
    <t>Director I</t>
  </si>
  <si>
    <t>Director II</t>
  </si>
  <si>
    <t>Director III</t>
  </si>
  <si>
    <t>Director IV</t>
  </si>
  <si>
    <t>Director V</t>
  </si>
  <si>
    <t>Director VI</t>
  </si>
  <si>
    <t>Director-General</t>
  </si>
  <si>
    <t>Director-General, PNP</t>
  </si>
  <si>
    <t>Disbursing Officer I</t>
  </si>
  <si>
    <t>Disbursing Officer II</t>
  </si>
  <si>
    <t>District Engineer</t>
  </si>
  <si>
    <t>District Health Officer I</t>
  </si>
  <si>
    <t>District Health Officer II</t>
  </si>
  <si>
    <t>Docking and Rigging Foreman</t>
  </si>
  <si>
    <t>Dockman-Diver I</t>
  </si>
  <si>
    <t>Dockman-Diver II</t>
  </si>
  <si>
    <t>Dockman-Rigger I</t>
  </si>
  <si>
    <t>Dockman-Rigger II</t>
  </si>
  <si>
    <t>Document Examiner I</t>
  </si>
  <si>
    <t>Document Examiner II</t>
  </si>
  <si>
    <t>Document Examiner III</t>
  </si>
  <si>
    <t>Document Examiner IV</t>
  </si>
  <si>
    <t>Document Examiner V</t>
  </si>
  <si>
    <t>Dormitory Attendant</t>
  </si>
  <si>
    <t>Dormitory Manager I</t>
  </si>
  <si>
    <t>Dormitory Manager II</t>
  </si>
  <si>
    <t>Dormitory Manager III</t>
  </si>
  <si>
    <t>Dormitory Manager IV</t>
  </si>
  <si>
    <t>Draftsman I</t>
  </si>
  <si>
    <t>Draftsman II</t>
  </si>
  <si>
    <t>Draftsman III</t>
  </si>
  <si>
    <t>Draftsman IV</t>
  </si>
  <si>
    <t>Dredge Master I</t>
  </si>
  <si>
    <t>Dredge Master II</t>
  </si>
  <si>
    <t>Dredge Master III</t>
  </si>
  <si>
    <t>Dredge Master IV</t>
  </si>
  <si>
    <t>Dredgeman Foreman</t>
  </si>
  <si>
    <t>Dredgeman I</t>
  </si>
  <si>
    <t>Dredgeman II</t>
  </si>
  <si>
    <t>Driver Courier I</t>
  </si>
  <si>
    <t>Driver Courier II</t>
  </si>
  <si>
    <t>Driver I</t>
  </si>
  <si>
    <t>Driver II</t>
  </si>
  <si>
    <t>Driver-Mechanic</t>
  </si>
  <si>
    <t>Driving Skills Rater</t>
  </si>
  <si>
    <t>Economic Development Analyst</t>
  </si>
  <si>
    <t>Economic Development Specialist I</t>
  </si>
  <si>
    <t>Economic Development Specialist II</t>
  </si>
  <si>
    <t>Economic Researcher</t>
  </si>
  <si>
    <t>Economist I</t>
  </si>
  <si>
    <t>Economist II</t>
  </si>
  <si>
    <t>Economist III</t>
  </si>
  <si>
    <t>Economist IV</t>
  </si>
  <si>
    <t>Economist V</t>
  </si>
  <si>
    <t>Ecosystems Management Specialist I</t>
  </si>
  <si>
    <t>Ecosystems Management Specialist II</t>
  </si>
  <si>
    <t>Education Program Specialist I</t>
  </si>
  <si>
    <t>Education Program Specialist II</t>
  </si>
  <si>
    <t>Education Program Supervisor</t>
  </si>
  <si>
    <t>Education Research Assistant I</t>
  </si>
  <si>
    <t>Education Research Assistant II</t>
  </si>
  <si>
    <t>Education Supervisor I</t>
  </si>
  <si>
    <t>Education Supervisor II</t>
  </si>
  <si>
    <t>Education Supervisor III</t>
  </si>
  <si>
    <t>Election Assistant I</t>
  </si>
  <si>
    <t>Election Assistant II</t>
  </si>
  <si>
    <t>Election Field Officer</t>
  </si>
  <si>
    <t>Election Officer I</t>
  </si>
  <si>
    <t>Election Officer II</t>
  </si>
  <si>
    <t>Election Officer III</t>
  </si>
  <si>
    <t>Election Officer IV</t>
  </si>
  <si>
    <t>Election Precincts Analyst I</t>
  </si>
  <si>
    <t>Election Precincts Analyst II</t>
  </si>
  <si>
    <t>Electrical Inspector I</t>
  </si>
  <si>
    <t>Electrical Inspector II</t>
  </si>
  <si>
    <t>Electrician Foreman</t>
  </si>
  <si>
    <t>Electrician General Foreman</t>
  </si>
  <si>
    <t>Electrician I</t>
  </si>
  <si>
    <t>Electrician II</t>
  </si>
  <si>
    <t>Electron Microscopist</t>
  </si>
  <si>
    <t>Electronics and Communications Equipment Technician I</t>
  </si>
  <si>
    <t>Electronics and Communications Equipment Technician II</t>
  </si>
  <si>
    <t>Electronics and Communications Equipment Technician III</t>
  </si>
  <si>
    <t>Electronics and Communications Equipment Technician IV</t>
  </si>
  <si>
    <t>Electrotyper I</t>
  </si>
  <si>
    <t>Electrotyper II</t>
  </si>
  <si>
    <t>Electrotyper III</t>
  </si>
  <si>
    <t>Electrotyper IV</t>
  </si>
  <si>
    <t>Elementary School Principal I</t>
  </si>
  <si>
    <t>Elementary School Principal II</t>
  </si>
  <si>
    <t>Elementary School Principal III</t>
  </si>
  <si>
    <t>Elementary School Principal IV</t>
  </si>
  <si>
    <t>Emigrant Services Officer I</t>
  </si>
  <si>
    <t>Emigrant Services Officer II</t>
  </si>
  <si>
    <t>Energy Regulation Assistant</t>
  </si>
  <si>
    <t>Energy Regulation Officer I</t>
  </si>
  <si>
    <t>Energy Regulation Officer II</t>
  </si>
  <si>
    <t>Engineer I</t>
  </si>
  <si>
    <t>Engineer II</t>
  </si>
  <si>
    <t>Engineer III</t>
  </si>
  <si>
    <t>Engineer IV</t>
  </si>
  <si>
    <t>Engineer V</t>
  </si>
  <si>
    <t>Engineering Aide</t>
  </si>
  <si>
    <t>Engineering Assistant</t>
  </si>
  <si>
    <t>Ensign</t>
  </si>
  <si>
    <t>Ensign (NRIM Computer Programmer)</t>
  </si>
  <si>
    <t>Ensign, NAMRIA</t>
  </si>
  <si>
    <t>Entomologist I</t>
  </si>
  <si>
    <t>Entomologist II</t>
  </si>
  <si>
    <t>Entomologist III</t>
  </si>
  <si>
    <t>Environmental Management Researcher</t>
  </si>
  <si>
    <t>Environmental Management Specialist I</t>
  </si>
  <si>
    <t>Environmental Management Specialist II</t>
  </si>
  <si>
    <t>Equine Evaluator</t>
  </si>
  <si>
    <t>Executive Assistant I</t>
  </si>
  <si>
    <t>Executive Assistant II</t>
  </si>
  <si>
    <t>Executive Assistant III</t>
  </si>
  <si>
    <t>Executive Assistant IV</t>
  </si>
  <si>
    <t>Executive Assistant V</t>
  </si>
  <si>
    <t>Executive Assistant VI</t>
  </si>
  <si>
    <t>Executive Clerk of Court I</t>
  </si>
  <si>
    <t>Executive Clerk of Court II</t>
  </si>
  <si>
    <t>Executive Clerk of Court III</t>
  </si>
  <si>
    <t>Executive Clerk of Court IV</t>
  </si>
  <si>
    <t>Executive Clerk of Court V</t>
  </si>
  <si>
    <t>Executive Conciliator-Mediator</t>
  </si>
  <si>
    <t>Executive Director I</t>
  </si>
  <si>
    <t>Executive Director II</t>
  </si>
  <si>
    <t>Executive Director III</t>
  </si>
  <si>
    <t>Executive Director IV</t>
  </si>
  <si>
    <t>Executive Director V</t>
  </si>
  <si>
    <t>Executive News Editor</t>
  </si>
  <si>
    <t>Executive Secretary</t>
  </si>
  <si>
    <t>Fabric Worker I</t>
  </si>
  <si>
    <t>Fabric Worker II</t>
  </si>
  <si>
    <t>Farm Foreman</t>
  </si>
  <si>
    <t>Farm Superintendent I</t>
  </si>
  <si>
    <t>Farm Superintendent II</t>
  </si>
  <si>
    <t>Farm Superintendent III</t>
  </si>
  <si>
    <t>Farm Supervisor</t>
  </si>
  <si>
    <t>Farm Worker I</t>
  </si>
  <si>
    <t>Farm Worker II</t>
  </si>
  <si>
    <t>Fiber Development Officer I</t>
  </si>
  <si>
    <t>Fiber Development Officer II</t>
  </si>
  <si>
    <t>Fiber Technician</t>
  </si>
  <si>
    <t>Fidelity Bond Examiner I</t>
  </si>
  <si>
    <t>Fidelity Bond Examiner II</t>
  </si>
  <si>
    <t>Film Custodian I</t>
  </si>
  <si>
    <t>Film Custodian II</t>
  </si>
  <si>
    <t>Film Editor I</t>
  </si>
  <si>
    <t>Film Editor II</t>
  </si>
  <si>
    <t>Film Preview Assistant I</t>
  </si>
  <si>
    <t>Film Preview Assistant II</t>
  </si>
  <si>
    <t>Financial Analyst I</t>
  </si>
  <si>
    <t>Financial Analyst II</t>
  </si>
  <si>
    <t>Financial Analyst III</t>
  </si>
  <si>
    <t>Financial Analyst IV</t>
  </si>
  <si>
    <t>Financial Analyst V</t>
  </si>
  <si>
    <t>Financial and Management Officer I</t>
  </si>
  <si>
    <t>Financial and Management Officer II</t>
  </si>
  <si>
    <t>Financial Claims Examiner I</t>
  </si>
  <si>
    <t>Financial Claims Examiner II</t>
  </si>
  <si>
    <t>Financial Claims Examiner III</t>
  </si>
  <si>
    <t>Fingerprint Examiner I</t>
  </si>
  <si>
    <t>Fingerprint Examiner II</t>
  </si>
  <si>
    <t>Fingerprint Examiner III</t>
  </si>
  <si>
    <t>Fingerprint Examiner IV</t>
  </si>
  <si>
    <t>Fingerprint Examiner V</t>
  </si>
  <si>
    <t>Fingerprinting Aide</t>
  </si>
  <si>
    <t>Fire Marshall I</t>
  </si>
  <si>
    <t>Fire Marshall II</t>
  </si>
  <si>
    <t>Fire Officer I</t>
  </si>
  <si>
    <t>Fire Officer II</t>
  </si>
  <si>
    <t>Fire Officer III</t>
  </si>
  <si>
    <t>Firearms and Explosives Inspector I</t>
  </si>
  <si>
    <t>Firearms and Explosives Inspector II</t>
  </si>
  <si>
    <t>Firearms and Explosives Processor I</t>
  </si>
  <si>
    <t>Firearms and Explosives Processor II</t>
  </si>
  <si>
    <t>Firearms and Explosives Processor III</t>
  </si>
  <si>
    <t>Firearms and Explosives Processor IV</t>
  </si>
  <si>
    <t>Firearms and Explosives Production Coordinator</t>
  </si>
  <si>
    <t>Firefighter I</t>
  </si>
  <si>
    <t>Firefighter II</t>
  </si>
  <si>
    <t>Firefighter III</t>
  </si>
  <si>
    <t>Firefighter IV</t>
  </si>
  <si>
    <t>First Chief Master Sergeant</t>
  </si>
  <si>
    <t>First Lieutenant</t>
  </si>
  <si>
    <t>First Master Chief Petty Officer</t>
  </si>
  <si>
    <t>First Mate</t>
  </si>
  <si>
    <t>Fiscal Clerk I</t>
  </si>
  <si>
    <t>Fiscal Clerk II</t>
  </si>
  <si>
    <t>Fiscal Clerk III</t>
  </si>
  <si>
    <t>Fiscal Controller I</t>
  </si>
  <si>
    <t>Fiscal Controller II</t>
  </si>
  <si>
    <t>Fiscal Controller III</t>
  </si>
  <si>
    <t>Fiscal Controller IV</t>
  </si>
  <si>
    <t>Fiscal Controller V</t>
  </si>
  <si>
    <t>Fiscal Examiner I</t>
  </si>
  <si>
    <t>Fiscal Examiner II</t>
  </si>
  <si>
    <t>Fiscal Examiner III</t>
  </si>
  <si>
    <t>Fiscal Examiner IV</t>
  </si>
  <si>
    <t>Fiscal Examiner V</t>
  </si>
  <si>
    <t>Fish Port Supervisor</t>
  </si>
  <si>
    <t>Fisherman</t>
  </si>
  <si>
    <t>Fishing Regulations Officer I</t>
  </si>
  <si>
    <t>Fishing Regulations Officer II</t>
  </si>
  <si>
    <t>Floating Crane Master</t>
  </si>
  <si>
    <t>Food Service Manager</t>
  </si>
  <si>
    <t>Food Service Supervisor I</t>
  </si>
  <si>
    <t>Food Service Supervisor II</t>
  </si>
  <si>
    <t>Food Service Supervisor III</t>
  </si>
  <si>
    <t>Food Service Supervisor IV</t>
  </si>
  <si>
    <t>Food Technologist I</t>
  </si>
  <si>
    <t>Food Technologist II</t>
  </si>
  <si>
    <t>Food Technologist III</t>
  </si>
  <si>
    <t>Food-Drug Inspector</t>
  </si>
  <si>
    <t>Food-Drug Regulation Officer I</t>
  </si>
  <si>
    <t>Food-Drug Regulation Officer II</t>
  </si>
  <si>
    <t>Food-Drug Regulation Officer III</t>
  </si>
  <si>
    <t>Food-Drug Regulation Officer IV</t>
  </si>
  <si>
    <t>Food-Drug Regulation Officer V</t>
  </si>
  <si>
    <t>Foreign Affairs Adviser</t>
  </si>
  <si>
    <t>Foreign Affairs Research Specialist I</t>
  </si>
  <si>
    <t>Foreign Affairs Research Specialist II</t>
  </si>
  <si>
    <t>Foreign Service Officer, Class I</t>
  </si>
  <si>
    <t>Foreign Service Officer, Class II</t>
  </si>
  <si>
    <t>Foreign Service Officer, Class III</t>
  </si>
  <si>
    <t>Foreign Service Officer, Class IV</t>
  </si>
  <si>
    <t>Foreign Service Staff Employee I</t>
  </si>
  <si>
    <t>Foreign Service Staff Employee II</t>
  </si>
  <si>
    <t>Foreign Service Staff Employee III</t>
  </si>
  <si>
    <t>Foreign Service Staff Officer I</t>
  </si>
  <si>
    <t>Foreign Service Staff Officer II</t>
  </si>
  <si>
    <t>Foreign Service Staff Officer III</t>
  </si>
  <si>
    <t>Foreign Service Staff Officer IV</t>
  </si>
  <si>
    <t>Foreign Trade Service Officer, Class I</t>
  </si>
  <si>
    <t>Foreign Trade Service Officer, Class II</t>
  </si>
  <si>
    <t>Foreign Trade Service Officer, Class III</t>
  </si>
  <si>
    <t>Foreign Trade Service Officer, Class IV</t>
  </si>
  <si>
    <t>Foreign Trade Service Staff Officer</t>
  </si>
  <si>
    <t>Forest Management Specialist I</t>
  </si>
  <si>
    <t>Forest Management Specialist II</t>
  </si>
  <si>
    <t>Forest Ranger</t>
  </si>
  <si>
    <t>Forest Technician I</t>
  </si>
  <si>
    <t>Forest Technician II</t>
  </si>
  <si>
    <t>Forester I</t>
  </si>
  <si>
    <t>Forester II</t>
  </si>
  <si>
    <t>Forester III</t>
  </si>
  <si>
    <t>Forester IV</t>
  </si>
  <si>
    <t>Forester V</t>
  </si>
  <si>
    <t>Foundry Foreman</t>
  </si>
  <si>
    <t>Foundry General Foreman</t>
  </si>
  <si>
    <t>Foundry Worker I</t>
  </si>
  <si>
    <t>Foundry Worker II</t>
  </si>
  <si>
    <t>Freight Service Foreman</t>
  </si>
  <si>
    <t>Freight Service Supervisor I</t>
  </si>
  <si>
    <t>Freight Service Supervisor II</t>
  </si>
  <si>
    <t>Fumigation Assistant Supervisor</t>
  </si>
  <si>
    <t>Fumigation Supervisor</t>
  </si>
  <si>
    <t>Fumigator</t>
  </si>
  <si>
    <t>Fumigator Foreman</t>
  </si>
  <si>
    <t>General</t>
  </si>
  <si>
    <t>General Manager</t>
  </si>
  <si>
    <t>Geologic Aide</t>
  </si>
  <si>
    <t>Geologist I</t>
  </si>
  <si>
    <t>Geologist II</t>
  </si>
  <si>
    <t>Geophysicist I</t>
  </si>
  <si>
    <t>Geophysicist II</t>
  </si>
  <si>
    <t>Geophysicist III</t>
  </si>
  <si>
    <t>Geophysicist IV</t>
  </si>
  <si>
    <t>Geophysicist V</t>
  </si>
  <si>
    <t>Government Corporate Attorney I</t>
  </si>
  <si>
    <t>Government Corporate Attorney II</t>
  </si>
  <si>
    <t>Government Corporate Attorney III</t>
  </si>
  <si>
    <t>Government Corporate Attorney IV</t>
  </si>
  <si>
    <t>Government Corporate Counsel</t>
  </si>
  <si>
    <t>Graft Investigation Officer I</t>
  </si>
  <si>
    <t>Graft Investigation Officer II</t>
  </si>
  <si>
    <t>Graft Investigation Officer III</t>
  </si>
  <si>
    <t>Graft Prevention and Control Officer I</t>
  </si>
  <si>
    <t>Graft Prevention and Control Officer II</t>
  </si>
  <si>
    <t>Graft Prevention and Control Officer III</t>
  </si>
  <si>
    <t>Graft Prevention and Control Officer IV</t>
  </si>
  <si>
    <t>Graft Prevention and Control Officer V</t>
  </si>
  <si>
    <t>Guesthouse Caretaker</t>
  </si>
  <si>
    <t>Guidance Coordinator I</t>
  </si>
  <si>
    <t>Guidance Coordinator II</t>
  </si>
  <si>
    <t>Guidance Coordinator III</t>
  </si>
  <si>
    <t>Guidance Counselor I</t>
  </si>
  <si>
    <t>Guidance Counselor II</t>
  </si>
  <si>
    <t>Guidance Counselor III</t>
  </si>
  <si>
    <t>Guidance Services Associate I</t>
  </si>
  <si>
    <t>Guidance Services Associate II</t>
  </si>
  <si>
    <t>Guidance Services Specialist I</t>
  </si>
  <si>
    <t>Guidance Services Specialist II</t>
  </si>
  <si>
    <t>Guidance Services Specialist III</t>
  </si>
  <si>
    <t>Guidance Services Specialist IV</t>
  </si>
  <si>
    <t>Guidance Services Specialist V</t>
  </si>
  <si>
    <t>Handicraft Worker I</t>
  </si>
  <si>
    <t>Handicraft Worker II</t>
  </si>
  <si>
    <t>Handicraft Worker III</t>
  </si>
  <si>
    <t>Harbor Operations Assistant</t>
  </si>
  <si>
    <t>Head Civil Service Field Officer</t>
  </si>
  <si>
    <t>Head Executive Assistant</t>
  </si>
  <si>
    <t>Head Pressman</t>
  </si>
  <si>
    <t>Head Teacher I</t>
  </si>
  <si>
    <t>Head Teacher II</t>
  </si>
  <si>
    <t>Head Teacher III</t>
  </si>
  <si>
    <t>Head Teacher IV</t>
  </si>
  <si>
    <t>Head Teacher V</t>
  </si>
  <si>
    <t>Head Teacher VI</t>
  </si>
  <si>
    <t>Health Education and Promotion Adviser</t>
  </si>
  <si>
    <t>Health Education and Promotion Officer I</t>
  </si>
  <si>
    <t>Health Education and Promotion Officer II</t>
  </si>
  <si>
    <t>Health Education and Promotion Officer III</t>
  </si>
  <si>
    <t>Health Education and Promotion Officer IV</t>
  </si>
  <si>
    <t>Health Education and Promotion Officer V</t>
  </si>
  <si>
    <t>Health Physicist I</t>
  </si>
  <si>
    <t>Health Physicist II</t>
  </si>
  <si>
    <t>Health Physicist III</t>
  </si>
  <si>
    <t>Health Physicist IV</t>
  </si>
  <si>
    <t>Health Physics Technician</t>
  </si>
  <si>
    <t>Health Program Officer I</t>
  </si>
  <si>
    <t>Health Program Officer II</t>
  </si>
  <si>
    <t>Health Program Research Assistant</t>
  </si>
  <si>
    <t>Health Program Researcher</t>
  </si>
  <si>
    <t>Heavy Equipment Operator I</t>
  </si>
  <si>
    <t>Heavy Equipment Operator II</t>
  </si>
  <si>
    <t>Heavy Equipment Operator III</t>
  </si>
  <si>
    <t>Historic Sites Development Officer I</t>
  </si>
  <si>
    <t>Historic Sites Development Officer II</t>
  </si>
  <si>
    <t>History Researcher I</t>
  </si>
  <si>
    <t>History Researcher II</t>
  </si>
  <si>
    <t>Home Management Specialist I</t>
  </si>
  <si>
    <t>Home Management Specialist II</t>
  </si>
  <si>
    <t>Home Management Technologist</t>
  </si>
  <si>
    <t>Hospital Administration Specialist</t>
  </si>
  <si>
    <t>Hospital Housekeeper</t>
  </si>
  <si>
    <t>Household Attendant I</t>
  </si>
  <si>
    <t>Household Attendant II</t>
  </si>
  <si>
    <t>Household Attendant III</t>
  </si>
  <si>
    <t>Household Manager</t>
  </si>
  <si>
    <t>Houseparent I</t>
  </si>
  <si>
    <t>Houseparent II</t>
  </si>
  <si>
    <t>Houseparent III</t>
  </si>
  <si>
    <t>Houseparent IV</t>
  </si>
  <si>
    <t>Housing and Homesite Regulation Assistant</t>
  </si>
  <si>
    <t>Housing and Homesite Regulation Officer I</t>
  </si>
  <si>
    <t>Housing and Homesite Regulation Officer II</t>
  </si>
  <si>
    <t>Housing and Homesite Regulation Officer III</t>
  </si>
  <si>
    <t>Housing and Homesite Regulation Officer IV</t>
  </si>
  <si>
    <t>Housing and Homesite Regulation Officer V</t>
  </si>
  <si>
    <t>Housing and Homesite Regulation Officer VI</t>
  </si>
  <si>
    <t>Human Resource Management Aide</t>
  </si>
  <si>
    <t>Human Resource Management Assistant</t>
  </si>
  <si>
    <t>Human Resource Management Officer I</t>
  </si>
  <si>
    <t>Human Resource Management Officer II</t>
  </si>
  <si>
    <t>Human Resource Management Officer III</t>
  </si>
  <si>
    <t>Human Resource Management Officer IV</t>
  </si>
  <si>
    <t>Human Resource Management Officer V</t>
  </si>
  <si>
    <t>Identification Officer I</t>
  </si>
  <si>
    <t>Identification Officer II</t>
  </si>
  <si>
    <t>Illustrator I</t>
  </si>
  <si>
    <t>Illustrator II</t>
  </si>
  <si>
    <t>Immigration Assistant</t>
  </si>
  <si>
    <t>Immigration Officer I</t>
  </si>
  <si>
    <t>Immigration Officer II</t>
  </si>
  <si>
    <t>Immigration Officer III</t>
  </si>
  <si>
    <t>Industrial Design Analyst</t>
  </si>
  <si>
    <t>Industrial Design Specialist</t>
  </si>
  <si>
    <t>Industrial Project Training Supervisor</t>
  </si>
  <si>
    <t>Information Officer I</t>
  </si>
  <si>
    <t>Information Officer II</t>
  </si>
  <si>
    <t>Information Officer III</t>
  </si>
  <si>
    <t>Information Officer IV</t>
  </si>
  <si>
    <t>Information Officer V</t>
  </si>
  <si>
    <t>Information Systems Analyst I</t>
  </si>
  <si>
    <t>Information Systems Analyst II</t>
  </si>
  <si>
    <t>Information Systems Analyst III</t>
  </si>
  <si>
    <t>Information Systems Researcher I</t>
  </si>
  <si>
    <t>Information Systems Researcher II</t>
  </si>
  <si>
    <t>Information Systems Researcher III</t>
  </si>
  <si>
    <t>Information Technology Officer I</t>
  </si>
  <si>
    <t>Information Technology Officer II</t>
  </si>
  <si>
    <t>Information Technology Officer III</t>
  </si>
  <si>
    <t>Inmate Guidance Chief</t>
  </si>
  <si>
    <t>Inmate Guidance Officer I</t>
  </si>
  <si>
    <t>Inmate Guidance Officer II</t>
  </si>
  <si>
    <t>Inspector</t>
  </si>
  <si>
    <t>Inspector General</t>
  </si>
  <si>
    <t>Instructor I</t>
  </si>
  <si>
    <t>Instructor I (Part-Time)</t>
  </si>
  <si>
    <t>Instructor II</t>
  </si>
  <si>
    <t>Instructor II (Part-Time)</t>
  </si>
  <si>
    <t>Instructor III</t>
  </si>
  <si>
    <t>Instrumentman</t>
  </si>
  <si>
    <t>Insurance Commissioner</t>
  </si>
  <si>
    <t>Insurance Specialist I</t>
  </si>
  <si>
    <t>Insurance Specialist II</t>
  </si>
  <si>
    <t>Intellectual Property Rights Specialist I</t>
  </si>
  <si>
    <t>Intellectual Property Rights Specialist II</t>
  </si>
  <si>
    <t>Intellectual Property Rights Specialist III</t>
  </si>
  <si>
    <t>Intellectual Property Rights Specialist IV</t>
  </si>
  <si>
    <t>Intellectual Property Rights Specialist V</t>
  </si>
  <si>
    <t>Intelligence Agent Aide</t>
  </si>
  <si>
    <t>Intelligence Agent I</t>
  </si>
  <si>
    <t>Intelligence Agent II</t>
  </si>
  <si>
    <t>Intelligence Officer I</t>
  </si>
  <si>
    <t>Intelligence Officer II</t>
  </si>
  <si>
    <t>Intelligence Officer III</t>
  </si>
  <si>
    <t>Intelligence Officer IV</t>
  </si>
  <si>
    <t>Intelligence Officer V</t>
  </si>
  <si>
    <t>Internal Auditing Assistant</t>
  </si>
  <si>
    <t>Internal Auditor I</t>
  </si>
  <si>
    <t>Internal Auditor II</t>
  </si>
  <si>
    <t>Internal Auditor III</t>
  </si>
  <si>
    <t>Internal Auditor IV</t>
  </si>
  <si>
    <t>Internal Auditor V</t>
  </si>
  <si>
    <t>International Civil Aviation Coordinator</t>
  </si>
  <si>
    <t>International Science Relations Officer I</t>
  </si>
  <si>
    <t>International Science Relations Officer II</t>
  </si>
  <si>
    <t>International Science Relations Officer III</t>
  </si>
  <si>
    <t>International Science Relations Officer IV</t>
  </si>
  <si>
    <t>International Science Relations Officer V</t>
  </si>
  <si>
    <t>Interpreter I</t>
  </si>
  <si>
    <t>Interpreter II</t>
  </si>
  <si>
    <t>Interpreter III</t>
  </si>
  <si>
    <t>Investigation Agent I</t>
  </si>
  <si>
    <t>Investigation Agent II</t>
  </si>
  <si>
    <t>Investigation Agent III</t>
  </si>
  <si>
    <t>Investigation Agent IV</t>
  </si>
  <si>
    <t>Investigation Agent V</t>
  </si>
  <si>
    <t>Investigation Agent VI</t>
  </si>
  <si>
    <t>Investments Analyst</t>
  </si>
  <si>
    <t>Investments Specialist</t>
  </si>
  <si>
    <t>Jail Officer I</t>
  </si>
  <si>
    <t>Jail Officer II</t>
  </si>
  <si>
    <t>Jail Officer III</t>
  </si>
  <si>
    <t>Judicial Staff Assistant II</t>
  </si>
  <si>
    <t>Judicial Staff Assistant III</t>
  </si>
  <si>
    <t>Judicial Staff Employee II</t>
  </si>
  <si>
    <t>Judicial Staff Head</t>
  </si>
  <si>
    <t>Judicial Staff Officer III</t>
  </si>
  <si>
    <t>Judicial Staff Officer IV</t>
  </si>
  <si>
    <t>Judicial Staff Officer V</t>
  </si>
  <si>
    <t>Judicial Staff Officer VI</t>
  </si>
  <si>
    <t>Junior Process Server</t>
  </si>
  <si>
    <t>Junior Scholarship Affairs Officer</t>
  </si>
  <si>
    <t>Jurisconsult</t>
  </si>
  <si>
    <t>Labor and Employment Assistant</t>
  </si>
  <si>
    <t>Labor and Employment Officer I</t>
  </si>
  <si>
    <t>Labor and Employment Officer II</t>
  </si>
  <si>
    <t>Labor and Employment Officer III</t>
  </si>
  <si>
    <t>Labor Arbiter</t>
  </si>
  <si>
    <t>Labor Arbitration Associate</t>
  </si>
  <si>
    <t>Labor Foreman</t>
  </si>
  <si>
    <t>Labor General Foreman</t>
  </si>
  <si>
    <t>Laboratory Aide I</t>
  </si>
  <si>
    <t>Laboratory Aide II</t>
  </si>
  <si>
    <t>Laboratory Inspector I</t>
  </si>
  <si>
    <t>Laboratory Inspector II</t>
  </si>
  <si>
    <t>Laboratory Inspector III</t>
  </si>
  <si>
    <t>Laboratory Technician I</t>
  </si>
  <si>
    <t>Laboratory Technician II</t>
  </si>
  <si>
    <t>Laboratory Technician III</t>
  </si>
  <si>
    <t>Laborer I</t>
  </si>
  <si>
    <t>Laborer II</t>
  </si>
  <si>
    <t>Land Management Examiner</t>
  </si>
  <si>
    <t>Land Management Inspector</t>
  </si>
  <si>
    <t>Land Management Officer I</t>
  </si>
  <si>
    <t>Land Management Officer II</t>
  </si>
  <si>
    <t>Land Management Officer III</t>
  </si>
  <si>
    <t>Land Management Officer IV</t>
  </si>
  <si>
    <t>Land Management Officer V</t>
  </si>
  <si>
    <t>Land Registration Examiner I</t>
  </si>
  <si>
    <t>Land Registration Examiner II</t>
  </si>
  <si>
    <t>Landscaping Supervisor</t>
  </si>
  <si>
    <t>Language Researcher I</t>
  </si>
  <si>
    <t>Language Researcher II</t>
  </si>
  <si>
    <t>Launch Patron</t>
  </si>
  <si>
    <t>Launch Service Supervisor</t>
  </si>
  <si>
    <t>Laundry Worker I</t>
  </si>
  <si>
    <t>Laundry Worker II</t>
  </si>
  <si>
    <t>Laundry Worker III</t>
  </si>
  <si>
    <t>Law Education Specialist I</t>
  </si>
  <si>
    <t>Law Education Specialist II</t>
  </si>
  <si>
    <t>Law Education Specialist III</t>
  </si>
  <si>
    <t>Law Education Specialist IV</t>
  </si>
  <si>
    <t>Law Education Specialist V</t>
  </si>
  <si>
    <t>Law Enforcement Evaluation Officer I</t>
  </si>
  <si>
    <t>Law Enforcement Evaluation Officer II</t>
  </si>
  <si>
    <t>Law Enforcement Evaluation Officer III</t>
  </si>
  <si>
    <t>Law Enforcement Evaluation Officer IV</t>
  </si>
  <si>
    <t>Law Enforcement Evaluation Officer V</t>
  </si>
  <si>
    <t>Law Reform Associate I</t>
  </si>
  <si>
    <t>Law Reform Associate II</t>
  </si>
  <si>
    <t>Law Reform Specialist I</t>
  </si>
  <si>
    <t>Law Reform Specialist II</t>
  </si>
  <si>
    <t>Law Reform Specialist III</t>
  </si>
  <si>
    <t>Law Reform Specialist IV</t>
  </si>
  <si>
    <t>Law Reform Specialist V</t>
  </si>
  <si>
    <t>Law Reform Speciallist VI</t>
  </si>
  <si>
    <t>Legal Aide</t>
  </si>
  <si>
    <t>Legal Assistant I</t>
  </si>
  <si>
    <t>Legal Assistant II</t>
  </si>
  <si>
    <t>Legal Officer I</t>
  </si>
  <si>
    <t>Legal Officer II</t>
  </si>
  <si>
    <t>Legal Officer III</t>
  </si>
  <si>
    <t>Legal Officer IV</t>
  </si>
  <si>
    <t>Legal Officer V</t>
  </si>
  <si>
    <t>Legislative Committee Researcher</t>
  </si>
  <si>
    <t>Legislative Committee Secretary</t>
  </si>
  <si>
    <t>Legislative Staff Assistant I</t>
  </si>
  <si>
    <t>Legislative Staff Assistant II</t>
  </si>
  <si>
    <t>Legislative Staff Assistant III</t>
  </si>
  <si>
    <t>Legislative Staff Employee I</t>
  </si>
  <si>
    <t>Legislative Staff Employee II</t>
  </si>
  <si>
    <t>Legislative Staff Head</t>
  </si>
  <si>
    <t>Legislative Staff Officer I</t>
  </si>
  <si>
    <t>Legislative Staff Officer II</t>
  </si>
  <si>
    <t>Legislative Staff Officer III</t>
  </si>
  <si>
    <t>Legislative Staff Officer IV</t>
  </si>
  <si>
    <t>Legislative Staff Officer V</t>
  </si>
  <si>
    <t>Legislative Staff Officer VI</t>
  </si>
  <si>
    <t>Letter Carrier</t>
  </si>
  <si>
    <t>Librarian Aide</t>
  </si>
  <si>
    <t>Librarian I</t>
  </si>
  <si>
    <t>Librarian II</t>
  </si>
  <si>
    <t>Librarian III</t>
  </si>
  <si>
    <t>Librarian IV</t>
  </si>
  <si>
    <t>Librarian V</t>
  </si>
  <si>
    <t>License Inspector I</t>
  </si>
  <si>
    <t>License Inspector II</t>
  </si>
  <si>
    <t>Licensing Officer I</t>
  </si>
  <si>
    <t>Licensing Officer II</t>
  </si>
  <si>
    <t>Licensing Officer III</t>
  </si>
  <si>
    <t>Licensing Officer IV</t>
  </si>
  <si>
    <t>Licensing Officer V</t>
  </si>
  <si>
    <t>Lieutenant Colonel</t>
  </si>
  <si>
    <t>Lieutenant Commander</t>
  </si>
  <si>
    <t>Lieutenant Commander, NAMRIA</t>
  </si>
  <si>
    <t>Lieutenant General</t>
  </si>
  <si>
    <t>Lieutenant Junior Grade, NAMRIA</t>
  </si>
  <si>
    <t>Lieutenant Senior Grade, NAMRIA</t>
  </si>
  <si>
    <t>Lieutenant, Junior Grade</t>
  </si>
  <si>
    <t>Lieutenant, Senior Grade</t>
  </si>
  <si>
    <t>Lifeguard</t>
  </si>
  <si>
    <t>Light Equipment Operator</t>
  </si>
  <si>
    <t>Lighthouse Inspector</t>
  </si>
  <si>
    <t>Lighthouse Keeper I</t>
  </si>
  <si>
    <t>Lighthouse Keeper II</t>
  </si>
  <si>
    <t>Lighthouse Service Supervisor</t>
  </si>
  <si>
    <t>Lineman I</t>
  </si>
  <si>
    <t>Lineman II</t>
  </si>
  <si>
    <t>Lineman III</t>
  </si>
  <si>
    <t>Lineman IV</t>
  </si>
  <si>
    <t>Linguistics Specialist</t>
  </si>
  <si>
    <t>Livestock Inspector I</t>
  </si>
  <si>
    <t>Livestock Inspector II</t>
  </si>
  <si>
    <t>Livestock Inspector III</t>
  </si>
  <si>
    <t>Loan Examiner I</t>
  </si>
  <si>
    <t>Loan Examiner II</t>
  </si>
  <si>
    <t>Loan Examiner III</t>
  </si>
  <si>
    <t>Loan Examiner IV</t>
  </si>
  <si>
    <t>Local Assessment Operations Officer I</t>
  </si>
  <si>
    <t>Local Assessment Operations Officer II</t>
  </si>
  <si>
    <t>Local Assessment Operations Officer III</t>
  </si>
  <si>
    <t>Local Assessment Operations Officer IV</t>
  </si>
  <si>
    <t>Local Assessment Operations Officer V</t>
  </si>
  <si>
    <t>Local Government Operations Officer I</t>
  </si>
  <si>
    <t>Local Government Operations Officer II</t>
  </si>
  <si>
    <t>Local Government Operations Officer III</t>
  </si>
  <si>
    <t>Local Government Operations Officer IV</t>
  </si>
  <si>
    <t>Local Government Operations Officer V</t>
  </si>
  <si>
    <t>Local Government Operations Officer VI</t>
  </si>
  <si>
    <t>Local Government Operations Officer VII</t>
  </si>
  <si>
    <t>Local Government Operations Officer VIII</t>
  </si>
  <si>
    <t>Local Legislative Staff Assistant I</t>
  </si>
  <si>
    <t>Local Legislative Staff Assistant II</t>
  </si>
  <si>
    <t>Local Legislative Staff Assistant III</t>
  </si>
  <si>
    <t>Local Legislative Staff Employee I</t>
  </si>
  <si>
    <t>Local Legislative Staff Employee II</t>
  </si>
  <si>
    <t>Local Legislative Staff Officer I</t>
  </si>
  <si>
    <t>Local Legislative Staff Officer II</t>
  </si>
  <si>
    <t>Local Legislative Staff Officer III</t>
  </si>
  <si>
    <t>Local Legislative Staff Officer IV</t>
  </si>
  <si>
    <t>Local Legislative Staff Officer V</t>
  </si>
  <si>
    <t>Local Legislative Staff Officer VI</t>
  </si>
  <si>
    <t>Local Revenue Collection Officer I</t>
  </si>
  <si>
    <t>Local Revenue Collection Officer II</t>
  </si>
  <si>
    <t>Local Revenue Collection Officer III</t>
  </si>
  <si>
    <t>Local Revenue Collection Officer IV</t>
  </si>
  <si>
    <t>Local Revenue Collection Officer V</t>
  </si>
  <si>
    <t>Local Treasury Examiner I</t>
  </si>
  <si>
    <t>Local Treasury Examiner II</t>
  </si>
  <si>
    <t>Local Treasury Operations Assistant</t>
  </si>
  <si>
    <t>Local Treasury Operations Officer I</t>
  </si>
  <si>
    <t>Local Treasury Operations Officer II</t>
  </si>
  <si>
    <t>Local Treasury Operations Officer III</t>
  </si>
  <si>
    <t>Local Treasury Operations Officer IV</t>
  </si>
  <si>
    <t>Local Treasury Operations Officer V</t>
  </si>
  <si>
    <t>Logistics Management Officer I</t>
  </si>
  <si>
    <t>Logistics Management Officer II</t>
  </si>
  <si>
    <t>Logistics Management Officer III</t>
  </si>
  <si>
    <t>Logistics Management Officer IV</t>
  </si>
  <si>
    <t>Logistics Management Officer V</t>
  </si>
  <si>
    <t>Lt. Commander (Chief Mechanical Engineer)</t>
  </si>
  <si>
    <t>Lt. Commander (Supervising Geodetic Engineer I)</t>
  </si>
  <si>
    <t>Lt. Commander (Supervising Hydrographic Engineer I)</t>
  </si>
  <si>
    <t>Lt. Commander (Supervising Oceanographer I)</t>
  </si>
  <si>
    <t>Lt. Junior Grade (Chief Staff Dentist)</t>
  </si>
  <si>
    <t>Lt. Junior Grade (Geodetic Engineer)</t>
  </si>
  <si>
    <t>Lt. Junior Grade (Hydrographic Engineer)</t>
  </si>
  <si>
    <t>Lt. Junior Grade (Oceanographer)</t>
  </si>
  <si>
    <t>Lt. Senior Grade (Chief Nurse II)</t>
  </si>
  <si>
    <t>Lt. Senior Grade (Clinic Physician)</t>
  </si>
  <si>
    <t>Lt. Senior Grade (Senior Geodetic Engineer)</t>
  </si>
  <si>
    <t>Lt. Senior Grade (Senior Hydrographic Engineer)</t>
  </si>
  <si>
    <t>Lt. Senior Grade (Senior Oceanographer)</t>
  </si>
  <si>
    <t>Lt. Senior Grade (Senior Photogrammetric Engineer)</t>
  </si>
  <si>
    <t>Lumber Grader</t>
  </si>
  <si>
    <t>Lupon Chairman</t>
  </si>
  <si>
    <t>Lupon Member</t>
  </si>
  <si>
    <t>Machine Shop Foreman</t>
  </si>
  <si>
    <t>Machinist I</t>
  </si>
  <si>
    <t>Machinist II</t>
  </si>
  <si>
    <t>Machinist III</t>
  </si>
  <si>
    <t>Magnetic Recorder Operator I</t>
  </si>
  <si>
    <t>Magnetic Recorder Operator II</t>
  </si>
  <si>
    <t>Magnetic Recorder Operator III</t>
  </si>
  <si>
    <t>Mail Sorter</t>
  </si>
  <si>
    <t>Major</t>
  </si>
  <si>
    <t>Major General</t>
  </si>
  <si>
    <t>Make-up Artist</t>
  </si>
  <si>
    <t>Malacologist I</t>
  </si>
  <si>
    <t>Malacologist II</t>
  </si>
  <si>
    <t>Malaria Control Foreman</t>
  </si>
  <si>
    <t>Management and Audit Analyst I</t>
  </si>
  <si>
    <t>Management and Audit Analyst II</t>
  </si>
  <si>
    <t>Management and Audit Analyst III</t>
  </si>
  <si>
    <t>Management and Audit Analyst IV</t>
  </si>
  <si>
    <t>Management and Audit Analyst V</t>
  </si>
  <si>
    <t>Management and Audit Assistant</t>
  </si>
  <si>
    <t>Management Specialist I</t>
  </si>
  <si>
    <t>Management Specialist II</t>
  </si>
  <si>
    <t>Managing News Editor</t>
  </si>
  <si>
    <t>Manpower Development Assistant</t>
  </si>
  <si>
    <t>Manpower Development Officer I</t>
  </si>
  <si>
    <t>Manpower Development Officer II</t>
  </si>
  <si>
    <t>Manpower Development Regional Coordinator</t>
  </si>
  <si>
    <t>Marine Engineman I</t>
  </si>
  <si>
    <t>Marine Engineman II</t>
  </si>
  <si>
    <t>Maritime Industry Development Assistant</t>
  </si>
  <si>
    <t>Maritime Industry Development Specialist I</t>
  </si>
  <si>
    <t>Maritime Industry Development Specialist II</t>
  </si>
  <si>
    <t>Market Inspector I</t>
  </si>
  <si>
    <t>Market Inspector II</t>
  </si>
  <si>
    <t>Market Specialist I</t>
  </si>
  <si>
    <t>Market Specialist II</t>
  </si>
  <si>
    <t>Market Specialist III</t>
  </si>
  <si>
    <t>Market Specialist IV</t>
  </si>
  <si>
    <t>Market Specialist V</t>
  </si>
  <si>
    <t>Market Supervisor I</t>
  </si>
  <si>
    <t>Market Supervisor II</t>
  </si>
  <si>
    <t>Market Supervisor III</t>
  </si>
  <si>
    <t>Market Supervisor IV</t>
  </si>
  <si>
    <t>Market Supervisor V</t>
  </si>
  <si>
    <t>Mason Foreman</t>
  </si>
  <si>
    <t>Mason I</t>
  </si>
  <si>
    <t>Mason II</t>
  </si>
  <si>
    <t>Master Chief Petty Officer</t>
  </si>
  <si>
    <t>Master Fisherman I</t>
  </si>
  <si>
    <t>Master Fisherman II</t>
  </si>
  <si>
    <t>Master Sergeant</t>
  </si>
  <si>
    <t>Master Tailor I</t>
  </si>
  <si>
    <t>Master Tailor II</t>
  </si>
  <si>
    <t>Master Teacher I</t>
  </si>
  <si>
    <t>Master Teacher II</t>
  </si>
  <si>
    <t>Master Teacher III</t>
  </si>
  <si>
    <t>Master Teacher IV</t>
  </si>
  <si>
    <t>Mathematician Aide I</t>
  </si>
  <si>
    <t>Mathematician Aide II</t>
  </si>
  <si>
    <t>Mathematician I</t>
  </si>
  <si>
    <t>Mathematician II</t>
  </si>
  <si>
    <t>Meat Control Officer I</t>
  </si>
  <si>
    <t>Meat Control Officer II</t>
  </si>
  <si>
    <t>Meat Inspector I</t>
  </si>
  <si>
    <t>Meat Inspector II</t>
  </si>
  <si>
    <t>Meat Inspector III</t>
  </si>
  <si>
    <t>Mechanic I</t>
  </si>
  <si>
    <t>Mechanic II</t>
  </si>
  <si>
    <t>Mechanic III</t>
  </si>
  <si>
    <t>Mechanical Plant Operator I</t>
  </si>
  <si>
    <t>Mechanical Plant Operator II</t>
  </si>
  <si>
    <t>Mechanical Plant Operator III</t>
  </si>
  <si>
    <t>Mechanical Plant Supervisor I</t>
  </si>
  <si>
    <t>Mechanical Plant Supervisor II</t>
  </si>
  <si>
    <t>Mechanical Shop Foreman</t>
  </si>
  <si>
    <t>Mechanical Shop General Foreman</t>
  </si>
  <si>
    <t>Media Accreditation and Relations Officer I</t>
  </si>
  <si>
    <t>Media Accreditation and Relations Officer II</t>
  </si>
  <si>
    <t>Media Accreditation and Relations Officer III</t>
  </si>
  <si>
    <t>Media Accreditation and Relations Officer IV</t>
  </si>
  <si>
    <t>Media Accreditation and Relations Officer V</t>
  </si>
  <si>
    <t>Media Production Aide</t>
  </si>
  <si>
    <t>Media Production Assistant</t>
  </si>
  <si>
    <t>Media Production Specialist I</t>
  </si>
  <si>
    <t>Media Production Specialist II</t>
  </si>
  <si>
    <t>Media Production Specialist III</t>
  </si>
  <si>
    <t>Media Production Specialist IV</t>
  </si>
  <si>
    <t>Media Production Specialist V</t>
  </si>
  <si>
    <t>Mediator-Arbiter</t>
  </si>
  <si>
    <t>Medical Center Chief I</t>
  </si>
  <si>
    <t>Medical Center Chief II</t>
  </si>
  <si>
    <t>Medical Equipment Technician I</t>
  </si>
  <si>
    <t>Medical Equipment Technician II</t>
  </si>
  <si>
    <t>Medical Equipment Technician III</t>
  </si>
  <si>
    <t>Medical Equipment Technician IV</t>
  </si>
  <si>
    <t>Medical Laboratory Technician I</t>
  </si>
  <si>
    <t>Medical Laboratory Technician II</t>
  </si>
  <si>
    <t>Medical Laboratory Technician III</t>
  </si>
  <si>
    <t>Medical Officer I</t>
  </si>
  <si>
    <t>Medical Officer I (Part-Time)</t>
  </si>
  <si>
    <t>Medical Officer II</t>
  </si>
  <si>
    <t>Medical Officer II (Part-Time)</t>
  </si>
  <si>
    <t>Medical Officer III</t>
  </si>
  <si>
    <t>Medical Officer III (Part-Time)</t>
  </si>
  <si>
    <t>Medical Officer IV</t>
  </si>
  <si>
    <t>Medical Officer IV (Part-Time)</t>
  </si>
  <si>
    <t>Medical Officer V</t>
  </si>
  <si>
    <t>Medical Officer V (Part-Time)</t>
  </si>
  <si>
    <t>Medical Officer VI</t>
  </si>
  <si>
    <t>Medical Officer VI (Part-Time)</t>
  </si>
  <si>
    <t>Medical Officer VII</t>
  </si>
  <si>
    <t>Medical Officer VII (Part-Time)</t>
  </si>
  <si>
    <t>Medical Specialist I</t>
  </si>
  <si>
    <t>Medical Specialist I (Part-Time)</t>
  </si>
  <si>
    <t>Medical Specialist II</t>
  </si>
  <si>
    <t>Medical Specialist II (Part-Time)</t>
  </si>
  <si>
    <t>Medical Specialist III</t>
  </si>
  <si>
    <t>Medical Specialist III (Part-Time)</t>
  </si>
  <si>
    <t>Medical Specialist IV</t>
  </si>
  <si>
    <t>Medical Specialist IV (Part-Time)</t>
  </si>
  <si>
    <t>Medical Specialist V</t>
  </si>
  <si>
    <t>Medical Specialist V (Part-Time)</t>
  </si>
  <si>
    <t>Medical Specialist VI</t>
  </si>
  <si>
    <t>Medical Specialist VI (Part-Time)</t>
  </si>
  <si>
    <t>Medical Specialist VII</t>
  </si>
  <si>
    <t>Medical Specialist VII (Part-Time)</t>
  </si>
  <si>
    <t>Medical Technologist I</t>
  </si>
  <si>
    <t>Medical Technologist II</t>
  </si>
  <si>
    <t>Medical Technologist III</t>
  </si>
  <si>
    <t>Medical Technologist IV</t>
  </si>
  <si>
    <t>Medical Technologist V</t>
  </si>
  <si>
    <t>Medico-Legal Officer I</t>
  </si>
  <si>
    <t>Medico-Legal Officer II</t>
  </si>
  <si>
    <t>Medico-Legal Officer III</t>
  </si>
  <si>
    <t>Medico-Legal Officer IV</t>
  </si>
  <si>
    <t>Medico-Legal Officer V</t>
  </si>
  <si>
    <t>Member (Ex-Officio)</t>
  </si>
  <si>
    <t>Member (Part-Time)</t>
  </si>
  <si>
    <t>Member of the House of Representatives</t>
  </si>
  <si>
    <t>Member, Constitutional Commission</t>
  </si>
  <si>
    <t>Member, Regional Assembly</t>
  </si>
  <si>
    <t>Message Writer</t>
  </si>
  <si>
    <t>Messenger</t>
  </si>
  <si>
    <t>Metal Worker Foreman</t>
  </si>
  <si>
    <t>Metal Worker General Foreman</t>
  </si>
  <si>
    <t>Metal Worker I</t>
  </si>
  <si>
    <t>Metal Worker II</t>
  </si>
  <si>
    <t>Metallurgist I</t>
  </si>
  <si>
    <t>Metallurgist II</t>
  </si>
  <si>
    <t>Metals Technologist I</t>
  </si>
  <si>
    <t>Metals Technologist II</t>
  </si>
  <si>
    <t>Metals Technologist III</t>
  </si>
  <si>
    <t>Metals Technologist IV</t>
  </si>
  <si>
    <t>Metals Technologist V</t>
  </si>
  <si>
    <t>Meter Reader I</t>
  </si>
  <si>
    <t>Meter Reader II</t>
  </si>
  <si>
    <t>Meter Reader III</t>
  </si>
  <si>
    <t>Metro Aide I</t>
  </si>
  <si>
    <t>Metro Aide II</t>
  </si>
  <si>
    <t>Metro Trial Court Judge</t>
  </si>
  <si>
    <t>Microfilming Machine Operator I</t>
  </si>
  <si>
    <t>Microfilming Machine Operator II</t>
  </si>
  <si>
    <t>Microfilming Machine Operator III</t>
  </si>
  <si>
    <t>Midwife I</t>
  </si>
  <si>
    <t>Midwife II</t>
  </si>
  <si>
    <t>Midwife III</t>
  </si>
  <si>
    <t>Midwife IV</t>
  </si>
  <si>
    <t>Midwife V</t>
  </si>
  <si>
    <t>Midwife VI</t>
  </si>
  <si>
    <t>Midwifery School Principal I</t>
  </si>
  <si>
    <t>Midwifery School Principal II</t>
  </si>
  <si>
    <t>Mineral Analyst</t>
  </si>
  <si>
    <t>Mining Claims Examiner I</t>
  </si>
  <si>
    <t>Mining Claims Examiner II</t>
  </si>
  <si>
    <t>Mining Claims Examiner III</t>
  </si>
  <si>
    <t>Mining Operations Officer</t>
  </si>
  <si>
    <t>Motor Pool Dispatcher</t>
  </si>
  <si>
    <t>Motor Pool Supervisor I</t>
  </si>
  <si>
    <t>Motor Pool Supervisor II</t>
  </si>
  <si>
    <t>Motor Vehicle Inspector</t>
  </si>
  <si>
    <t>Movie Equipment Technician I</t>
  </si>
  <si>
    <t>Movie Equipment Technician II</t>
  </si>
  <si>
    <t>Movie Equipment Technician III</t>
  </si>
  <si>
    <t>Municipal Agrarian Reform Program Officer</t>
  </si>
  <si>
    <t>Municipal Agricultural Officer</t>
  </si>
  <si>
    <t>Municipal Circuit Trial Court Judge</t>
  </si>
  <si>
    <t>Municipal Government Assistant Department Head I</t>
  </si>
  <si>
    <t>Municipal Government Assistant Department Head II</t>
  </si>
  <si>
    <t>Municipal Government Department Head I</t>
  </si>
  <si>
    <t>Municipal Government Department Head II</t>
  </si>
  <si>
    <t>Municipal Mayor I</t>
  </si>
  <si>
    <t>Municipal Mayor II</t>
  </si>
  <si>
    <t>Municipal Trial Court Judge</t>
  </si>
  <si>
    <t>Municipal Vice Mayor I</t>
  </si>
  <si>
    <t>Municipal Vice Mayor II</t>
  </si>
  <si>
    <t>Munitions Operator Foreman</t>
  </si>
  <si>
    <t>Munitions Operator General Foreman</t>
  </si>
  <si>
    <t>Munitions Operator I</t>
  </si>
  <si>
    <t>Munitions Operator II</t>
  </si>
  <si>
    <t>Munitions Production Supervisor</t>
  </si>
  <si>
    <t>Munitions Production Technician I</t>
  </si>
  <si>
    <t>Munitions Production Technician II</t>
  </si>
  <si>
    <t>Museum Curator I</t>
  </si>
  <si>
    <t>Museum Curator II</t>
  </si>
  <si>
    <t>Museum Guide</t>
  </si>
  <si>
    <t>Museum Researcher I</t>
  </si>
  <si>
    <t>Museum Researcher II</t>
  </si>
  <si>
    <t>Museum Technician I</t>
  </si>
  <si>
    <t>Museum Technician II</t>
  </si>
  <si>
    <t>Music Director</t>
  </si>
  <si>
    <t>Musician</t>
  </si>
  <si>
    <t>National Cashier</t>
  </si>
  <si>
    <t>National Intelligence Assistant I</t>
  </si>
  <si>
    <t>National Intelligence Assistant II</t>
  </si>
  <si>
    <t>National Intelligence Specialist I</t>
  </si>
  <si>
    <t>National Intelligence Specialist II</t>
  </si>
  <si>
    <t>National Intelligence Specialist III</t>
  </si>
  <si>
    <t>National Intelligence Specialist IV</t>
  </si>
  <si>
    <t>National Intelligence Specialist V</t>
  </si>
  <si>
    <t>National Security Specialist I</t>
  </si>
  <si>
    <t>National Security Specialist II</t>
  </si>
  <si>
    <t>National Security Specialist III</t>
  </si>
  <si>
    <t>National Security Specialist IV</t>
  </si>
  <si>
    <t>National Security Specialist V</t>
  </si>
  <si>
    <t>Nautical Writer I</t>
  </si>
  <si>
    <t>Nautical Writer II</t>
  </si>
  <si>
    <t>Network Controller I</t>
  </si>
  <si>
    <t>Network Controller II</t>
  </si>
  <si>
    <t>News Analyst I</t>
  </si>
  <si>
    <t>News Analyst II</t>
  </si>
  <si>
    <t>News Analyst III</t>
  </si>
  <si>
    <t>News Analyst IV</t>
  </si>
  <si>
    <t>News Editor I</t>
  </si>
  <si>
    <t>News Editor II</t>
  </si>
  <si>
    <t>News Reporter I</t>
  </si>
  <si>
    <t>News Reporter II</t>
  </si>
  <si>
    <t>Newscaster I</t>
  </si>
  <si>
    <t>Newscaster II</t>
  </si>
  <si>
    <t>Nurse I</t>
  </si>
  <si>
    <t>Nurse II</t>
  </si>
  <si>
    <t>Nurse III</t>
  </si>
  <si>
    <t>Nurse IV</t>
  </si>
  <si>
    <t>Nurse Maid I</t>
  </si>
  <si>
    <t>Nurse Maid II</t>
  </si>
  <si>
    <t>Nurse V</t>
  </si>
  <si>
    <t>Nurse VI</t>
  </si>
  <si>
    <t>Nurse VII</t>
  </si>
  <si>
    <t>Nursing Adviser</t>
  </si>
  <si>
    <t>Nursing Attendant I</t>
  </si>
  <si>
    <t>Nursing Attendant II</t>
  </si>
  <si>
    <t>Nursing School Principal I</t>
  </si>
  <si>
    <t>Nursing School Principal II</t>
  </si>
  <si>
    <t>Nursing School Principal III</t>
  </si>
  <si>
    <t>Nutrition Officer I</t>
  </si>
  <si>
    <t>Nutrition Officer II</t>
  </si>
  <si>
    <t>Nutrition Officer III</t>
  </si>
  <si>
    <t>Nutrition Officer IV</t>
  </si>
  <si>
    <t>Nutrition Officer V</t>
  </si>
  <si>
    <t>Nutrition Program Coordinator</t>
  </si>
  <si>
    <t>Nutritionist-Dietitian I</t>
  </si>
  <si>
    <t>Nutritionist-Dietitian II</t>
  </si>
  <si>
    <t>Nutritionist-Dietitian III</t>
  </si>
  <si>
    <t>Nutritionist-Dietitian III (Part-Time)</t>
  </si>
  <si>
    <t>Nutritionist-Dietitian IV</t>
  </si>
  <si>
    <t>Nutritionist-Dietitian V</t>
  </si>
  <si>
    <t>Nutritionist-Dietitian VI</t>
  </si>
  <si>
    <t>Occupational Therapist I</t>
  </si>
  <si>
    <t>Occupational Therapist II</t>
  </si>
  <si>
    <t>Occupational Therapist III</t>
  </si>
  <si>
    <t>Occupational Therapist IV</t>
  </si>
  <si>
    <t>Occupational Therapy Technician I</t>
  </si>
  <si>
    <t>Occupational Therapy Technician II</t>
  </si>
  <si>
    <t>Oceanographer I</t>
  </si>
  <si>
    <t>Oceanographer II</t>
  </si>
  <si>
    <t>Oceanographer III</t>
  </si>
  <si>
    <t>Oceanographer IV</t>
  </si>
  <si>
    <t>Oceanographer V</t>
  </si>
  <si>
    <t>Offset Camera Operator I</t>
  </si>
  <si>
    <t>Offset Camera Operator II</t>
  </si>
  <si>
    <t>Ombudsman</t>
  </si>
  <si>
    <t>Optometrist I</t>
  </si>
  <si>
    <t>Optometrist II</t>
  </si>
  <si>
    <t>Ordnance Technician I</t>
  </si>
  <si>
    <t>Ordnance Technician II</t>
  </si>
  <si>
    <t>Ordnance Technician III</t>
  </si>
  <si>
    <t>Other Permanent Positions</t>
  </si>
  <si>
    <t>Overall Deputy Ombudsman</t>
  </si>
  <si>
    <t>Overseas Employment Adjudicator</t>
  </si>
  <si>
    <t>Overseas Worker Welfare Assistant</t>
  </si>
  <si>
    <t>Overseas Worker Welfare Officer I</t>
  </si>
  <si>
    <t>Overseas Worker Welfare Officer II</t>
  </si>
  <si>
    <t>Overseas Worker Welfare Officer III</t>
  </si>
  <si>
    <t>Overseas Worker Welfare Officer IV</t>
  </si>
  <si>
    <t>Overseas Worker Welfare Officer V</t>
  </si>
  <si>
    <t>Overseas Worker Welfare Officer VI</t>
  </si>
  <si>
    <t>Painter Foreman</t>
  </si>
  <si>
    <t>Painter General Foreman</t>
  </si>
  <si>
    <t>Painter I</t>
  </si>
  <si>
    <t>Painter II</t>
  </si>
  <si>
    <t>Paper Cutting Machine Operator I</t>
  </si>
  <si>
    <t>Paper Cutting Machine Operator II</t>
  </si>
  <si>
    <t>Paper Cutting Machine Operator III</t>
  </si>
  <si>
    <t>Park Attendant I</t>
  </si>
  <si>
    <t>Park Attendant II</t>
  </si>
  <si>
    <t>Park Attendant III</t>
  </si>
  <si>
    <t>Park Maintenance Foreman</t>
  </si>
  <si>
    <t>Park Maintenance General Foreman</t>
  </si>
  <si>
    <t>Park Maintenance Supervisor</t>
  </si>
  <si>
    <t>Park Operations Superintendent I</t>
  </si>
  <si>
    <t>Park Operations Superintendent II</t>
  </si>
  <si>
    <t>Park Operations Superintendent III</t>
  </si>
  <si>
    <t>Park Operations Superintendent IV</t>
  </si>
  <si>
    <t>Park Operations Superintendent V</t>
  </si>
  <si>
    <t>Parking Aide I</t>
  </si>
  <si>
    <t>Parking Aide II</t>
  </si>
  <si>
    <t>Parking Aide III</t>
  </si>
  <si>
    <t>Parking Aide IV</t>
  </si>
  <si>
    <t>Parole Officer I</t>
  </si>
  <si>
    <t>Parole Officer II</t>
  </si>
  <si>
    <t>Part-time Positions</t>
  </si>
  <si>
    <t>Patternmaker I</t>
  </si>
  <si>
    <t>Patternmaker II</t>
  </si>
  <si>
    <t>Peace Program Officer I</t>
  </si>
  <si>
    <t>Peace Program Officer II</t>
  </si>
  <si>
    <t>Peace Program Officer III</t>
  </si>
  <si>
    <t>Peace Program Officer IV</t>
  </si>
  <si>
    <t>Peace Program Officer V</t>
  </si>
  <si>
    <t>Penal Institution Program Officer I</t>
  </si>
  <si>
    <t>Penal Institution Program Officer II</t>
  </si>
  <si>
    <t>Penal Institution Superintendent I</t>
  </si>
  <si>
    <t>Penal Institution Superintendent II</t>
  </si>
  <si>
    <t>Penal Institution Superintendent III</t>
  </si>
  <si>
    <t>Penal Institution Superintendent IV</t>
  </si>
  <si>
    <t>Penal Institution Supervisor</t>
  </si>
  <si>
    <t>Personnel Analyst</t>
  </si>
  <si>
    <t>Personnel Specialist I</t>
  </si>
  <si>
    <t>Personnel Specialist II</t>
  </si>
  <si>
    <t>Pest Control Technician</t>
  </si>
  <si>
    <t>Pest Control Worker I</t>
  </si>
  <si>
    <t>Pest Control Worker II</t>
  </si>
  <si>
    <t>Petty Officer I</t>
  </si>
  <si>
    <t>Petty Officer I (3rd Marine Engineer)</t>
  </si>
  <si>
    <t>Petty Officer I, NAMRIA</t>
  </si>
  <si>
    <t>Petty Officer II</t>
  </si>
  <si>
    <t>Petty Officer II (4th Marine Engineer)</t>
  </si>
  <si>
    <t>Petty Officer II (Chief Telegraph Operator)</t>
  </si>
  <si>
    <t>Petty Officer II, NAMRIA</t>
  </si>
  <si>
    <t>Petty Officer III</t>
  </si>
  <si>
    <t>Petty Officer III (Geodetic Engineer Aide II)</t>
  </si>
  <si>
    <t>Petty Officer III (Hydrographic Engineer Aide II)</t>
  </si>
  <si>
    <t>Petty Officer III (Launch Engineer)</t>
  </si>
  <si>
    <t>Petty Officer III (Oceanographer Engineer Aide II)</t>
  </si>
  <si>
    <t>Petty Officer III, NAMRIA</t>
  </si>
  <si>
    <t>Pharmacist I</t>
  </si>
  <si>
    <t>Pharmacist II</t>
  </si>
  <si>
    <t>Pharmacist III</t>
  </si>
  <si>
    <t>Pharmacist IV</t>
  </si>
  <si>
    <t>Pharmacist V</t>
  </si>
  <si>
    <t>Pharmacist VI</t>
  </si>
  <si>
    <t>Pharmacist VII</t>
  </si>
  <si>
    <t>Pharmacy Adviser</t>
  </si>
  <si>
    <t>Pharmacy Program Supervisor</t>
  </si>
  <si>
    <t>Philatelic Artist I</t>
  </si>
  <si>
    <t>Philatelic Artist II</t>
  </si>
  <si>
    <t>PHILJA Attorney III</t>
  </si>
  <si>
    <t>PHILJA Attorney IV</t>
  </si>
  <si>
    <t>PHILJA Attorney V</t>
  </si>
  <si>
    <t>PHILJA Chancellor</t>
  </si>
  <si>
    <t>PHILJA Deputy Executive Secretary</t>
  </si>
  <si>
    <t>PHILJA Executive Secretary</t>
  </si>
  <si>
    <t>PHILJA Professor I</t>
  </si>
  <si>
    <t>PHILJA Professor II</t>
  </si>
  <si>
    <t>PHILJA Vice-Chancellor</t>
  </si>
  <si>
    <t>Phlebotomist</t>
  </si>
  <si>
    <t>Photo Editor I</t>
  </si>
  <si>
    <t>Photo Editor II</t>
  </si>
  <si>
    <t>Photo Journalist I</t>
  </si>
  <si>
    <t>Photo Journalist II</t>
  </si>
  <si>
    <t>Photo-Lithographic Technician I</t>
  </si>
  <si>
    <t>Photo-Lithographic Technician II</t>
  </si>
  <si>
    <t>Photoengraver I</t>
  </si>
  <si>
    <t>Photoengraver II</t>
  </si>
  <si>
    <t>Photoengraver III</t>
  </si>
  <si>
    <t>Photoengraver IV</t>
  </si>
  <si>
    <t>Photographer I</t>
  </si>
  <si>
    <t>Photographer II</t>
  </si>
  <si>
    <t>Photographer III</t>
  </si>
  <si>
    <t>Photographer IV</t>
  </si>
  <si>
    <t>Photographer V</t>
  </si>
  <si>
    <t>Photographer VI</t>
  </si>
  <si>
    <t>Photographic Color Processor I</t>
  </si>
  <si>
    <t>Photographic Color Processor II</t>
  </si>
  <si>
    <t>Photographic Color Processor III</t>
  </si>
  <si>
    <t>Physical Therapist I</t>
  </si>
  <si>
    <t>Physical Therapist II</t>
  </si>
  <si>
    <t>Physical Therapist III</t>
  </si>
  <si>
    <t>Physical Therapist IV</t>
  </si>
  <si>
    <t>Physical Therapy Technician I</t>
  </si>
  <si>
    <t>Physical Therapy Technician II</t>
  </si>
  <si>
    <t>Physicist I</t>
  </si>
  <si>
    <t>Physicist II</t>
  </si>
  <si>
    <t>Pilot I</t>
  </si>
  <si>
    <t>Pilot II</t>
  </si>
  <si>
    <t>Pipefitter Foreman</t>
  </si>
  <si>
    <t>Pipefitter I</t>
  </si>
  <si>
    <t>Pipefitter II</t>
  </si>
  <si>
    <t>Planning Assistant</t>
  </si>
  <si>
    <t>Planning Officer I</t>
  </si>
  <si>
    <t>Planning Officer II</t>
  </si>
  <si>
    <t>Planning Officer III</t>
  </si>
  <si>
    <t>Planning Officer IV</t>
  </si>
  <si>
    <t>Planning Officer V</t>
  </si>
  <si>
    <t>Plumber Foreman</t>
  </si>
  <si>
    <t>Plumber I</t>
  </si>
  <si>
    <t>Plumber II</t>
  </si>
  <si>
    <t>Plumbing and Tinning Inspector I</t>
  </si>
  <si>
    <t>Plumbing and Tinning Inspector II</t>
  </si>
  <si>
    <t>Police Inspector I</t>
  </si>
  <si>
    <t>Police Inspector II</t>
  </si>
  <si>
    <t>Police Inspector III</t>
  </si>
  <si>
    <t>Police Inspector IV</t>
  </si>
  <si>
    <t>Police Inspector V</t>
  </si>
  <si>
    <t>Police Officer I</t>
  </si>
  <si>
    <t>Police Officer II</t>
  </si>
  <si>
    <t>Police Officer III</t>
  </si>
  <si>
    <t>Political Affairs Assistant I</t>
  </si>
  <si>
    <t>Political Affairs Assistant II</t>
  </si>
  <si>
    <t>Political Affairs Assistant III</t>
  </si>
  <si>
    <t>Political Affairs Employee I</t>
  </si>
  <si>
    <t>Political Affairs Employee II</t>
  </si>
  <si>
    <t>Political Affairs Officer I</t>
  </si>
  <si>
    <t>Political Affairs Officer II</t>
  </si>
  <si>
    <t>Political Affairs Officer III</t>
  </si>
  <si>
    <t>Political Affairs Officer IV</t>
  </si>
  <si>
    <t>Political Affairs Officer V</t>
  </si>
  <si>
    <t>Political Affairs Officer VI</t>
  </si>
  <si>
    <t>Polygraph Examiner I</t>
  </si>
  <si>
    <t>Polygraph Examiner II</t>
  </si>
  <si>
    <t>Polygraph Examiner III</t>
  </si>
  <si>
    <t>Polygraph Examiner IV</t>
  </si>
  <si>
    <t>Polygraph Examiner V</t>
  </si>
  <si>
    <t>Population Program Officer I</t>
  </si>
  <si>
    <t>Population Program Officer II</t>
  </si>
  <si>
    <t>Population Program Officer III</t>
  </si>
  <si>
    <t>Population Program Officer IV</t>
  </si>
  <si>
    <t>Population Program Officer V</t>
  </si>
  <si>
    <t>Population Program Worker I</t>
  </si>
  <si>
    <t>Population Program Worker II</t>
  </si>
  <si>
    <t>Population Program Worker III</t>
  </si>
  <si>
    <t>Population Programs Coordinator</t>
  </si>
  <si>
    <t>Postage Stamps Custodian I</t>
  </si>
  <si>
    <t>Postage Stamps Custodian II</t>
  </si>
  <si>
    <t>Postage Stamps Custodian III</t>
  </si>
  <si>
    <t>Postal Service Assistant</t>
  </si>
  <si>
    <t>Postal Service Officer I</t>
  </si>
  <si>
    <t>Postal Service Officer II</t>
  </si>
  <si>
    <t>Postal Teller I</t>
  </si>
  <si>
    <t>Postal Teller II</t>
  </si>
  <si>
    <t>Postal Teller III</t>
  </si>
  <si>
    <t>Postmaster I</t>
  </si>
  <si>
    <t>Postmaster II</t>
  </si>
  <si>
    <t>Postmaster III</t>
  </si>
  <si>
    <t>Postmaster IV</t>
  </si>
  <si>
    <t>Postmaster V</t>
  </si>
  <si>
    <t>Postmaster VI</t>
  </si>
  <si>
    <t>Postmaster VII</t>
  </si>
  <si>
    <t>Poundkeeper I</t>
  </si>
  <si>
    <t>Poundkeeper II</t>
  </si>
  <si>
    <t>PPSC Cadet</t>
  </si>
  <si>
    <t>Precision Instrument Technician I</t>
  </si>
  <si>
    <t>Precision Instrument Technician II</t>
  </si>
  <si>
    <t>Precision Instrument Technician III</t>
  </si>
  <si>
    <t>President of the Philippines</t>
  </si>
  <si>
    <t>President of the Senate</t>
  </si>
  <si>
    <t>Presidential Adviser</t>
  </si>
  <si>
    <t>Presidential Adviser on Legislative Affairs</t>
  </si>
  <si>
    <t>Presidential Assistant I</t>
  </si>
  <si>
    <t>Presidential Assistant II</t>
  </si>
  <si>
    <t>Presidential Legislative Adviser</t>
  </si>
  <si>
    <t>Presidential Legislative Assistant</t>
  </si>
  <si>
    <t>Presidential Legislative Liaison Officer I</t>
  </si>
  <si>
    <t>Presidential Legislative Liaison Officer II</t>
  </si>
  <si>
    <t>Presidential Legislative Liaison Officer III</t>
  </si>
  <si>
    <t>Presidential Protocol Officer</t>
  </si>
  <si>
    <t>Presidential Spokesman</t>
  </si>
  <si>
    <t>Presidential Staff Assistant</t>
  </si>
  <si>
    <t>Presidential Staff Officer I</t>
  </si>
  <si>
    <t>Presidential Staff Officer II</t>
  </si>
  <si>
    <t>Presidential Staff Officer III</t>
  </si>
  <si>
    <t>Presidential Staff Officer IV</t>
  </si>
  <si>
    <t>Presidential Staff Officer V</t>
  </si>
  <si>
    <t>Presidential Staff Officer VI</t>
  </si>
  <si>
    <t>Presiding Justice</t>
  </si>
  <si>
    <t>Presiding Justice, Court of Appeals</t>
  </si>
  <si>
    <t>Presiding Justice, Sandiganbayan</t>
  </si>
  <si>
    <t>Press Roller Maker I</t>
  </si>
  <si>
    <t>Press Roller Maker II</t>
  </si>
  <si>
    <t>Press Secretary</t>
  </si>
  <si>
    <t>Press-Proof Revisor</t>
  </si>
  <si>
    <t>Printing Foreman</t>
  </si>
  <si>
    <t>Printing Machine Operator I</t>
  </si>
  <si>
    <t>Printing Machine Operator II</t>
  </si>
  <si>
    <t>Printing Machine Operator III</t>
  </si>
  <si>
    <t>Printing Machine Operator IV</t>
  </si>
  <si>
    <t>Printing Operations Assistant Chief</t>
  </si>
  <si>
    <t>Printing Operations Chief</t>
  </si>
  <si>
    <t>Printing Order Writer I</t>
  </si>
  <si>
    <t>Printing Order Writer II</t>
  </si>
  <si>
    <t>Printing Order Writer III</t>
  </si>
  <si>
    <t>Printing Plant Maintenance Assistant Chief</t>
  </si>
  <si>
    <t>Printing Plant Maintenance Chief</t>
  </si>
  <si>
    <t>Printing Press Supervisor</t>
  </si>
  <si>
    <t>Printing Quality Control Officer I</t>
  </si>
  <si>
    <t>Printing Quality Control Officer II</t>
  </si>
  <si>
    <t>Printing Quality Inspector I</t>
  </si>
  <si>
    <t>Printing Quality Inspector II</t>
  </si>
  <si>
    <t>Printing Quality Inspector III</t>
  </si>
  <si>
    <t>Printing Scheduler</t>
  </si>
  <si>
    <t>Prison Guard I</t>
  </si>
  <si>
    <t>Prison Guard II</t>
  </si>
  <si>
    <t>Prison Guard III</t>
  </si>
  <si>
    <t>Private</t>
  </si>
  <si>
    <t>Private First Class</t>
  </si>
  <si>
    <t>Private Secretary I</t>
  </si>
  <si>
    <t>Private Secretary II</t>
  </si>
  <si>
    <t>Private Secretary III</t>
  </si>
  <si>
    <t>Probation Officer I</t>
  </si>
  <si>
    <t>Probation Officer II</t>
  </si>
  <si>
    <t>Probationary Second Lieutenant</t>
  </si>
  <si>
    <t>Process Server</t>
  </si>
  <si>
    <t>Production Cost Estimator I</t>
  </si>
  <si>
    <t>Production Cost Estimator II</t>
  </si>
  <si>
    <t>Production Cost Estimator III</t>
  </si>
  <si>
    <t>Production Planning and Control Assistant</t>
  </si>
  <si>
    <t>Production Planning and Control Officer I</t>
  </si>
  <si>
    <t>Production Planning and Control Officer II</t>
  </si>
  <si>
    <t>Production Planning and Control Officer III</t>
  </si>
  <si>
    <t>Production Planning and Control Officer IV</t>
  </si>
  <si>
    <t>Production Planning and Control Officer V</t>
  </si>
  <si>
    <t>Professional Regulations Assistant</t>
  </si>
  <si>
    <t>Professional Regulations Officer I</t>
  </si>
  <si>
    <t>Professional Regulations Officer II</t>
  </si>
  <si>
    <t>Professional Regulations Officer III</t>
  </si>
  <si>
    <t>Professor I</t>
  </si>
  <si>
    <t>Professor I (Part-Time)</t>
  </si>
  <si>
    <t>Professor II</t>
  </si>
  <si>
    <t>Professor II (Part-Time)</t>
  </si>
  <si>
    <t>Professor III</t>
  </si>
  <si>
    <t>Professor III (Part-Time)</t>
  </si>
  <si>
    <t>Professor IV</t>
  </si>
  <si>
    <t>Professor IV (Part-Time)</t>
  </si>
  <si>
    <t>Professor V</t>
  </si>
  <si>
    <t>Professor V (Part-Time)</t>
  </si>
  <si>
    <t>Professor VI</t>
  </si>
  <si>
    <t>Professor VI (Part-Time)</t>
  </si>
  <si>
    <t>Project Development Assistant</t>
  </si>
  <si>
    <t>Project Development Officer I</t>
  </si>
  <si>
    <t>Project Development Officer II</t>
  </si>
  <si>
    <t>Project Development Officer III</t>
  </si>
  <si>
    <t>Project Development Officer IV</t>
  </si>
  <si>
    <t>Project Development Officer V</t>
  </si>
  <si>
    <t>Project Evaluation Assistant</t>
  </si>
  <si>
    <t>Project Evaluation Officer I</t>
  </si>
  <si>
    <t>Project Evaluation Officer II</t>
  </si>
  <si>
    <t>Project Evaluation Officer III</t>
  </si>
  <si>
    <t>Project Evaluation Officer IV</t>
  </si>
  <si>
    <t>Project Evaluation Officer V</t>
  </si>
  <si>
    <t>Project Manager I</t>
  </si>
  <si>
    <t>Project Manager II</t>
  </si>
  <si>
    <t>Project Manager III</t>
  </si>
  <si>
    <t>Project Manager IV</t>
  </si>
  <si>
    <t>Proofreader I</t>
  </si>
  <si>
    <t>Proofreader II</t>
  </si>
  <si>
    <t>Property Custodian</t>
  </si>
  <si>
    <t>Property Appraiser I</t>
  </si>
  <si>
    <t>Property Appraiser II</t>
  </si>
  <si>
    <t>Property Appraiser III</t>
  </si>
  <si>
    <t>Property Appraiser IV</t>
  </si>
  <si>
    <t>Property Appraiser V</t>
  </si>
  <si>
    <t>Prosecution Attorney</t>
  </si>
  <si>
    <t>Prosecutor General</t>
  </si>
  <si>
    <t>Prosecutor I</t>
  </si>
  <si>
    <t>Prosecutor II</t>
  </si>
  <si>
    <t>Prosecutor III</t>
  </si>
  <si>
    <t>Prosecutor IV</t>
  </si>
  <si>
    <t>Prosecutor V</t>
  </si>
  <si>
    <t>Provincial Agrarian Reform Adjudicator</t>
  </si>
  <si>
    <t>Provincial Agrarian Reform Program Officer I</t>
  </si>
  <si>
    <t>Provincial Agrarian Reform Program Officer II</t>
  </si>
  <si>
    <t>Provincial Agricultural Officer</t>
  </si>
  <si>
    <t>Provincial Election Supervisor I</t>
  </si>
  <si>
    <t>Provincial Election Supervisor II</t>
  </si>
  <si>
    <t>Provincial Election Supervisor III</t>
  </si>
  <si>
    <t>Provincial Election Supervisor IV</t>
  </si>
  <si>
    <t>Provincial Environment and Natural Resources Officer</t>
  </si>
  <si>
    <t>Provincial Government Assistant Department Head</t>
  </si>
  <si>
    <t>Provincial Government Department Head</t>
  </si>
  <si>
    <t>Provincial Governor</t>
  </si>
  <si>
    <t>Provincial Health Officer I</t>
  </si>
  <si>
    <t>Provincial Health Officer II</t>
  </si>
  <si>
    <t>Provincial Trade and Industry Officer</t>
  </si>
  <si>
    <t>Provincial Vice Governor</t>
  </si>
  <si>
    <t>Provincial Warden</t>
  </si>
  <si>
    <t>Psychologist I</t>
  </si>
  <si>
    <t>Psychologist II</t>
  </si>
  <si>
    <t>Psychologist III</t>
  </si>
  <si>
    <t>Public Attorney I</t>
  </si>
  <si>
    <t>Public Attorney II</t>
  </si>
  <si>
    <t>Public Attorney III</t>
  </si>
  <si>
    <t>Public Attorney IV</t>
  </si>
  <si>
    <t>Public Attorney V</t>
  </si>
  <si>
    <t>Public Health Nurse I</t>
  </si>
  <si>
    <t>Public Health Nurse II</t>
  </si>
  <si>
    <t>Public Health Nurse III</t>
  </si>
  <si>
    <t>Public Relations Assistant</t>
  </si>
  <si>
    <t>Public Relations Officer I</t>
  </si>
  <si>
    <t>Public Relations Officer II</t>
  </si>
  <si>
    <t>Public Relations Officer III</t>
  </si>
  <si>
    <t>Public Relations Officer IV</t>
  </si>
  <si>
    <t>Public Relations Officer V</t>
  </si>
  <si>
    <t>Public Schools District Supervisor</t>
  </si>
  <si>
    <t>Public Services Assistant</t>
  </si>
  <si>
    <t>Public Services Foreman</t>
  </si>
  <si>
    <t>Public Services Inspector I</t>
  </si>
  <si>
    <t>Public Services Inspector II</t>
  </si>
  <si>
    <t>Public Services Officer I</t>
  </si>
  <si>
    <t>Public Services Officer II</t>
  </si>
  <si>
    <t>Public Services Officer III</t>
  </si>
  <si>
    <t>Public Services Officer IV</t>
  </si>
  <si>
    <t>Public Services Officer V</t>
  </si>
  <si>
    <t>Public Utilities Regulation Officer I</t>
  </si>
  <si>
    <t>Public Utilities Regulation Officer II</t>
  </si>
  <si>
    <t>Publication Circulation Assistant</t>
  </si>
  <si>
    <t>Publication Circulation Officer I</t>
  </si>
  <si>
    <t>Publication Circulation Officer II</t>
  </si>
  <si>
    <t>Publication Circulation Officer III</t>
  </si>
  <si>
    <t>Publication Production Chief</t>
  </si>
  <si>
    <t>Publication Production Supervisor</t>
  </si>
  <si>
    <t>Quartermaster</t>
  </si>
  <si>
    <t>Radio Photo Equipment Operator</t>
  </si>
  <si>
    <t>Radiologic Technologist I</t>
  </si>
  <si>
    <t>Radiologic Technologist II</t>
  </si>
  <si>
    <t>Radiologic Technologist III</t>
  </si>
  <si>
    <t>Radiologic Technologist IV</t>
  </si>
  <si>
    <t>Radiologic Technologist V</t>
  </si>
  <si>
    <t>Radiotherapeutic Nurse I</t>
  </si>
  <si>
    <t>Radiotherapeutic Nurse II</t>
  </si>
  <si>
    <t>Radiotherapeutic Nurse III</t>
  </si>
  <si>
    <t>Rear Admiral</t>
  </si>
  <si>
    <t>Records Management Analyst II</t>
  </si>
  <si>
    <t>Records Management Analyst I</t>
  </si>
  <si>
    <t>Records Officer I</t>
  </si>
  <si>
    <t>Records Officer II</t>
  </si>
  <si>
    <t>Records Officer III</t>
  </si>
  <si>
    <t>Records Officer IV</t>
  </si>
  <si>
    <t>Records Officer V</t>
  </si>
  <si>
    <t>Recreation and Welfare Services Assistant</t>
  </si>
  <si>
    <t>Recreation and Welfare Services Officer I</t>
  </si>
  <si>
    <t>Recreation and Welfare Services Officer II</t>
  </si>
  <si>
    <t>Recreation and Welfare Services Officer III</t>
  </si>
  <si>
    <t>Recreation and Welfare Services Officer IV</t>
  </si>
  <si>
    <t>Recreation and Welfare Services Officer V</t>
  </si>
  <si>
    <t>Recreation and Welfare Services Officer VI</t>
  </si>
  <si>
    <t>Regional Agrarian Reform Adjudicator</t>
  </si>
  <si>
    <t>Regional Cabinet Secretary</t>
  </si>
  <si>
    <t>Regional Chief of Staff</t>
  </si>
  <si>
    <t>Regional Equipment Engineer</t>
  </si>
  <si>
    <t>Regional Executive Secretary</t>
  </si>
  <si>
    <t>Regional Governor</t>
  </si>
  <si>
    <t>Regional Legislative Secretary</t>
  </si>
  <si>
    <t>Regional Programs Coordinator</t>
  </si>
  <si>
    <t>Regional Treasurer</t>
  </si>
  <si>
    <t>Regional Trial Court Judge</t>
  </si>
  <si>
    <t>Regional Vice Governor</t>
  </si>
  <si>
    <t>Register of Deeds I</t>
  </si>
  <si>
    <t>Register of Deeds II</t>
  </si>
  <si>
    <t>Register of Deeds III</t>
  </si>
  <si>
    <t>Register of Deeds IV</t>
  </si>
  <si>
    <t>Registrar I</t>
  </si>
  <si>
    <t>Registrar II</t>
  </si>
  <si>
    <t>Registrar III</t>
  </si>
  <si>
    <t>Registrar IV</t>
  </si>
  <si>
    <t>Registrar V</t>
  </si>
  <si>
    <t>Registration Officer I</t>
  </si>
  <si>
    <t>Registration Officer II</t>
  </si>
  <si>
    <t>Registration Officer III</t>
  </si>
  <si>
    <t>Registration Officer IV</t>
  </si>
  <si>
    <t>Registration Officer V</t>
  </si>
  <si>
    <t>Religious Guidance Adviser</t>
  </si>
  <si>
    <t>Religious Sister</t>
  </si>
  <si>
    <t>Religious Worker</t>
  </si>
  <si>
    <t>Remote Sensing Technologist I</t>
  </si>
  <si>
    <t>Remote Sensing Technologist II</t>
  </si>
  <si>
    <t>Reproduction Machine Operator I</t>
  </si>
  <si>
    <t>Reproduction Machine Operator II</t>
  </si>
  <si>
    <t>Reproduction Machine Operator III</t>
  </si>
  <si>
    <t>Revenue Collection Clerk I</t>
  </si>
  <si>
    <t>Revenue Collection Clerk II</t>
  </si>
  <si>
    <t>Revenue Collection Clerk III</t>
  </si>
  <si>
    <t>Revenue Officer I</t>
  </si>
  <si>
    <t>Revenue Officer II</t>
  </si>
  <si>
    <t>Revenue Officer III</t>
  </si>
  <si>
    <t>Revenue Officer IV</t>
  </si>
  <si>
    <t>Rodent Zone Inspector</t>
  </si>
  <si>
    <t>Rural Health Physician</t>
  </si>
  <si>
    <t>Sales and Promotion Supervisor I</t>
  </si>
  <si>
    <t>Sales and Promotion Supervisor II</t>
  </si>
  <si>
    <t>Sales and Promotion Supervisor III</t>
  </si>
  <si>
    <t>Sales and Promotion Supervisor IV</t>
  </si>
  <si>
    <t>Sales and Promotion Supervisor V</t>
  </si>
  <si>
    <t>Sales Representative I</t>
  </si>
  <si>
    <t>Sales Representative II</t>
  </si>
  <si>
    <t>Sales Representative III</t>
  </si>
  <si>
    <t>Sales Representative IV</t>
  </si>
  <si>
    <t>Sangguniang Bayan Member I</t>
  </si>
  <si>
    <t>Sangguniang Bayan Member II</t>
  </si>
  <si>
    <t>Sangguniang Panlalawigan Member</t>
  </si>
  <si>
    <t>Sangguniang Panlungsod Member I</t>
  </si>
  <si>
    <t>Sangguniang Panlungsod Member II</t>
  </si>
  <si>
    <t>Sanitation Inspector I</t>
  </si>
  <si>
    <t>Sanitation Inspector II</t>
  </si>
  <si>
    <t>Sanitation Inspector III</t>
  </si>
  <si>
    <t>Sanitation Inspector IV</t>
  </si>
  <si>
    <t>Sanitation Inspector V</t>
  </si>
  <si>
    <t>Sanitation Inspector VI</t>
  </si>
  <si>
    <t>Scaler</t>
  </si>
  <si>
    <t>Scholarship Affairs Officer I</t>
  </si>
  <si>
    <t>Scholarship Affairs Officer II</t>
  </si>
  <si>
    <t>School Credits Evaluator</t>
  </si>
  <si>
    <t>School Farm Demonstrator</t>
  </si>
  <si>
    <t>School Farming Coordinator I</t>
  </si>
  <si>
    <t>School Farming Coordinator II</t>
  </si>
  <si>
    <t>School Farming Coordinator III</t>
  </si>
  <si>
    <t>School Librarian I</t>
  </si>
  <si>
    <t>School Librarian II</t>
  </si>
  <si>
    <t>School Librarian III</t>
  </si>
  <si>
    <t>School Principal I</t>
  </si>
  <si>
    <t>School Principal II</t>
  </si>
  <si>
    <t>School Principal III</t>
  </si>
  <si>
    <t>School Principal IV</t>
  </si>
  <si>
    <t>Schools Division Superintendent</t>
  </si>
  <si>
    <t>Science Aide</t>
  </si>
  <si>
    <t>Science Education Associate I</t>
  </si>
  <si>
    <t>Science Education Associate II</t>
  </si>
  <si>
    <t>Science Education Specialist I</t>
  </si>
  <si>
    <t>Science Education Specialist II</t>
  </si>
  <si>
    <t>Science Education Specialist III</t>
  </si>
  <si>
    <t>Science Education Specialist IV</t>
  </si>
  <si>
    <t>Science Education Specialist V</t>
  </si>
  <si>
    <t>Science Research Analyst</t>
  </si>
  <si>
    <t>Science Research Assistant</t>
  </si>
  <si>
    <t>Science Research Specialist I</t>
  </si>
  <si>
    <t>Science Research Specialist II</t>
  </si>
  <si>
    <t>Science Research Technician I</t>
  </si>
  <si>
    <t>Science Research Technician II</t>
  </si>
  <si>
    <t>Science Research Technician III</t>
  </si>
  <si>
    <t>Science Research Technician IV</t>
  </si>
  <si>
    <t>Scientific Documentation Officer I</t>
  </si>
  <si>
    <t>Scientific Documentation Officer II</t>
  </si>
  <si>
    <t>Scientific Documentation Officer III</t>
  </si>
  <si>
    <t>Scientific Documentation Officer IV</t>
  </si>
  <si>
    <t>Scientific Documentation Officer V</t>
  </si>
  <si>
    <t>Scientist I</t>
  </si>
  <si>
    <t>Scientist II</t>
  </si>
  <si>
    <t>Scientist III</t>
  </si>
  <si>
    <t>Scientist IV</t>
  </si>
  <si>
    <t>Scientist V</t>
  </si>
  <si>
    <t>Scriptwriter I</t>
  </si>
  <si>
    <t>Scriptwriter II</t>
  </si>
  <si>
    <t>Sea Patrol Supervisor</t>
  </si>
  <si>
    <t>Seaman</t>
  </si>
  <si>
    <t>Seaman, First Class</t>
  </si>
  <si>
    <t>Seaman, First Class (Geodetic Engineer Aide I)</t>
  </si>
  <si>
    <t>Seaman, First Class (Hydrographic Engineer Aide I)</t>
  </si>
  <si>
    <t>Seaman, First Class (Oceanographer Engineer Aide I)</t>
  </si>
  <si>
    <t>Seaman, First Class, NAMRIA</t>
  </si>
  <si>
    <t>Seaman, Second Class</t>
  </si>
  <si>
    <t>Seaman, Second Class (Instrumentman)</t>
  </si>
  <si>
    <t>Seaman, Second Class, NAMRIA</t>
  </si>
  <si>
    <t>Seaman, Third Class (Surveyman)</t>
  </si>
  <si>
    <t>Seaman, Third Class, NAMRIA</t>
  </si>
  <si>
    <t>Seamstress</t>
  </si>
  <si>
    <t>Second Lieutenant</t>
  </si>
  <si>
    <t>Second Mate</t>
  </si>
  <si>
    <t>Secondary School Principal I</t>
  </si>
  <si>
    <t>Secondary School Principal II</t>
  </si>
  <si>
    <t>Secondary School Principal III</t>
  </si>
  <si>
    <t>Secondary School Principal IV</t>
  </si>
  <si>
    <t>Secretary I</t>
  </si>
  <si>
    <t>Secretary II</t>
  </si>
  <si>
    <t>Secretary of the Commission on Appointments</t>
  </si>
  <si>
    <t>Secretary of the House Electoral Tribunal</t>
  </si>
  <si>
    <t>Secretary of the Regional Commission on Appointments</t>
  </si>
  <si>
    <t>Secretary of the Senate</t>
  </si>
  <si>
    <t>Secretary of the Senate Electoral Tribunal</t>
  </si>
  <si>
    <t>Secretary-General of the House of Representatives</t>
  </si>
  <si>
    <t>Securities and Exchange Analyst</t>
  </si>
  <si>
    <t>Securities and Exchange Specialist I</t>
  </si>
  <si>
    <t>Securities and Exchange Specialist II</t>
  </si>
  <si>
    <t>Security Agent I</t>
  </si>
  <si>
    <t>Security Agent II</t>
  </si>
  <si>
    <t>Security Guard I</t>
  </si>
  <si>
    <t>Security Guard II</t>
  </si>
  <si>
    <t>Security Guard III</t>
  </si>
  <si>
    <t>Security Officer I</t>
  </si>
  <si>
    <t>Security Officer II</t>
  </si>
  <si>
    <t>Security Officer III</t>
  </si>
  <si>
    <t>Security Officer IV</t>
  </si>
  <si>
    <t>Security Officer V</t>
  </si>
  <si>
    <t>Senator</t>
  </si>
  <si>
    <t>Senior Administrative Assistant I</t>
  </si>
  <si>
    <t>Senior Administrative Assistant II</t>
  </si>
  <si>
    <t>Senior Administrative Assistant III</t>
  </si>
  <si>
    <t>Senior Administrative Assistant IV</t>
  </si>
  <si>
    <t>Senior Administrative Assistant V</t>
  </si>
  <si>
    <t>Senior Agrarian Reform Program Officer</t>
  </si>
  <si>
    <t>Senior Agrarian Reform Program Technologist</t>
  </si>
  <si>
    <t>Senior Agriculturist</t>
  </si>
  <si>
    <t>Senior Air Navigation System Specialist</t>
  </si>
  <si>
    <t>Senior Air Traffic Controller</t>
  </si>
  <si>
    <t>Senior Airways Communicator</t>
  </si>
  <si>
    <t>Senior Aquaculturist</t>
  </si>
  <si>
    <t>Senior Archivist</t>
  </si>
  <si>
    <t>Senior Auditing Systems Specialist</t>
  </si>
  <si>
    <t>Senior Aviation Safety Regulation Officer</t>
  </si>
  <si>
    <t>Senior Bookkeeper</t>
  </si>
  <si>
    <t>Senior Budget and Management Specialist</t>
  </si>
  <si>
    <t>Senior Budget Specialist</t>
  </si>
  <si>
    <t>Senior Chief Petty Officer</t>
  </si>
  <si>
    <t>Senior Communications Development Officer</t>
  </si>
  <si>
    <t>Senior Cooperatives Development Specialist</t>
  </si>
  <si>
    <t>Senior Defense Research Officer</t>
  </si>
  <si>
    <t>Senior Economic Development Specialist</t>
  </si>
  <si>
    <t>Senior Ecosystems Management Specialist</t>
  </si>
  <si>
    <t>Senior Education Program Specialist</t>
  </si>
  <si>
    <t>Senior Emigrant Services Officer</t>
  </si>
  <si>
    <t>Senior Energy Regulation Officer</t>
  </si>
  <si>
    <t>Senior Environmental Management Specialist</t>
  </si>
  <si>
    <t>Senior Fiber Development Officer</t>
  </si>
  <si>
    <t>Senior Fidelity Bond Examiner</t>
  </si>
  <si>
    <t>Senior Fire Officer I</t>
  </si>
  <si>
    <t>Senior Fire Officer II</t>
  </si>
  <si>
    <t>Senior Fire Officer III</t>
  </si>
  <si>
    <t>Senior Fire Officer IV</t>
  </si>
  <si>
    <t>Senior Fishing Regulations Officer</t>
  </si>
  <si>
    <t>Senior Foreign Affairs Adviser</t>
  </si>
  <si>
    <t>Senior Foreign Affairs Research Specialist</t>
  </si>
  <si>
    <t>Senior Forest Management Specialist</t>
  </si>
  <si>
    <t>Senior Geologist</t>
  </si>
  <si>
    <t>Senior Health Program Officer</t>
  </si>
  <si>
    <t>Senior Historic Sites Development Officer</t>
  </si>
  <si>
    <t>Senior History Researcher</t>
  </si>
  <si>
    <t>Senior Home Management Specialist</t>
  </si>
  <si>
    <t>Senior Immigration Officer</t>
  </si>
  <si>
    <t>Senior Industrial Design Specialist</t>
  </si>
  <si>
    <t>Senior Inspector</t>
  </si>
  <si>
    <t>Senior Insurance Specialist</t>
  </si>
  <si>
    <t>Senior Investments Specialist</t>
  </si>
  <si>
    <t>Senior Jail Officer I</t>
  </si>
  <si>
    <t>Senior Jail Officer II</t>
  </si>
  <si>
    <t>Senior Jail Officer III</t>
  </si>
  <si>
    <t>Senior Jail Officer IV</t>
  </si>
  <si>
    <t>Senior Labor and Employment Officer</t>
  </si>
  <si>
    <t>Senior Language Researcher</t>
  </si>
  <si>
    <t>Senior Letter Carrier</t>
  </si>
  <si>
    <t>Senior Local Treasury Examiner</t>
  </si>
  <si>
    <t>Senior Mail Sorter</t>
  </si>
  <si>
    <t>Senior Management Specialist</t>
  </si>
  <si>
    <t>Senior Manpower Development Officer</t>
  </si>
  <si>
    <t>Senior Maritime Industry Development Specialist</t>
  </si>
  <si>
    <t>Senior Master Sergeant</t>
  </si>
  <si>
    <t>Senior Meat Control Officer</t>
  </si>
  <si>
    <t>Senior Metallurgist</t>
  </si>
  <si>
    <t>Senior Museum Researcher</t>
  </si>
  <si>
    <t>Senior News Editor</t>
  </si>
  <si>
    <t>Senior Parole Officer</t>
  </si>
  <si>
    <t>Senior Penal Institution Program Officer</t>
  </si>
  <si>
    <t>Senior Personnel Specialist</t>
  </si>
  <si>
    <t>Senior Phlebotomist</t>
  </si>
  <si>
    <t>Senior Police Officer I</t>
  </si>
  <si>
    <t>Senior Police Officer II</t>
  </si>
  <si>
    <t>Senior Police Officer III</t>
  </si>
  <si>
    <t>Senior Police Officer IV</t>
  </si>
  <si>
    <t>Senior Postal Service Officer</t>
  </si>
  <si>
    <t>Senior Probation Officer</t>
  </si>
  <si>
    <t>Senior Professional Regulations Officer</t>
  </si>
  <si>
    <t>Senior Public Utilities Regulation Officer</t>
  </si>
  <si>
    <t>Senior Records Management Analyst</t>
  </si>
  <si>
    <t>Senior Remote Sensing Technologist</t>
  </si>
  <si>
    <t>Senior Scholarship Affairs Officer</t>
  </si>
  <si>
    <t>Senior Science Research Specialist</t>
  </si>
  <si>
    <t>Senior Securities and Exchange Specialist</t>
  </si>
  <si>
    <t>Senior Shipbuilding Specialist</t>
  </si>
  <si>
    <t>Senior Shipping Operations Specialist</t>
  </si>
  <si>
    <t>Senior Shrine Curator</t>
  </si>
  <si>
    <t>Senior Sports and Games Regulation Officer</t>
  </si>
  <si>
    <t>Senior State Solicitor</t>
  </si>
  <si>
    <t>Senior Stenographer to the President</t>
  </si>
  <si>
    <t>Senior Stenographer to the Regional Governor</t>
  </si>
  <si>
    <t>Senior Superintendent</t>
  </si>
  <si>
    <t>Senior Tariff Specialist</t>
  </si>
  <si>
    <t>Senior Tax Specialist</t>
  </si>
  <si>
    <t>Senior Technical Audit Specialist</t>
  </si>
  <si>
    <t>Senior Technical Education and Skills Development Specialist</t>
  </si>
  <si>
    <t>Senior Telegraphic Transfer Service Officer</t>
  </si>
  <si>
    <t>Senior Tourism Operations Officer</t>
  </si>
  <si>
    <t>Senior Trade-Industry Development Specialist</t>
  </si>
  <si>
    <t>Senior Transportation Development Officer</t>
  </si>
  <si>
    <t>Senior Transportation Regulation Officer</t>
  </si>
  <si>
    <t>Senior Veterans Assistance Officer</t>
  </si>
  <si>
    <t>Senior Volunteer Service Officer</t>
  </si>
  <si>
    <t>Senior Water Resources Development Officer</t>
  </si>
  <si>
    <t>Senior Weather Specialist</t>
  </si>
  <si>
    <t>Sergeant</t>
  </si>
  <si>
    <t>Sergeant-At-Arms I</t>
  </si>
  <si>
    <t>Sergeant-At-Arms II</t>
  </si>
  <si>
    <t>Sergeant-At-Arms III</t>
  </si>
  <si>
    <t>Sergeant-At-Arms IV</t>
  </si>
  <si>
    <t>Sharia Circuit Court Judge</t>
  </si>
  <si>
    <t>Sharia District Court Judge</t>
  </si>
  <si>
    <t>Sheriff I</t>
  </si>
  <si>
    <t>Sheriff II</t>
  </si>
  <si>
    <t>Sheriff III</t>
  </si>
  <si>
    <t>Sheriff IV</t>
  </si>
  <si>
    <t>Ship Master</t>
  </si>
  <si>
    <t>Shipbuilding Specialist I</t>
  </si>
  <si>
    <t>Shipbuilding Specialist II</t>
  </si>
  <si>
    <t>Shipping Operations Inspector</t>
  </si>
  <si>
    <t>Shipping Operations Specialist I</t>
  </si>
  <si>
    <t>Shipping Operations Specialist II</t>
  </si>
  <si>
    <t>Shoemaker</t>
  </si>
  <si>
    <t>Shrine Curator I</t>
  </si>
  <si>
    <t>Shrine Curator II</t>
  </si>
  <si>
    <t>Shrine Guide</t>
  </si>
  <si>
    <t>Slaughterhouse Master I</t>
  </si>
  <si>
    <t>Slaughterhouse Master II</t>
  </si>
  <si>
    <t>Slaughterhouse Master III</t>
  </si>
  <si>
    <t>Slaughterhouse Master IV</t>
  </si>
  <si>
    <t>Slaughterhouse Superintendent</t>
  </si>
  <si>
    <t>Social Welfare Aide</t>
  </si>
  <si>
    <t>Social Welfare Assistant</t>
  </si>
  <si>
    <t>Social Welfare Officer I</t>
  </si>
  <si>
    <t>Social Welfare Officer II</t>
  </si>
  <si>
    <t>Social Welfare Officer III</t>
  </si>
  <si>
    <t>Social Welfare Officer IV</t>
  </si>
  <si>
    <t>Social Welfare Officer V</t>
  </si>
  <si>
    <t>Sociologist I</t>
  </si>
  <si>
    <t>Sociologist II</t>
  </si>
  <si>
    <t>Solicitor General</t>
  </si>
  <si>
    <t>Solicitor I</t>
  </si>
  <si>
    <t>Solicitor II</t>
  </si>
  <si>
    <t>Solicitor III</t>
  </si>
  <si>
    <t>Solicitor-General</t>
  </si>
  <si>
    <t>Speaker of the House of Representatives</t>
  </si>
  <si>
    <t>Speaker, Regional Assembly</t>
  </si>
  <si>
    <t>Special Agent I</t>
  </si>
  <si>
    <t>Special Agent II</t>
  </si>
  <si>
    <t>Special Education Teacher I</t>
  </si>
  <si>
    <t>Special Education Teacher II</t>
  </si>
  <si>
    <t>Special Education Teacher III</t>
  </si>
  <si>
    <t>Special Education Teacher IV</t>
  </si>
  <si>
    <t>Special Education Teacher V</t>
  </si>
  <si>
    <t>Special Investigator I</t>
  </si>
  <si>
    <t>Special Investigator II</t>
  </si>
  <si>
    <t>Special Investigator III</t>
  </si>
  <si>
    <t>Special Investigator IV</t>
  </si>
  <si>
    <t>Special Investigator V</t>
  </si>
  <si>
    <t>Special Operations Officer I</t>
  </si>
  <si>
    <t>Special Operations Officer II</t>
  </si>
  <si>
    <t>Special Operations Officer III</t>
  </si>
  <si>
    <t>Special Operations Officer IV</t>
  </si>
  <si>
    <t>Special Operations Officer V</t>
  </si>
  <si>
    <t>Special Police Area Supervisor</t>
  </si>
  <si>
    <t>Special Police Assistant Chief</t>
  </si>
  <si>
    <t>Special Police Captain</t>
  </si>
  <si>
    <t>Special Police Chief</t>
  </si>
  <si>
    <t>Special Police Corporal</t>
  </si>
  <si>
    <t>Special Police Lieutenant</t>
  </si>
  <si>
    <t>Special Police Major</t>
  </si>
  <si>
    <t>Special Police Sergeant</t>
  </si>
  <si>
    <t>Special Policeman</t>
  </si>
  <si>
    <t>Special Presidential Representative</t>
  </si>
  <si>
    <t>Special Prosecution Officer I</t>
  </si>
  <si>
    <t>Special Prosecution Officer II</t>
  </si>
  <si>
    <t>Special Prosecution Officer III</t>
  </si>
  <si>
    <t>Special Prosecutor</t>
  </si>
  <si>
    <t>Special School Principal I</t>
  </si>
  <si>
    <t>Special School Principal II</t>
  </si>
  <si>
    <t>Special Science Teacher I</t>
  </si>
  <si>
    <t>Special Science Teacher II</t>
  </si>
  <si>
    <t>Special Science Teacher III</t>
  </si>
  <si>
    <t>Special Science Teacher IV</t>
  </si>
  <si>
    <t>Special Science Teacher V</t>
  </si>
  <si>
    <t>Special Trade Representative</t>
  </si>
  <si>
    <t>Speech Laboratory Technician</t>
  </si>
  <si>
    <t>Speech Therapist I</t>
  </si>
  <si>
    <t>Speech Therapist II</t>
  </si>
  <si>
    <t>Speech Transcriber</t>
  </si>
  <si>
    <t>Speechwriter</t>
  </si>
  <si>
    <t>Sports and Games Inspector I</t>
  </si>
  <si>
    <t>Sports and Games Inspector II</t>
  </si>
  <si>
    <t>Sports and Games Regulation Officer I</t>
  </si>
  <si>
    <t>Sports and Games Regulation Officer II</t>
  </si>
  <si>
    <t>Sports Development Officer I</t>
  </si>
  <si>
    <t>Sports Development Officer II</t>
  </si>
  <si>
    <t>Sports Development Officer III</t>
  </si>
  <si>
    <t>Sports Development Officer IV</t>
  </si>
  <si>
    <t>Sports Development Officer V</t>
  </si>
  <si>
    <t>Staff Sergeant</t>
  </si>
  <si>
    <t>State Auditing Examiner I</t>
  </si>
  <si>
    <t>State Auditing Examiner II</t>
  </si>
  <si>
    <t>State Auditor I</t>
  </si>
  <si>
    <t>State Auditor II</t>
  </si>
  <si>
    <t>State Auditor III</t>
  </si>
  <si>
    <t>State Auditor IV</t>
  </si>
  <si>
    <t>State Auditor V</t>
  </si>
  <si>
    <t>State Counsel I</t>
  </si>
  <si>
    <t>State Counsel II</t>
  </si>
  <si>
    <t>State Counsel III</t>
  </si>
  <si>
    <t>State Counsel IV</t>
  </si>
  <si>
    <t>State Counsel V</t>
  </si>
  <si>
    <t>State Solicitor I</t>
  </si>
  <si>
    <t>State Solicitor II</t>
  </si>
  <si>
    <t>Statistical Coordination Officer I</t>
  </si>
  <si>
    <t>Statistical Coordination Officer II</t>
  </si>
  <si>
    <t>Statistical Coordination Officer III</t>
  </si>
  <si>
    <t>Statistical Coordination Officer IV</t>
  </si>
  <si>
    <t>Statistical Coordination Officer V</t>
  </si>
  <si>
    <t>Statistical Coordination Officer VI</t>
  </si>
  <si>
    <t>Statistician Aide</t>
  </si>
  <si>
    <t>Statistician I</t>
  </si>
  <si>
    <t>Statistician II</t>
  </si>
  <si>
    <t>Statistician III</t>
  </si>
  <si>
    <t>Statistician IV</t>
  </si>
  <si>
    <t>Statistician V</t>
  </si>
  <si>
    <t>Stenographer I</t>
  </si>
  <si>
    <t>Stenographer II</t>
  </si>
  <si>
    <t>Stenographer III</t>
  </si>
  <si>
    <t>Stenographer to the President</t>
  </si>
  <si>
    <t>Stenographic Reporter I</t>
  </si>
  <si>
    <t>Stenographic Reporter II</t>
  </si>
  <si>
    <t>Stenographic Reporter III</t>
  </si>
  <si>
    <t>Stenographic Reporter IV</t>
  </si>
  <si>
    <t>Steward</t>
  </si>
  <si>
    <t>Stitcher I</t>
  </si>
  <si>
    <t>Stitcher II</t>
  </si>
  <si>
    <t>Stitcher III</t>
  </si>
  <si>
    <t>Storekeeper I</t>
  </si>
  <si>
    <t>Storekeeper II</t>
  </si>
  <si>
    <t>Storekeeper III</t>
  </si>
  <si>
    <t>Storekeeper IV</t>
  </si>
  <si>
    <t>Student Records Evaluator I</t>
  </si>
  <si>
    <t>Student Records Evaluator II</t>
  </si>
  <si>
    <t>Student Records Evaluator III</t>
  </si>
  <si>
    <t>Student Records Evaluator IV</t>
  </si>
  <si>
    <t>SUC Executive Vice-President</t>
  </si>
  <si>
    <t>SUC President I</t>
  </si>
  <si>
    <t>SUC President II</t>
  </si>
  <si>
    <t>SUC President III</t>
  </si>
  <si>
    <t>SUC President IV</t>
  </si>
  <si>
    <t>SUC Vice-President I</t>
  </si>
  <si>
    <t>SUC Vice-President II</t>
  </si>
  <si>
    <t>SUC Vice-President III</t>
  </si>
  <si>
    <t>SUC Vice-President IV</t>
  </si>
  <si>
    <t>Superintendent</t>
  </si>
  <si>
    <t>Superintendent of Printing</t>
  </si>
  <si>
    <t>Supervising Administrative Officer</t>
  </si>
  <si>
    <t>Supervising Agrarian Reform Program Officer</t>
  </si>
  <si>
    <t>Supervising Agriculturist</t>
  </si>
  <si>
    <t>Supervising Air Navigation System Specialist</t>
  </si>
  <si>
    <t>Supervising Air Traffic Controller</t>
  </si>
  <si>
    <t>Supervising Airways Communicator</t>
  </si>
  <si>
    <t>Supervising Aquaculturist</t>
  </si>
  <si>
    <t>Supervising Archivist</t>
  </si>
  <si>
    <t>Supervising Auditing Systems Specialist</t>
  </si>
  <si>
    <t>Supervising Aviation Safety Regulation Officer</t>
  </si>
  <si>
    <t>Supervising Bookbinder</t>
  </si>
  <si>
    <t>Supervising Budget and Management Specialist</t>
  </si>
  <si>
    <t>Supervising Communication Development Officer</t>
  </si>
  <si>
    <t>Supervising Cooperatives Development Specialist</t>
  </si>
  <si>
    <t>Supervising Customs Operations Officer</t>
  </si>
  <si>
    <t>Supervising Defense Research Officer</t>
  </si>
  <si>
    <t>Supervising Economic Development Specialist</t>
  </si>
  <si>
    <t>Supervising Ecosystems Management Specialist</t>
  </si>
  <si>
    <t>Supervising Education Program Specialist</t>
  </si>
  <si>
    <t>Supervising Electrotyper</t>
  </si>
  <si>
    <t>Supervising Emigrant Services Officer</t>
  </si>
  <si>
    <t>Supervising Energy Regulation Officer</t>
  </si>
  <si>
    <t>Supervising Environmental Management Specialist</t>
  </si>
  <si>
    <t>Supervising Fiber Development Officer</t>
  </si>
  <si>
    <t>Supervising Fidelity Bond Examiner</t>
  </si>
  <si>
    <t>Supervising Financial Management Specialist</t>
  </si>
  <si>
    <t>Supervising Fishing Regulations Officer</t>
  </si>
  <si>
    <t>Supervising Foreign Affairs Research Specialist</t>
  </si>
  <si>
    <t>Supervising Forest Management Specialist</t>
  </si>
  <si>
    <t>Supervising Geologist</t>
  </si>
  <si>
    <t>Supervising Health Program Officer</t>
  </si>
  <si>
    <t>Supervising Historic Sites Development Officer</t>
  </si>
  <si>
    <t>Supervising History Researcher</t>
  </si>
  <si>
    <t>Supervising Home Management Specialist</t>
  </si>
  <si>
    <t>Supervising Immigration Officer</t>
  </si>
  <si>
    <t>Supervising Industrial Design Specialist</t>
  </si>
  <si>
    <t>Supervising Insurance Specialist</t>
  </si>
  <si>
    <t>Supervising Investments Specialist</t>
  </si>
  <si>
    <t>Supervising Judicial Staff Officer</t>
  </si>
  <si>
    <t>Supervising Labor and Employment Officer</t>
  </si>
  <si>
    <t>Supervising Language Researcher</t>
  </si>
  <si>
    <t>Supervising Legislative Staff Officer I</t>
  </si>
  <si>
    <t>Supervising Legislative Staff Officer II</t>
  </si>
  <si>
    <t>Supervising Legislative Staff Officer III</t>
  </si>
  <si>
    <t>Supervising Local Treasury Examiner</t>
  </si>
  <si>
    <t>Supervising Manpower Development Officer</t>
  </si>
  <si>
    <t>Supervising Maritime Industry Development Specialist</t>
  </si>
  <si>
    <t>Supervising Meat Control Officer</t>
  </si>
  <si>
    <t>Supervising Metallurgist</t>
  </si>
  <si>
    <t>Supervising News Editor</t>
  </si>
  <si>
    <t>Supervising Parole Officer</t>
  </si>
  <si>
    <t>Supervising Penal Institution Program Officer</t>
  </si>
  <si>
    <t>Supervising Personnel Specialist</t>
  </si>
  <si>
    <t>Supervising Photoengraver</t>
  </si>
  <si>
    <t>Supervising Political Affairs Officer</t>
  </si>
  <si>
    <t>Supervising Political Affairs Officer I</t>
  </si>
  <si>
    <t>Supervising Political Affairs Officer II</t>
  </si>
  <si>
    <t>Supervising Postal Service Officer</t>
  </si>
  <si>
    <t>Supervising Pressman</t>
  </si>
  <si>
    <t>Supervising Probation Officer</t>
  </si>
  <si>
    <t>Supervising Professional Regulations Officer</t>
  </si>
  <si>
    <t>Supervising Public Utilities Regulation Officer</t>
  </si>
  <si>
    <t>Supervising Records Management Analyst</t>
  </si>
  <si>
    <t>Supervising Remote Sensing Technologist</t>
  </si>
  <si>
    <t>Supervising Scholarship Affairs Officer</t>
  </si>
  <si>
    <t>Supervising Science Research Specialist</t>
  </si>
  <si>
    <t>Supervising Securities and Exchange Specialist</t>
  </si>
  <si>
    <t>Supervising Shipbuilding Specialist</t>
  </si>
  <si>
    <t>Supervising Shipping Operations Specialist</t>
  </si>
  <si>
    <t>Supervising Shrine Curator</t>
  </si>
  <si>
    <t>Supervising Sports and Games Regulation Officer</t>
  </si>
  <si>
    <t>Supervising Tariff Specialist</t>
  </si>
  <si>
    <t>Supervising Tax Specialist</t>
  </si>
  <si>
    <t>Supervising Technical Education and Skills Development Specialist</t>
  </si>
  <si>
    <t>Supervising Technical Audit Specialist</t>
  </si>
  <si>
    <t>Supervising Telegraphic Transfer Service Officer</t>
  </si>
  <si>
    <t>Supervising Tourism Operations Officer</t>
  </si>
  <si>
    <t>Supervising Trade-Industry Development Specialist</t>
  </si>
  <si>
    <t>Supervising Transportation Development Officer</t>
  </si>
  <si>
    <t>Supervising Transportation Regulation Officer</t>
  </si>
  <si>
    <t>Supervising Typesetter</t>
  </si>
  <si>
    <t>Supervising Veterans Assistance Officer</t>
  </si>
  <si>
    <t>Supervising Volunteer Service Officer</t>
  </si>
  <si>
    <t>Supervising Water Resources Development Officer</t>
  </si>
  <si>
    <t>Supervising Weather Facilities Specialist</t>
  </si>
  <si>
    <t>Supervising Weather Specialist</t>
  </si>
  <si>
    <t>Supervisor of Student Teaching</t>
  </si>
  <si>
    <t>Supplies Checker</t>
  </si>
  <si>
    <t>Supply Officer I</t>
  </si>
  <si>
    <t>Supply Officer II</t>
  </si>
  <si>
    <t>Supply Officer III</t>
  </si>
  <si>
    <t>Supply Officer IV</t>
  </si>
  <si>
    <t>Supply Officer V</t>
  </si>
  <si>
    <t>Surveyman</t>
  </si>
  <si>
    <t>Tailor</t>
  </si>
  <si>
    <t>Tariff Specialist I</t>
  </si>
  <si>
    <t>Tariff Specialist II</t>
  </si>
  <si>
    <t>Tax Mapper I</t>
  </si>
  <si>
    <t>Tax Mapper II</t>
  </si>
  <si>
    <t>Tax Mapper III</t>
  </si>
  <si>
    <t>Tax Mapper IV</t>
  </si>
  <si>
    <t>Tax Mapper V</t>
  </si>
  <si>
    <t>Tax Mapping Aide</t>
  </si>
  <si>
    <t>Tax Mapping Examiner</t>
  </si>
  <si>
    <t>Tax Specialist I</t>
  </si>
  <si>
    <t>Tax Specialist II</t>
  </si>
  <si>
    <t>Teacher Credentials Evaluator I</t>
  </si>
  <si>
    <t>Teacher Credentials Evaluator II</t>
  </si>
  <si>
    <t>Teacher Credentials Evaluator III</t>
  </si>
  <si>
    <t>Teacher I</t>
  </si>
  <si>
    <t>Teacher II</t>
  </si>
  <si>
    <t>Teacher III</t>
  </si>
  <si>
    <t>Teachers Camp Superintendent</t>
  </si>
  <si>
    <t>Teaching-Aids Specialist</t>
  </si>
  <si>
    <t>Technical Audit Analyst</t>
  </si>
  <si>
    <t>Technical Audit Specialist I</t>
  </si>
  <si>
    <t>Technical Audit Specialist II</t>
  </si>
  <si>
    <t>Technical Education and Skills Development Analyst</t>
  </si>
  <si>
    <t>Technical Education and Skills Development Specialist I</t>
  </si>
  <si>
    <t>Technical Education and Skills Development Specialist II</t>
  </si>
  <si>
    <t>Technical Sergeant</t>
  </si>
  <si>
    <t>Technician Education Specialist I</t>
  </si>
  <si>
    <t>Technician Education Specialist II</t>
  </si>
  <si>
    <t>Technician Education Specialist III</t>
  </si>
  <si>
    <t>Technician Education Specialist IV</t>
  </si>
  <si>
    <t>Technician Education Specialist V</t>
  </si>
  <si>
    <t>Telecommunications District Officer</t>
  </si>
  <si>
    <t>Telecommunications Traffic Supervisor</t>
  </si>
  <si>
    <t>Telegram Carrier</t>
  </si>
  <si>
    <t>Telegraphic Transfer Service Assistant</t>
  </si>
  <si>
    <t>Telegraphic Transfer Service Officer I</t>
  </si>
  <si>
    <t>Telegraphic Transfer Service Officer II</t>
  </si>
  <si>
    <t>Test Specialist I</t>
  </si>
  <si>
    <t>Test Specialist II</t>
  </si>
  <si>
    <t>Test Specialist III</t>
  </si>
  <si>
    <t>Test Technician I</t>
  </si>
  <si>
    <t>Test Technician II</t>
  </si>
  <si>
    <t>Textbook Editor</t>
  </si>
  <si>
    <t>Third Mate</t>
  </si>
  <si>
    <t>Ticket Checker</t>
  </si>
  <si>
    <t>Toolmaker Foreman</t>
  </si>
  <si>
    <t>Toolmaker General Foreman</t>
  </si>
  <si>
    <t>Toolmaker I</t>
  </si>
  <si>
    <t>Toolmaker II</t>
  </si>
  <si>
    <t>Tourism Operations Assistant</t>
  </si>
  <si>
    <t>Tourism Operations Officer I</t>
  </si>
  <si>
    <t>Tourism Operations Officer II</t>
  </si>
  <si>
    <t>Tourist Receptionist I</t>
  </si>
  <si>
    <t>Tourist Receptionist II</t>
  </si>
  <si>
    <t>Tourist Receptionist III</t>
  </si>
  <si>
    <t>Toxicologist I</t>
  </si>
  <si>
    <t>Toxicologist II</t>
  </si>
  <si>
    <t>Toxicologist III</t>
  </si>
  <si>
    <t>Tracer</t>
  </si>
  <si>
    <t>Trade Commissioner</t>
  </si>
  <si>
    <t>Trade Control Examiner I</t>
  </si>
  <si>
    <t>Trade Control Examiner II</t>
  </si>
  <si>
    <t>Trade Control Examiner III</t>
  </si>
  <si>
    <t>Trade-Industry Development Analyst</t>
  </si>
  <si>
    <t>Trade-Industry Development Specialist</t>
  </si>
  <si>
    <t>Traffic Aide I</t>
  </si>
  <si>
    <t>Traffic Aide II</t>
  </si>
  <si>
    <t>Traffic Aide III</t>
  </si>
  <si>
    <t>Traffic Operations Officer I</t>
  </si>
  <si>
    <t>Traffic Operations Officer II</t>
  </si>
  <si>
    <t>Traffic Operations Officer III</t>
  </si>
  <si>
    <t>Traffic Operations Officer IV</t>
  </si>
  <si>
    <t>Traffic Operations Officer V</t>
  </si>
  <si>
    <t>Training Assistant</t>
  </si>
  <si>
    <t>Training Center Superintendent I</t>
  </si>
  <si>
    <t>Training Center Superintendent II</t>
  </si>
  <si>
    <t>Training Specialist I</t>
  </si>
  <si>
    <t>Training Specialist II</t>
  </si>
  <si>
    <t>Training Specialist III</t>
  </si>
  <si>
    <t>Training Specialist IV</t>
  </si>
  <si>
    <t>Training Specialist V</t>
  </si>
  <si>
    <t>Translator I</t>
  </si>
  <si>
    <t>Translator II</t>
  </si>
  <si>
    <t>Transportation Development Officer I</t>
  </si>
  <si>
    <t>Transportation Development Officer II</t>
  </si>
  <si>
    <t>Transportation Regulation Officer I</t>
  </si>
  <si>
    <t>Transportation Regulation Officer II</t>
  </si>
  <si>
    <t>Treasurer of the Philippines</t>
  </si>
  <si>
    <t>Treasury Claims Processor I</t>
  </si>
  <si>
    <t>Treasury Claims Processor II</t>
  </si>
  <si>
    <t>Treasury Operations Assistant</t>
  </si>
  <si>
    <t>Treasury Operations Officer I</t>
  </si>
  <si>
    <t>Treasury Operations Officer II</t>
  </si>
  <si>
    <t>Treasury Operations Officer III</t>
  </si>
  <si>
    <t>Treasury Operations Officer IV</t>
  </si>
  <si>
    <t>Tree Marker</t>
  </si>
  <si>
    <t>Tribal Affairs Assistant I</t>
  </si>
  <si>
    <t>Tribal Affairs Assistant II</t>
  </si>
  <si>
    <t>Typesetter I</t>
  </si>
  <si>
    <t>Typesetter II</t>
  </si>
  <si>
    <t>Typesetter III</t>
  </si>
  <si>
    <t>Typesetter IV</t>
  </si>
  <si>
    <t>Unallocated</t>
  </si>
  <si>
    <t>University Extension Associate I</t>
  </si>
  <si>
    <t>University Extension Associate II</t>
  </si>
  <si>
    <t>University Extension Specialist I</t>
  </si>
  <si>
    <t>University Extension Specialist II</t>
  </si>
  <si>
    <t>University Extension Specialist III</t>
  </si>
  <si>
    <t>University Extension Specialist IV</t>
  </si>
  <si>
    <t>University Extension Specialist V</t>
  </si>
  <si>
    <t>University Professor</t>
  </si>
  <si>
    <t>University Research Associate I</t>
  </si>
  <si>
    <t>University Research Associate II</t>
  </si>
  <si>
    <t>University Researcher I</t>
  </si>
  <si>
    <t>University Researcher II</t>
  </si>
  <si>
    <t>University Researcher III</t>
  </si>
  <si>
    <t>University Researcher IV</t>
  </si>
  <si>
    <t>University Researcher V</t>
  </si>
  <si>
    <t>University Secretary I</t>
  </si>
  <si>
    <t>University Secretary II</t>
  </si>
  <si>
    <t>UP Executive Vice-President</t>
  </si>
  <si>
    <t>UP President</t>
  </si>
  <si>
    <t>UP Vice-President</t>
  </si>
  <si>
    <t>Utility Foreman</t>
  </si>
  <si>
    <t>Utility Worker I</t>
  </si>
  <si>
    <t>Utility Worker II</t>
  </si>
  <si>
    <t>Venom Extractor</t>
  </si>
  <si>
    <t>Veterans Assistance Officer I</t>
  </si>
  <si>
    <t>Veterans Assistance Officer II</t>
  </si>
  <si>
    <t>Veterinarian I</t>
  </si>
  <si>
    <t>Veterinarian II</t>
  </si>
  <si>
    <t>Veterinarian III</t>
  </si>
  <si>
    <t>Veterinarian IV</t>
  </si>
  <si>
    <t>Veterinarian V</t>
  </si>
  <si>
    <t>Veterinarian VI</t>
  </si>
  <si>
    <t>Veterinarian VII</t>
  </si>
  <si>
    <t>Vice Admiral</t>
  </si>
  <si>
    <t>Vice Chairman (Ex-Officio)</t>
  </si>
  <si>
    <t>Vice Presidential Staff Officer I</t>
  </si>
  <si>
    <t>Vice Presidential Staff Officer II</t>
  </si>
  <si>
    <t>Vice Presidential Staff Officer III</t>
  </si>
  <si>
    <t>Vice Presidential Staff Officer IV</t>
  </si>
  <si>
    <t>Vice Presidential Staff Officer V</t>
  </si>
  <si>
    <t>Vice Presidential Staff Officer VI</t>
  </si>
  <si>
    <t>Vice-President of the Philippines</t>
  </si>
  <si>
    <t>Virologist</t>
  </si>
  <si>
    <t>Vocational Instruction Supervisor I</t>
  </si>
  <si>
    <t>Vocational Instruction Supervisor II</t>
  </si>
  <si>
    <t>Vocational Instruction Supervisor III</t>
  </si>
  <si>
    <t>Vocational Placement Coordinator I</t>
  </si>
  <si>
    <t>Vocational Placement Coordinator II</t>
  </si>
  <si>
    <t>Vocational Placement Coordinator III</t>
  </si>
  <si>
    <t>Vocational School Administrator I</t>
  </si>
  <si>
    <t>Vocational School Administrator II</t>
  </si>
  <si>
    <t>Vocational School Administrator III</t>
  </si>
  <si>
    <t>Vocational School Dean</t>
  </si>
  <si>
    <t>Vocational School Department Head</t>
  </si>
  <si>
    <t>Vocational School Superintendent</t>
  </si>
  <si>
    <t>Vocational School Superintendent I</t>
  </si>
  <si>
    <t>Vocational School Superintendent II</t>
  </si>
  <si>
    <t>Volunteer Service Officer I</t>
  </si>
  <si>
    <t>Volunteer Service Officer II</t>
  </si>
  <si>
    <t>Waiter I</t>
  </si>
  <si>
    <t>Waiter II</t>
  </si>
  <si>
    <t>Ward Assistant</t>
  </si>
  <si>
    <t>Wardress I</t>
  </si>
  <si>
    <t>Wardress II</t>
  </si>
  <si>
    <t>Warehouse Inspector</t>
  </si>
  <si>
    <t>Warehouseman I</t>
  </si>
  <si>
    <t>Warehouseman II</t>
  </si>
  <si>
    <t>Warehouseman III</t>
  </si>
  <si>
    <t>Warehouseman IV</t>
  </si>
  <si>
    <t>Watchman I</t>
  </si>
  <si>
    <t>Watchman II</t>
  </si>
  <si>
    <t>Watchman III</t>
  </si>
  <si>
    <t>Water Pump Operator</t>
  </si>
  <si>
    <t>Water Resources Development Officer I</t>
  </si>
  <si>
    <t>Water Resources Development Officer II</t>
  </si>
  <si>
    <t>Water System Development Assistant</t>
  </si>
  <si>
    <t>Water System Development Officer I</t>
  </si>
  <si>
    <t>Water System Development Officer II</t>
  </si>
  <si>
    <t>Water System Development Officer III</t>
  </si>
  <si>
    <t>Waterworks Superintendent I</t>
  </si>
  <si>
    <t>Waterworks Superintendent II</t>
  </si>
  <si>
    <t>Waterworks Supervisor</t>
  </si>
  <si>
    <t>Waterworks Technician</t>
  </si>
  <si>
    <t>Weather Facilities Specialist I</t>
  </si>
  <si>
    <t>Weather Facilities Specialist II</t>
  </si>
  <si>
    <t>Weather Facilities Specialist III</t>
  </si>
  <si>
    <t>Weather Facilities Technician I</t>
  </si>
  <si>
    <t>Weather Facilities Technician II</t>
  </si>
  <si>
    <t>Weather Facilities Technician III</t>
  </si>
  <si>
    <t>Weather Observation Aide</t>
  </si>
  <si>
    <t>Weather Observer I</t>
  </si>
  <si>
    <t>Weather Observer II</t>
  </si>
  <si>
    <t>Weather Observer III</t>
  </si>
  <si>
    <t>Weather Observer IV</t>
  </si>
  <si>
    <t>Weather Services Chief</t>
  </si>
  <si>
    <t>Weather Specialist I</t>
  </si>
  <si>
    <t>Weather Specialist II</t>
  </si>
  <si>
    <t>Welder Foreman</t>
  </si>
  <si>
    <t>Welder I</t>
  </si>
  <si>
    <t>Welder II</t>
  </si>
  <si>
    <t>Well Driller I</t>
  </si>
  <si>
    <t>Well Driller II</t>
  </si>
  <si>
    <t>Well Drilling Supervisor I</t>
  </si>
  <si>
    <t>Well Drilling Supervisor II</t>
  </si>
  <si>
    <t>Work Order Tracer</t>
  </si>
  <si>
    <t>Youth Development Assistant I</t>
  </si>
  <si>
    <t>Youth Development Assistant II</t>
  </si>
  <si>
    <t>Youth Development Officer I</t>
  </si>
  <si>
    <t>Youth Development Officer II</t>
  </si>
  <si>
    <t>Youth Development Officer III</t>
  </si>
  <si>
    <t>Youth Development Officer IV</t>
  </si>
  <si>
    <t>Youth Development Officer V</t>
  </si>
  <si>
    <t>Zoning Inspector I</t>
  </si>
  <si>
    <t>Zoning Inspector II</t>
  </si>
  <si>
    <t>Zoning Officer I</t>
  </si>
  <si>
    <t>Zoning Officer II</t>
  </si>
  <si>
    <t>Zoning Officer III</t>
  </si>
  <si>
    <t>Zoning Officer IV</t>
  </si>
  <si>
    <t>Zoologist I</t>
  </si>
  <si>
    <t>Zoologist II</t>
  </si>
  <si>
    <t>Zoologist III</t>
  </si>
  <si>
    <t>Zoologist IV</t>
  </si>
  <si>
    <t>Zoologist V</t>
  </si>
  <si>
    <t>Zoology Technician</t>
  </si>
  <si>
    <t>NONE</t>
  </si>
  <si>
    <t>Agricultural Officer Examination</t>
  </si>
  <si>
    <t>Agriculture Extension Officer Examination</t>
  </si>
  <si>
    <t>Agronomist Examination</t>
  </si>
  <si>
    <t>Auditor Examination</t>
  </si>
  <si>
    <t>Bar/Board Eligibility (RA 1080)</t>
  </si>
  <si>
    <t>Barangay Health Worker Eligibility (RA7883)</t>
  </si>
  <si>
    <t>Barangay Nutrition Scholar Eligibility (PD1569)</t>
  </si>
  <si>
    <t>Barangay Official Eligibility (RA7160)</t>
  </si>
  <si>
    <t>Career Executive Service Eligibility</t>
  </si>
  <si>
    <t>Career Executive Service Officer</t>
  </si>
  <si>
    <t>Career Service Executive Examination</t>
  </si>
  <si>
    <t>Certified Public Accountant</t>
  </si>
  <si>
    <t>Chemistry Profession Act (RA 10657)</t>
  </si>
  <si>
    <t>Cultural Community Employee</t>
  </si>
  <si>
    <t>Cultural Community Officer</t>
  </si>
  <si>
    <t>Custom Examiner Entension Examination</t>
  </si>
  <si>
    <t>EDP Specialist Eligibility (CSC resolution 90-083)</t>
  </si>
  <si>
    <t>Electronic Data Processing Specialist Eligibility (PD 1408)</t>
  </si>
  <si>
    <t>Farm Management Technician Examination</t>
  </si>
  <si>
    <t>Fire Officer Examination</t>
  </si>
  <si>
    <t>First Grade Examination</t>
  </si>
  <si>
    <t>Fishery Biologist Examination</t>
  </si>
  <si>
    <t>Fishery Officer Examination</t>
  </si>
  <si>
    <t>Fishery Technologist Examination</t>
  </si>
  <si>
    <t>Food Technician Examination</t>
  </si>
  <si>
    <t>Foreign School Honor Graduate Eligibility (CSC Resulotion 1302714)</t>
  </si>
  <si>
    <t>Foreign Service Officer Examination</t>
  </si>
  <si>
    <t>Foreign Trade Services Officer Examination</t>
  </si>
  <si>
    <t>Forestry Technician Examination</t>
  </si>
  <si>
    <t>Home Economics Extension Officer Examination</t>
  </si>
  <si>
    <t>Honor Graduate Eligibility (PD 907)</t>
  </si>
  <si>
    <t>Junior Teacher Examination</t>
  </si>
  <si>
    <t>Licensure Examination for Teachers</t>
  </si>
  <si>
    <t>Local Treasury Officer Examination</t>
  </si>
  <si>
    <t>Magna Carta for Public School Teachers (RA 4670)</t>
  </si>
  <si>
    <t>Management Analyst Examination</t>
  </si>
  <si>
    <t>Manpower Development Officer Examination</t>
  </si>
  <si>
    <t>Meat Inspector Examination</t>
  </si>
  <si>
    <t>Money Counter Examination</t>
  </si>
  <si>
    <t>Municipal Treasurer Examination</t>
  </si>
  <si>
    <t>NAPOLCOM Entrance Examination</t>
  </si>
  <si>
    <t>National Certificate I (NC I)</t>
  </si>
  <si>
    <t>National Certificate II (NC II)</t>
  </si>
  <si>
    <t>National Certificate III (NC III)</t>
  </si>
  <si>
    <t>National Certificate IV (NC IV)</t>
  </si>
  <si>
    <t>Penology Employee Examination</t>
  </si>
  <si>
    <t>Penology Officer Examination</t>
  </si>
  <si>
    <t>Police Officer Examination</t>
  </si>
  <si>
    <t>Postmaster Examination</t>
  </si>
  <si>
    <t>Professional</t>
  </si>
  <si>
    <t>Professional Board Examination for Teacher</t>
  </si>
  <si>
    <t>Rasul Bill (RA 6850)</t>
  </si>
  <si>
    <t>Real Property Assessing Officer Examination</t>
  </si>
  <si>
    <t>Sanggunian Member Eligibility (RA 10156)</t>
  </si>
  <si>
    <t>Sanitarian Examination</t>
  </si>
  <si>
    <t>Scientific and Technological Specialist Eligibility (PD 997)</t>
  </si>
  <si>
    <t>Second Grade Examination</t>
  </si>
  <si>
    <t>Senior Teacher Examination</t>
  </si>
  <si>
    <t>Soil Technologist Examination</t>
  </si>
  <si>
    <t>Statistical Aide Examination</t>
  </si>
  <si>
    <t>Statistician Examination</t>
  </si>
  <si>
    <t>Stenographer Examination</t>
  </si>
  <si>
    <t>Sub-Professional</t>
  </si>
  <si>
    <t>Superintendent Examination</t>
  </si>
  <si>
    <t>Supervising Customs Appraiser Examination</t>
  </si>
  <si>
    <t>Teacher Examination</t>
  </si>
  <si>
    <t>Third Grade Examination</t>
  </si>
  <si>
    <t>In column 19, select the employee's appointment status from the dropdown list.  P - "Permanent", E - "Elected", T - "Temporary", S - "Subtitute", CT - "Co-terminous", PA - "Presidential Appointee", and FT - "Fixed-Term".</t>
  </si>
  <si>
    <t>HRMO Account Update Form</t>
  </si>
  <si>
    <t>CSC Field Office:</t>
  </si>
  <si>
    <t>Agency Information</t>
  </si>
  <si>
    <t>Name of Agency/Office</t>
  </si>
  <si>
    <t>Agency Official Email Address</t>
  </si>
  <si>
    <t>HRMO Focal Person Information</t>
  </si>
  <si>
    <t>Position</t>
  </si>
  <si>
    <t>Contact No.</t>
  </si>
  <si>
    <t>HRMO Email Address</t>
  </si>
  <si>
    <t>Lastname</t>
  </si>
  <si>
    <t>Firstname</t>
  </si>
  <si>
    <t>Middlename/MI</t>
  </si>
  <si>
    <t xml:space="preserve">MUNICIPAL MAYOR </t>
  </si>
  <si>
    <t>MIMAROPA</t>
  </si>
  <si>
    <t>MUNICIPALITY</t>
  </si>
  <si>
    <t>CARRION</t>
  </si>
  <si>
    <t>ARMI</t>
  </si>
  <si>
    <t>DELA CRUZ</t>
  </si>
  <si>
    <t>F</t>
  </si>
  <si>
    <t>ELECTIVE</t>
  </si>
  <si>
    <t xml:space="preserve">                                        </t>
  </si>
  <si>
    <t>SENIOR ADMINISTRATIVE ASSISTANT III (PRIVATE SECRETARY II)</t>
  </si>
  <si>
    <t>MANALO</t>
  </si>
  <si>
    <t>MARY JEAN</t>
  </si>
  <si>
    <t>LEYNES</t>
  </si>
  <si>
    <t>CO-TERM</t>
  </si>
  <si>
    <t>ADMINISTRATIVE AIDE IV (CLERK II)</t>
  </si>
  <si>
    <t>ADMINISTRATIVE AIDE IV (DRIVER II)</t>
  </si>
  <si>
    <t xml:space="preserve">SECURITY OFFICER I </t>
  </si>
  <si>
    <t>EVIOTA</t>
  </si>
  <si>
    <t>RAUL</t>
  </si>
  <si>
    <t>SAMANO</t>
  </si>
  <si>
    <t>M</t>
  </si>
  <si>
    <t>ADMINISTRATIVE OFFICER IV (INFORMATION OFFICER II)</t>
  </si>
  <si>
    <t>LOTO</t>
  </si>
  <si>
    <t>MA. GENOVEVA</t>
  </si>
  <si>
    <t>GARCIA</t>
  </si>
  <si>
    <t>PERMANENT</t>
  </si>
  <si>
    <t xml:space="preserve">LIBRARIAN I </t>
  </si>
  <si>
    <t>MANGUERA</t>
  </si>
  <si>
    <t>GIL FRANCIS</t>
  </si>
  <si>
    <t>CAMERO</t>
  </si>
  <si>
    <t xml:space="preserve">COMMUNITY AFFAIRS OFFICER I </t>
  </si>
  <si>
    <t>CESISTA</t>
  </si>
  <si>
    <t>JENSKY</t>
  </si>
  <si>
    <t>MANAHAN</t>
  </si>
  <si>
    <t>ADMINISTRATIVE AIDE III (UTILITY WORKER II)</t>
  </si>
  <si>
    <t>LAZO</t>
  </si>
  <si>
    <t>ARVIN</t>
  </si>
  <si>
    <t>CRUZADO</t>
  </si>
  <si>
    <t>MERCADO</t>
  </si>
  <si>
    <t xml:space="preserve">LEODY MARIE </t>
  </si>
  <si>
    <t>JALOS</t>
  </si>
  <si>
    <t>ADMINISTRATIVE OFFICER IV (HUMAN RESOURCE MANAGEMENT OFFICER II)</t>
  </si>
  <si>
    <t>BUENAVENTURA</t>
  </si>
  <si>
    <t>DONNALYN</t>
  </si>
  <si>
    <t>MAGPARANGALAN</t>
  </si>
  <si>
    <t>ADMINISTRATIVE AIDE IV (HUMAN RESOURCE MANAGEMENT AIDE)</t>
  </si>
  <si>
    <t xml:space="preserve">MALACAS </t>
  </si>
  <si>
    <t>REBECCA</t>
  </si>
  <si>
    <t>ZOLETA</t>
  </si>
  <si>
    <t xml:space="preserve">LICENSING OFFICER I </t>
  </si>
  <si>
    <t>SUMO</t>
  </si>
  <si>
    <t>MA. ROSA</t>
  </si>
  <si>
    <t>PIÑON</t>
  </si>
  <si>
    <t>MABIOG</t>
  </si>
  <si>
    <t>JEREMIAH</t>
  </si>
  <si>
    <t>JALIMBAWA</t>
  </si>
  <si>
    <t xml:space="preserve">SPORT AND GAME INSP II </t>
  </si>
  <si>
    <t>BUGARIN</t>
  </si>
  <si>
    <t>RAFAEL</t>
  </si>
  <si>
    <t>LEAÑO</t>
  </si>
  <si>
    <t xml:space="preserve">INFORMATION TECHONOLOGY OFFICER I </t>
  </si>
  <si>
    <t>MONTEVIRGEN</t>
  </si>
  <si>
    <t>JACOB</t>
  </si>
  <si>
    <t>MAGALANG</t>
  </si>
  <si>
    <t xml:space="preserve">MUNICIPAL VICE MAYOR </t>
  </si>
  <si>
    <t>SEÑO</t>
  </si>
  <si>
    <t>MARK ANTHONY</t>
  </si>
  <si>
    <t>ESTRADA</t>
  </si>
  <si>
    <t>ADMINISTRATIVE AIDE VI (CLERK III)</t>
  </si>
  <si>
    <t>SEMILLA</t>
  </si>
  <si>
    <t>LYDIA</t>
  </si>
  <si>
    <t>MAGISTRADO</t>
  </si>
  <si>
    <t xml:space="preserve">SB MEMBER </t>
  </si>
  <si>
    <t>SOLOMON</t>
  </si>
  <si>
    <t>ALEJNIC ANDREW</t>
  </si>
  <si>
    <t>MAGCAMIT</t>
  </si>
  <si>
    <t>JINANG</t>
  </si>
  <si>
    <t>MARK ANGELO</t>
  </si>
  <si>
    <t>LAYLAY</t>
  </si>
  <si>
    <t>LUISITO</t>
  </si>
  <si>
    <t>SOLANO</t>
  </si>
  <si>
    <t>GILMER</t>
  </si>
  <si>
    <t>RICAFRENTE</t>
  </si>
  <si>
    <t>JACINTO</t>
  </si>
  <si>
    <t>FRANCIS</t>
  </si>
  <si>
    <t>MANRIQUE</t>
  </si>
  <si>
    <t>JUSTIN ANGELO</t>
  </si>
  <si>
    <t>JARDELEZA</t>
  </si>
  <si>
    <t>MABUTI</t>
  </si>
  <si>
    <t>WILSON</t>
  </si>
  <si>
    <t>WAQUIZ</t>
  </si>
  <si>
    <t>MASCAREÑAS</t>
  </si>
  <si>
    <t>GELACIO RAPHAEL</t>
  </si>
  <si>
    <t>MIRAFLOR</t>
  </si>
  <si>
    <t>DONNAH</t>
  </si>
  <si>
    <t>JAYAG</t>
  </si>
  <si>
    <t>JOHN MARK</t>
  </si>
  <si>
    <t xml:space="preserve">SECRETARY TO THE SANGGUNIANG BAYAN </t>
  </si>
  <si>
    <t>SALAZAR</t>
  </si>
  <si>
    <t>ZIEDRICK RAFAEL</t>
  </si>
  <si>
    <t>MAJABA</t>
  </si>
  <si>
    <t xml:space="preserve">LOCAL LEGISLATIVE  STAFF OFFICER I </t>
  </si>
  <si>
    <t xml:space="preserve">JANDUSAY </t>
  </si>
  <si>
    <t>KATHERINE ROSE</t>
  </si>
  <si>
    <t>MALCO</t>
  </si>
  <si>
    <t>JAMILLA</t>
  </si>
  <si>
    <t>PINKY</t>
  </si>
  <si>
    <t>MAMING</t>
  </si>
  <si>
    <t>CHI</t>
  </si>
  <si>
    <t>BERNADETTE</t>
  </si>
  <si>
    <t>ADMINISTRATIVE AIDE III (CLERK I)</t>
  </si>
  <si>
    <t>MORONG</t>
  </si>
  <si>
    <t>BENILDA</t>
  </si>
  <si>
    <t>MORALES</t>
  </si>
  <si>
    <t>ECLAVEA</t>
  </si>
  <si>
    <t>ZYREEN</t>
  </si>
  <si>
    <t xml:space="preserve">MUNICIPAL TREASURER </t>
  </si>
  <si>
    <t>GAYUTIN</t>
  </si>
  <si>
    <t xml:space="preserve">ROBERT </t>
  </si>
  <si>
    <t>LACEDA</t>
  </si>
  <si>
    <t>ADMINISTRATIVE OFFICER I (RECORDS OFFICER I)</t>
  </si>
  <si>
    <t>NALING</t>
  </si>
  <si>
    <t>FEDERICO</t>
  </si>
  <si>
    <t>MABANSAG</t>
  </si>
  <si>
    <t>ADMINISTRATIVE OFFICER I CASHIER I</t>
  </si>
  <si>
    <t>ONTE</t>
  </si>
  <si>
    <t>IVY</t>
  </si>
  <si>
    <t>LLAVE</t>
  </si>
  <si>
    <t>MATINING</t>
  </si>
  <si>
    <t>SHYREL</t>
  </si>
  <si>
    <t>OSACDIN</t>
  </si>
  <si>
    <t>ADMINISTRATIVE ASSISTANT II (CLERK IV)</t>
  </si>
  <si>
    <t>LORETO</t>
  </si>
  <si>
    <t>LORENA</t>
  </si>
  <si>
    <t>PUGOY</t>
  </si>
  <si>
    <t xml:space="preserve">LOCAL TREASURY OPERATIONS OFFICER II </t>
  </si>
  <si>
    <t>MARQUEZ</t>
  </si>
  <si>
    <t>PAUL GAYSON</t>
  </si>
  <si>
    <t>BUNAG</t>
  </si>
  <si>
    <t xml:space="preserve">LOCAL TREASURY OPERATIONS OFFICER I </t>
  </si>
  <si>
    <t>MALELANG</t>
  </si>
  <si>
    <t>AURORA</t>
  </si>
  <si>
    <t>MADLA</t>
  </si>
  <si>
    <t>LECAROS</t>
  </si>
  <si>
    <t>RUDEMIL</t>
  </si>
  <si>
    <t>MISTIOLA</t>
  </si>
  <si>
    <t xml:space="preserve">REVENUE COLLECTION CLERK III </t>
  </si>
  <si>
    <t>AUGUSTO</t>
  </si>
  <si>
    <t>ORILLA</t>
  </si>
  <si>
    <t xml:space="preserve">ARVIN JULIUS </t>
  </si>
  <si>
    <t xml:space="preserve">MISAL </t>
  </si>
  <si>
    <t>CARMELO</t>
  </si>
  <si>
    <t>LINGON</t>
  </si>
  <si>
    <t>JOSEPH</t>
  </si>
  <si>
    <t xml:space="preserve">REVENUE COLLECTION CLERK II </t>
  </si>
  <si>
    <t>ADMINISTRATIVE OFFICER III (SUPPLY OFFICER II)</t>
  </si>
  <si>
    <t>JAMBALOS</t>
  </si>
  <si>
    <t>DENNIS</t>
  </si>
  <si>
    <t>MARTILLANO</t>
  </si>
  <si>
    <t>ADMINISTRATIVE ASSISTANT III (STOREKEEPER III)</t>
  </si>
  <si>
    <t>LUZVIMINDA</t>
  </si>
  <si>
    <t>LADAO</t>
  </si>
  <si>
    <t>LITONJUA</t>
  </si>
  <si>
    <t>BRYAN</t>
  </si>
  <si>
    <t xml:space="preserve">MUNICIPAL ASSESSOR </t>
  </si>
  <si>
    <t>NIEVA</t>
  </si>
  <si>
    <t>RICARDO</t>
  </si>
  <si>
    <t>JANDUSAY</t>
  </si>
  <si>
    <t xml:space="preserve">LOCAL ASSESSMENT OPERATION OFFICER II </t>
  </si>
  <si>
    <t>LATOMBO</t>
  </si>
  <si>
    <t>ANALIZA</t>
  </si>
  <si>
    <t>MANHIT</t>
  </si>
  <si>
    <t xml:space="preserve">LOCAL ASSESSMENT OPERATION OFFICER I </t>
  </si>
  <si>
    <t>MAGTURO</t>
  </si>
  <si>
    <t>JONATHAN</t>
  </si>
  <si>
    <t>ENRIQUEZ</t>
  </si>
  <si>
    <t xml:space="preserve">ASSESSMENT CLERK  III </t>
  </si>
  <si>
    <t>MALVAR</t>
  </si>
  <si>
    <t>KRISTIAN PAOLO</t>
  </si>
  <si>
    <t>SAMARITA</t>
  </si>
  <si>
    <t xml:space="preserve">ASSESSMENT CLERK  II </t>
  </si>
  <si>
    <t>NEPOMUCENO</t>
  </si>
  <si>
    <t>ARCEL SEGIA</t>
  </si>
  <si>
    <t xml:space="preserve">TAXMAPPER I </t>
  </si>
  <si>
    <t>REFUGIO</t>
  </si>
  <si>
    <t>VEMBER</t>
  </si>
  <si>
    <t>LACENA</t>
  </si>
  <si>
    <t xml:space="preserve">MUNICIPAL ACCOUNTANT </t>
  </si>
  <si>
    <t>ORNEDO</t>
  </si>
  <si>
    <t>MICHAELA POTENCIANA</t>
  </si>
  <si>
    <t>MIRAFUENTE</t>
  </si>
  <si>
    <t>ADMINISTRATIVE OFFICER IV (MANAGEMENT AND AUDIT ANALYST II)</t>
  </si>
  <si>
    <t>CALACHAN</t>
  </si>
  <si>
    <t>EVANGELINE</t>
  </si>
  <si>
    <t>CORTES</t>
  </si>
  <si>
    <t>ADMINISTRATIVE ASSISTANT III (SENIOR BOOKKEEPER)</t>
  </si>
  <si>
    <t>MAUREEN</t>
  </si>
  <si>
    <t>MASCARENAS</t>
  </si>
  <si>
    <t>ADMINISTRATIVE ASSISTANT II (ACCOUNTING CLERK III)</t>
  </si>
  <si>
    <t>ROJO</t>
  </si>
  <si>
    <t>MARJORIE ANNE</t>
  </si>
  <si>
    <t>VASQUEZ</t>
  </si>
  <si>
    <t>MARY ANN</t>
  </si>
  <si>
    <t>FLORES</t>
  </si>
  <si>
    <t>RHEALYN</t>
  </si>
  <si>
    <t>YGUSGUIZA</t>
  </si>
  <si>
    <t>ADMINISTRATIVE ASSISTANT II (BOOKKEEPER I)</t>
  </si>
  <si>
    <t>MALANGIS</t>
  </si>
  <si>
    <t>PAULENE</t>
  </si>
  <si>
    <t>NABING</t>
  </si>
  <si>
    <t>DELOS MARTIREZ</t>
  </si>
  <si>
    <t>JEZELLE</t>
  </si>
  <si>
    <t>MARMOL</t>
  </si>
  <si>
    <t>EDSEL</t>
  </si>
  <si>
    <t>MAANO</t>
  </si>
  <si>
    <t>MARTICIO</t>
  </si>
  <si>
    <t>ARNELIZA</t>
  </si>
  <si>
    <t>MANDIA</t>
  </si>
  <si>
    <t>LARIRIT</t>
  </si>
  <si>
    <t>EDWARD</t>
  </si>
  <si>
    <t>MONTEREY</t>
  </si>
  <si>
    <t xml:space="preserve">MUNICIPAL BUGET OFFICER </t>
  </si>
  <si>
    <t>BERNILO</t>
  </si>
  <si>
    <t>ALCANTARA</t>
  </si>
  <si>
    <t>ADMINISTRATIVE OFFICER II (BUDGET OFFICER I)</t>
  </si>
  <si>
    <t>MALAPOTE</t>
  </si>
  <si>
    <t>MELODY</t>
  </si>
  <si>
    <t>MONTIANO</t>
  </si>
  <si>
    <t>AQUILLO</t>
  </si>
  <si>
    <t xml:space="preserve">JANET </t>
  </si>
  <si>
    <t>LUBRIN</t>
  </si>
  <si>
    <t xml:space="preserve">MUNICIPAL PLANNING AND DEVELOPMENT  COORDINATOR </t>
  </si>
  <si>
    <t>LAMAC</t>
  </si>
  <si>
    <t>RIA</t>
  </si>
  <si>
    <t xml:space="preserve">PROJECT DEVELOPMENT OFFICER II </t>
  </si>
  <si>
    <t>REJANO</t>
  </si>
  <si>
    <t>RONILLE</t>
  </si>
  <si>
    <t>REY</t>
  </si>
  <si>
    <t xml:space="preserve">ZONING OFFICER I </t>
  </si>
  <si>
    <t>GARAY</t>
  </si>
  <si>
    <t>JHON ELBERT</t>
  </si>
  <si>
    <t>ADMINISTRATIVE ASSISTANT II 
(CLERK IV)</t>
  </si>
  <si>
    <t>LABAYNA</t>
  </si>
  <si>
    <t>JANE</t>
  </si>
  <si>
    <t>JOSUE</t>
  </si>
  <si>
    <t>DE CHAVEZ</t>
  </si>
  <si>
    <t>RONALYN</t>
  </si>
  <si>
    <t>JAGONG</t>
  </si>
  <si>
    <t xml:space="preserve">Municipal Engineer </t>
  </si>
  <si>
    <t>AGUILAR</t>
  </si>
  <si>
    <t>LEE</t>
  </si>
  <si>
    <t xml:space="preserve">ENGINEER III </t>
  </si>
  <si>
    <t xml:space="preserve">DRAFTSMAN I </t>
  </si>
  <si>
    <t>DAVALOS</t>
  </si>
  <si>
    <t>ROMEO JR</t>
  </si>
  <si>
    <t>MAZON</t>
  </si>
  <si>
    <t>JAZMIN</t>
  </si>
  <si>
    <t>MASCULINO</t>
  </si>
  <si>
    <t>LABOG</t>
  </si>
  <si>
    <t>RICAREDO</t>
  </si>
  <si>
    <t>MACUNAT</t>
  </si>
  <si>
    <t>ADMINISTRATIVE ASSISTANT II (LABOR GENERAL FOREMAN)</t>
  </si>
  <si>
    <t>NOLAN</t>
  </si>
  <si>
    <t>BUENAVENTRA</t>
  </si>
  <si>
    <t>MAHAGUAY JR</t>
  </si>
  <si>
    <t>AMANDO</t>
  </si>
  <si>
    <t>MALABAYABAS</t>
  </si>
  <si>
    <t>LADERAS</t>
  </si>
  <si>
    <t>RENANTE</t>
  </si>
  <si>
    <t>MEDALLON</t>
  </si>
  <si>
    <t>ADMINISTRATIVE AIDE III (LABORER II)</t>
  </si>
  <si>
    <t>LIVELO</t>
  </si>
  <si>
    <t>MARVIN</t>
  </si>
  <si>
    <t>JORDAN</t>
  </si>
  <si>
    <t>JABAT</t>
  </si>
  <si>
    <t>TITO DOMINGO</t>
  </si>
  <si>
    <t>OLIVIDO</t>
  </si>
  <si>
    <t>JULIO</t>
  </si>
  <si>
    <t>MONTEMAR</t>
  </si>
  <si>
    <t>RANDY</t>
  </si>
  <si>
    <t>EDIEMER</t>
  </si>
  <si>
    <t>MALAPAD</t>
  </si>
  <si>
    <t>ROLAN</t>
  </si>
  <si>
    <t>LABATETE</t>
  </si>
  <si>
    <t>RONALD</t>
  </si>
  <si>
    <t>ASTORIAS</t>
  </si>
  <si>
    <t>CAAMPUED</t>
  </si>
  <si>
    <t>RAMIL</t>
  </si>
  <si>
    <t>JOGNO</t>
  </si>
  <si>
    <t>ADMINISTRATIVE AIDE IV (ELECTRICIAN I)</t>
  </si>
  <si>
    <t>ALAN</t>
  </si>
  <si>
    <t>OLYMPIA</t>
  </si>
  <si>
    <t>ELEMAR</t>
  </si>
  <si>
    <t>MANGOL</t>
  </si>
  <si>
    <t>JOHN PATRICK</t>
  </si>
  <si>
    <t>GRULLO</t>
  </si>
  <si>
    <t>EMA</t>
  </si>
  <si>
    <t>SENA</t>
  </si>
  <si>
    <t>CLEMENTE</t>
  </si>
  <si>
    <t>SAN JUAN</t>
  </si>
  <si>
    <t xml:space="preserve">ROMMEL </t>
  </si>
  <si>
    <t>DANIEL</t>
  </si>
  <si>
    <t>NOCIDO</t>
  </si>
  <si>
    <t xml:space="preserve">CONST. &amp; MAINTENANCE GENERAL FOREMAN </t>
  </si>
  <si>
    <t>NITORAL</t>
  </si>
  <si>
    <t>ANDRO</t>
  </si>
  <si>
    <t>OSINSAO</t>
  </si>
  <si>
    <t>NIEL</t>
  </si>
  <si>
    <t>LEVA</t>
  </si>
  <si>
    <t>ADMINISTRATIVE AIDE V 
(CARPENTER II)</t>
  </si>
  <si>
    <t>MANUBA</t>
  </si>
  <si>
    <t>JUNE</t>
  </si>
  <si>
    <t>MERCENE</t>
  </si>
  <si>
    <t>ADMINISTRATIVE AIDE V 
(MASON II)</t>
  </si>
  <si>
    <t>HERMOSA</t>
  </si>
  <si>
    <t>ARJIE</t>
  </si>
  <si>
    <t>MINDORO</t>
  </si>
  <si>
    <t>BIANES</t>
  </si>
  <si>
    <t>ASTROBAL</t>
  </si>
  <si>
    <t>MONLEON</t>
  </si>
  <si>
    <t>RODING</t>
  </si>
  <si>
    <t>LAYRON</t>
  </si>
  <si>
    <t>DONATO</t>
  </si>
  <si>
    <t xml:space="preserve">ADMINISTRATIVE AIDE VI </t>
  </si>
  <si>
    <t>LASAC</t>
  </si>
  <si>
    <t>REYNALDO</t>
  </si>
  <si>
    <t xml:space="preserve">ADMINISTRATIVE AIDE V </t>
  </si>
  <si>
    <t>CHRISTOPHER</t>
  </si>
  <si>
    <t xml:space="preserve">METER READER I </t>
  </si>
  <si>
    <t>MAPACPAC</t>
  </si>
  <si>
    <t xml:space="preserve">MUNICIPAL HEALTH OFFICER </t>
  </si>
  <si>
    <t>CRUZ</t>
  </si>
  <si>
    <t xml:space="preserve">CATHERINE DELL </t>
  </si>
  <si>
    <t>SADIWA</t>
  </si>
  <si>
    <t xml:space="preserve">RURAL HEALTH PHYSICIAN </t>
  </si>
  <si>
    <t>MUHI</t>
  </si>
  <si>
    <t>JULIEAN</t>
  </si>
  <si>
    <t>MALUBAG</t>
  </si>
  <si>
    <t xml:space="preserve">DENTIST II </t>
  </si>
  <si>
    <t>GILDA</t>
  </si>
  <si>
    <t>MONTELLANO</t>
  </si>
  <si>
    <t xml:space="preserve">NURSE II </t>
  </si>
  <si>
    <t>NODALO</t>
  </si>
  <si>
    <t>CHARMAINE SHAYNE</t>
  </si>
  <si>
    <t>RICHARDS</t>
  </si>
  <si>
    <t>JANDA</t>
  </si>
  <si>
    <t>AL PAUL JOHN</t>
  </si>
  <si>
    <t>MANDAC</t>
  </si>
  <si>
    <t>TOGADO</t>
  </si>
  <si>
    <t>CESARA</t>
  </si>
  <si>
    <t>LACORTE</t>
  </si>
  <si>
    <t xml:space="preserve">MEDICAL TECHNOLOGIST II </t>
  </si>
  <si>
    <t>NAVARRO</t>
  </si>
  <si>
    <t>LIZABETH</t>
  </si>
  <si>
    <t>LUSTERIO</t>
  </si>
  <si>
    <t xml:space="preserve">MIDWIFE III </t>
  </si>
  <si>
    <t>DITAN</t>
  </si>
  <si>
    <t xml:space="preserve">LOIDA </t>
  </si>
  <si>
    <t>LARGO</t>
  </si>
  <si>
    <t>ELSIE</t>
  </si>
  <si>
    <t>MANSIA</t>
  </si>
  <si>
    <t xml:space="preserve">MIDWIFE II </t>
  </si>
  <si>
    <t>LAMBOLOTO</t>
  </si>
  <si>
    <t>KAREN</t>
  </si>
  <si>
    <t>CARMONA</t>
  </si>
  <si>
    <t>JAY-ANN</t>
  </si>
  <si>
    <t>MALILOM</t>
  </si>
  <si>
    <t>MARY LIZA</t>
  </si>
  <si>
    <t>MACALOOD</t>
  </si>
  <si>
    <t>NARZOLES</t>
  </si>
  <si>
    <t>ARLENE</t>
  </si>
  <si>
    <t>MACAPUGAY</t>
  </si>
  <si>
    <t>MONREAL</t>
  </si>
  <si>
    <t>MARICON</t>
  </si>
  <si>
    <t>MACATONG</t>
  </si>
  <si>
    <t>MARALIT</t>
  </si>
  <si>
    <t>APRIL</t>
  </si>
  <si>
    <t>JIMENA</t>
  </si>
  <si>
    <t xml:space="preserve">SANITATION INSPECTOR I </t>
  </si>
  <si>
    <t>GEMMA</t>
  </si>
  <si>
    <t>MALAMIG</t>
  </si>
  <si>
    <t>MAGLACAS</t>
  </si>
  <si>
    <t>JAZMINE</t>
  </si>
  <si>
    <t xml:space="preserve">DENTAL AIDE  </t>
  </si>
  <si>
    <t>PIEDRAGOZA</t>
  </si>
  <si>
    <t>JASMIN</t>
  </si>
  <si>
    <t>ROSALES</t>
  </si>
  <si>
    <t xml:space="preserve">MARIE CARL </t>
  </si>
  <si>
    <t>LAGAR</t>
  </si>
  <si>
    <t xml:space="preserve">BARANGAY HEALTH AIDE </t>
  </si>
  <si>
    <t>JAY EDSON</t>
  </si>
  <si>
    <t>GONZALES</t>
  </si>
  <si>
    <t>RAÑOSO</t>
  </si>
  <si>
    <t>GILBERT</t>
  </si>
  <si>
    <t xml:space="preserve">RADIOLOGIC TECHNOLOGIST II </t>
  </si>
  <si>
    <t>MAWAC</t>
  </si>
  <si>
    <t>GLORIA MARRIS</t>
  </si>
  <si>
    <t>MANINGAS</t>
  </si>
  <si>
    <t>LUZARES</t>
  </si>
  <si>
    <t>GLENDA</t>
  </si>
  <si>
    <t>DE GUZMAN</t>
  </si>
  <si>
    <t xml:space="preserve">NUTRITION OFFICER II </t>
  </si>
  <si>
    <t>GISELLE PEARL</t>
  </si>
  <si>
    <t>ARENAS</t>
  </si>
  <si>
    <t>ROSALIE</t>
  </si>
  <si>
    <t>MICIANO</t>
  </si>
  <si>
    <t xml:space="preserve">MUNICIPAL CIVIL REGISTRAR </t>
  </si>
  <si>
    <t>LARGA</t>
  </si>
  <si>
    <t>DAVE DANIEL</t>
  </si>
  <si>
    <t xml:space="preserve">REGISTRATION OFFICER II </t>
  </si>
  <si>
    <t>VIA MARIA</t>
  </si>
  <si>
    <t>ILUSTRE</t>
  </si>
  <si>
    <t>ADMINISTRATIVE ASSISTANT II (ASSISTANT REGISTRATION OFFICER)</t>
  </si>
  <si>
    <t>PLATA</t>
  </si>
  <si>
    <t>GRACIELLA</t>
  </si>
  <si>
    <t>SISON</t>
  </si>
  <si>
    <t xml:space="preserve">MUNICIPAL AGRICULTURAL OFFICER </t>
  </si>
  <si>
    <t>EDERLINDA</t>
  </si>
  <si>
    <t xml:space="preserve">AGRICULTURAL TECHNOLOGIST </t>
  </si>
  <si>
    <t>LANDOY</t>
  </si>
  <si>
    <t>ERVIN</t>
  </si>
  <si>
    <t>MAGAHIS</t>
  </si>
  <si>
    <t>IDANAN</t>
  </si>
  <si>
    <t>ELMA</t>
  </si>
  <si>
    <t>NARANJO</t>
  </si>
  <si>
    <t>RIVADENIERA</t>
  </si>
  <si>
    <t>ROSEMARIE</t>
  </si>
  <si>
    <t>RODELAS</t>
  </si>
  <si>
    <t xml:space="preserve">MUNICIPAL GOVERNMENT DEPARTMENT HEAD
I (Municipal Social Welfare and Development Officer ) </t>
  </si>
  <si>
    <t>HAZEL MAUREEN</t>
  </si>
  <si>
    <t>LAZARES</t>
  </si>
  <si>
    <t xml:space="preserve">SOCIAL WELFARE OFFICER III </t>
  </si>
  <si>
    <t xml:space="preserve">JOVEN </t>
  </si>
  <si>
    <t>SARMIENTO</t>
  </si>
  <si>
    <t xml:space="preserve">SOCIAL WELFARE ASSISTANT </t>
  </si>
  <si>
    <t xml:space="preserve">LOCAL DISASTER RISK REDUCTION &amp; MANAGEMENT OFFICER III </t>
  </si>
  <si>
    <t>ROGELIO JR</t>
  </si>
  <si>
    <t xml:space="preserve">MUNICIPAL DISASTER RISK REDUCTION &amp; MANAGEMENT OFFICER I </t>
  </si>
  <si>
    <t>BEVERLY</t>
  </si>
  <si>
    <t xml:space="preserve">LOCAL DISASTER RISK REDUCTION &amp; MANAGEMENT OFFICER I </t>
  </si>
  <si>
    <t xml:space="preserve">MUNICIPAL ADMINISTRATOR </t>
  </si>
  <si>
    <t xml:space="preserve">CARLO FELIZARDO </t>
  </si>
  <si>
    <t xml:space="preserve">MARKET SUPERVISOR II </t>
  </si>
  <si>
    <t xml:space="preserve">MARKET SPECIALIST I </t>
  </si>
  <si>
    <t xml:space="preserve">JOHN LESTER </t>
  </si>
  <si>
    <t xml:space="preserve">MARKET INSPECTOR II </t>
  </si>
  <si>
    <t>OGAYRE</t>
  </si>
  <si>
    <t>MARANG</t>
  </si>
  <si>
    <t>BUÑAG</t>
  </si>
  <si>
    <t>RICHARD</t>
  </si>
  <si>
    <t>JABAL</t>
  </si>
  <si>
    <t>LINGA</t>
  </si>
  <si>
    <t>ROBERT</t>
  </si>
  <si>
    <t>LANITE</t>
  </si>
  <si>
    <t>SUZETTE</t>
  </si>
  <si>
    <t>ADUG</t>
  </si>
  <si>
    <t>EDMIL</t>
  </si>
  <si>
    <t>POSTRADO</t>
  </si>
  <si>
    <t>BENITO</t>
  </si>
  <si>
    <t>ORNOS</t>
  </si>
  <si>
    <t xml:space="preserve">MEAT INSPECTOR III </t>
  </si>
  <si>
    <t>MANTARING</t>
  </si>
  <si>
    <t>NILO</t>
  </si>
  <si>
    <t>SARIO</t>
  </si>
  <si>
    <t>VILLANUEVA</t>
  </si>
  <si>
    <t>ANTONIO</t>
  </si>
  <si>
    <t>(19)Total Number of Position Items:</t>
  </si>
  <si>
    <t>172/172</t>
  </si>
  <si>
    <t xml:space="preserve">I certify to the correctness of the entries and that above Positions/Items are duly approved and authorized </t>
  </si>
  <si>
    <t>by the agency and in compliance to existing rules and regulations. I further certify that employees whose</t>
  </si>
  <si>
    <t>APPROVED BY:</t>
  </si>
  <si>
    <t>names appears above are the incumbents of the position:</t>
  </si>
  <si>
    <t>DONNALYN M. BUENAVENTURA</t>
  </si>
  <si>
    <t>ARMI DC CARRION</t>
  </si>
  <si>
    <t>Date</t>
  </si>
  <si>
    <t>Municipal Mayor</t>
  </si>
  <si>
    <t>Y</t>
  </si>
  <si>
    <t>2025-19-002</t>
  </si>
  <si>
    <t>2024-22-017</t>
  </si>
  <si>
    <t xml:space="preserve"> 2019-0012                              </t>
  </si>
  <si>
    <t>LOCAL GOVERNMENT UNIT OF BOAC</t>
  </si>
  <si>
    <t>hrmo@boac.gov.ph</t>
  </si>
  <si>
    <t>Administrative Officer IV/HRMO II</t>
  </si>
  <si>
    <t xml:space="preserve">CSC Regional Office: </t>
  </si>
  <si>
    <t>IV</t>
  </si>
  <si>
    <t>Marinduque</t>
  </si>
  <si>
    <t>OPERATION OF SLAUGHTERHOUSE</t>
  </si>
  <si>
    <t>2025-10-004</t>
  </si>
  <si>
    <t>GWYNE GERARD EDGAR</t>
  </si>
  <si>
    <t>EUNIÑA BELLE</t>
  </si>
  <si>
    <t>DIMAGIBA</t>
  </si>
  <si>
    <t>BUSTOS</t>
  </si>
  <si>
    <t>KATRINA ANNE</t>
  </si>
  <si>
    <t>TOMANAN</t>
  </si>
  <si>
    <t>NUÑEZ</t>
  </si>
  <si>
    <t>BENSIL</t>
  </si>
  <si>
    <t>ROGELIO</t>
  </si>
  <si>
    <t>OFFICE OF THE MUNICIPAL MAYOR</t>
  </si>
  <si>
    <t>OFFICE OF THE MUNICIPAL VICE MAYOR</t>
  </si>
  <si>
    <t>OFFICE OF THE SANGGUNIANG BAYAN MEMBERS</t>
  </si>
  <si>
    <t xml:space="preserve">OFFICE OF THE SECRETARY TO THE SANGGUNIANG BAYAN </t>
  </si>
  <si>
    <t>OFFICE OF THE MUNICIPAL TREASURER</t>
  </si>
  <si>
    <t>OFFICE OF THE MUNICIPAL ASSESSOR</t>
  </si>
  <si>
    <t xml:space="preserve"> OFFICE OF THE MUNICIPAL ACCOUNTANT</t>
  </si>
  <si>
    <t>OFFICE OF THE MUNICIPAL BUDGET OFFICER</t>
  </si>
  <si>
    <t xml:space="preserve">OFFICE OF THE MUNICIPAL PLANNING AND DEVELOPMENT COORDINATOR </t>
  </si>
  <si>
    <t>OFFICE OF THE MUNICIPAL ENGINEER</t>
  </si>
  <si>
    <t>OFFICE OF THE MUNICIPAL ENGINEER-STREET CLEANING SERVICES</t>
  </si>
  <si>
    <t>OFFICE OF THE MUNICIPAL ENGINEER-GARBAGE COLLECTION SERVICES</t>
  </si>
  <si>
    <t>OFFICE OF THE MUNICIPAL ENGINEER-STREET LIGHTING SERVICES</t>
  </si>
  <si>
    <t>OFFICE OF THE MUNICIPAL ENGINEER-MAINTENANCE OF PLAZAS, PARKS AND MONUMENTS</t>
  </si>
  <si>
    <t>OFFICE OF THE MUNICIPAL ENGINEER-MAINTENANCE OF ROADS AND BRIDGES</t>
  </si>
  <si>
    <t>OPERATION OF WATERWORKS</t>
  </si>
  <si>
    <t>OFFICE OF THE MUNICIPAL HEALTH AND DIAGNOSTIC CENTER</t>
  </si>
  <si>
    <t>NUTRITION SERVICES</t>
  </si>
  <si>
    <t>OFFICE OF THE MUNICIPAL CIVIL REGISTRAR</t>
  </si>
  <si>
    <t xml:space="preserve"> OFFICE OF THE MUNICIPAL AGRICULTURIST</t>
  </si>
  <si>
    <t>OFFICE OF THE MUNICIPAL SOCIAL WELFARE AND DEVELOPMENT OFFICER</t>
  </si>
  <si>
    <t>OFFICE OF THE MUNICIPAL DISASTER RISKS REDUCTION AND MANAGEMENT OFFICER</t>
  </si>
  <si>
    <t>OFFICE OF THE MUNICIPAL ADMINISTRATOR</t>
  </si>
  <si>
    <t>OPERATION OF MARKET</t>
  </si>
  <si>
    <t>K</t>
  </si>
  <si>
    <t>S</t>
  </si>
  <si>
    <t>A</t>
  </si>
  <si>
    <t>T</t>
  </si>
  <si>
    <t>VACANT</t>
  </si>
  <si>
    <t>UNFILLED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</si>
</sst>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_);\(0.00\)"/>
    <numFmt numFmtId="165" formatCode="yyyy\-mm\-dd;@"/>
    <numFmt numFmtId="166" formatCode="000000000"/>
    <numFmt numFmtId="167" formatCode="yyyy&quot;-&quot;mm&quot;-&quot;dd"/>
    <numFmt numFmtId="168" formatCode="yyyy\-mm\-dd"/>
    <numFmt numFmtId="169" formatCode="mm/dd/yyyy;@"/>
    <numFmt numFmtId="170" formatCode="#,##0.00;[Red]#,##0.00"/>
  </numFmts>
  <fonts count="27" x14ac:knownFonts="1">
    <font>
      <sz val="10"/>
      <name val="Arial"/>
    </font>
    <font>
      <sz val="11"/>
      <color theme="1"/>
      <name val="Calibri"/>
      <family val="2"/>
      <scheme val="minor"/>
    </font>
    <font>
      <sz val="16"/>
      <color rgb="FF000000"/>
      <name val="Arial"/>
      <family val="2"/>
    </font>
    <font>
      <sz val="10"/>
      <name val="Arial"/>
      <family val="2"/>
    </font>
    <font>
      <sz val="10"/>
      <color rgb="FF000000"/>
      <name val="Arial"/>
      <family val="2"/>
    </font>
    <font>
      <b/>
      <u/>
      <sz val="16"/>
      <color rgb="FF000000"/>
      <name val="Arial"/>
      <family val="2"/>
    </font>
    <font>
      <b/>
      <sz val="14"/>
      <name val="Arial"/>
      <family val="2"/>
    </font>
    <font>
      <b/>
      <i/>
      <sz val="14"/>
      <color rgb="FF000000"/>
      <name val="Arial"/>
      <family val="2"/>
    </font>
    <font>
      <sz val="14"/>
      <color rgb="FF000000"/>
      <name val="Arial"/>
      <family val="2"/>
    </font>
    <font>
      <sz val="11"/>
      <color rgb="FF000000"/>
      <name val="Calibri"/>
      <family val="2"/>
    </font>
    <font>
      <u/>
      <sz val="11"/>
      <color rgb="FF0000FF"/>
      <name val="Calibri"/>
      <family val="2"/>
    </font>
    <font>
      <b/>
      <sz val="16"/>
      <color theme="1"/>
      <name val="Calibri"/>
      <family val="2"/>
      <scheme val="minor"/>
    </font>
    <font>
      <u/>
      <sz val="16"/>
      <color rgb="FF0000FF"/>
      <name val="Calibri"/>
      <family val="2"/>
      <scheme val="minor"/>
    </font>
    <font>
      <sz val="10"/>
      <name val="Arial"/>
      <family val="2"/>
    </font>
    <font>
      <sz val="16"/>
      <name val="Arial"/>
      <family val="2"/>
    </font>
    <font>
      <sz val="16"/>
      <name val="Calibri"/>
      <family val="2"/>
      <scheme val="minor"/>
    </font>
    <font>
      <u/>
      <sz val="16"/>
      <name val="Arial"/>
      <family val="2"/>
    </font>
    <font>
      <b/>
      <sz val="19"/>
      <color rgb="FF000000"/>
      <name val="Arial Narrow"/>
      <family val="2"/>
    </font>
    <font>
      <b/>
      <sz val="19"/>
      <name val="Arial Narrow"/>
      <family val="2"/>
    </font>
    <font>
      <sz val="19"/>
      <name val="Arial"/>
      <family val="2"/>
    </font>
    <font>
      <sz val="19"/>
      <name val="Arial Narrow"/>
      <family val="2"/>
    </font>
    <font>
      <sz val="19"/>
      <name val="Calibri"/>
      <family val="2"/>
      <scheme val="minor"/>
    </font>
    <font>
      <sz val="19"/>
      <color theme="1"/>
      <name val="Calibri"/>
      <family val="2"/>
      <scheme val="minor"/>
    </font>
    <font>
      <b/>
      <sz val="19"/>
      <name val="Arial"/>
      <family val="2"/>
    </font>
    <font>
      <sz val="16"/>
      <name val="Arial Narrow"/>
      <family val="2"/>
    </font>
    <font>
      <b/>
      <sz val="16"/>
      <name val="Calibri"/>
      <family val="2"/>
      <scheme val="minor"/>
    </font>
    <font>
      <u/>
      <sz val="18"/>
      <color rgb="FF0000FF"/>
      <name val="Calibri"/>
      <family val="2"/>
    </font>
  </fonts>
  <fills count="5">
    <fill>
      <patternFill patternType="none"/>
    </fill>
    <fill>
      <patternFill patternType="gray125"/>
    </fill>
    <fill>
      <patternFill patternType="solid">
        <fgColor rgb="FFBFBFBF"/>
        <bgColor indexed="64"/>
      </patternFill>
    </fill>
    <fill>
      <patternFill patternType="solid">
        <fgColor theme="0"/>
        <bgColor indexed="64"/>
      </patternFill>
    </fill>
    <fill>
      <patternFill patternType="solid">
        <fgColor theme="9" tint="0.79998168889431442"/>
        <bgColor indexed="64"/>
      </patternFill>
    </fill>
  </fills>
  <borders count="10">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thin">
        <color rgb="FF000000"/>
      </right>
      <top style="medium">
        <color rgb="FF000000"/>
      </top>
      <bottom style="medium">
        <color rgb="FF000000"/>
      </bottom>
      <diagonal/>
    </border>
  </borders>
  <cellStyleXfs count="4">
    <xf numFmtId="0" fontId="0" fillId="0" borderId="0">
      <alignment vertical="center"/>
    </xf>
    <xf numFmtId="0" fontId="10" fillId="0" borderId="0">
      <alignment vertical="top"/>
      <protection locked="0"/>
    </xf>
    <xf numFmtId="0" fontId="1" fillId="0" borderId="0"/>
    <xf numFmtId="43" fontId="13" fillId="0" borderId="0" applyFont="0" applyFill="0" applyBorder="0" applyAlignment="0" applyProtection="0"/>
  </cellStyleXfs>
  <cellXfs count="113">
    <xf numFmtId="0" fontId="0" fillId="0" borderId="0" xfId="0">
      <alignment vertical="center"/>
    </xf>
    <xf numFmtId="0" fontId="2" fillId="0" borderId="0" xfId="0" applyFont="1" applyAlignment="1"/>
    <xf numFmtId="0" fontId="2" fillId="0" borderId="0" xfId="0" applyFont="1" applyAlignment="1">
      <alignment vertical="top"/>
    </xf>
    <xf numFmtId="1" fontId="3" fillId="0" borderId="0" xfId="0" applyNumberFormat="1" applyFont="1" applyAlignment="1"/>
    <xf numFmtId="2" fontId="3" fillId="0" borderId="0" xfId="0" applyNumberFormat="1" applyFont="1" applyAlignment="1"/>
    <xf numFmtId="167" fontId="3" fillId="0" borderId="0" xfId="0" applyNumberFormat="1" applyFont="1" applyAlignment="1"/>
    <xf numFmtId="166" fontId="3" fillId="0" borderId="0" xfId="0" applyNumberFormat="1" applyFont="1" applyAlignment="1"/>
    <xf numFmtId="0" fontId="4" fillId="0" borderId="0" xfId="0" applyFont="1" applyAlignment="1">
      <alignment horizontal="left"/>
    </xf>
    <xf numFmtId="0" fontId="5" fillId="0" borderId="0" xfId="0" applyFont="1" applyAlignment="1">
      <alignment horizontal="left" wrapText="1"/>
    </xf>
    <xf numFmtId="0" fontId="6" fillId="2" borderId="3" xfId="0" applyFont="1" applyFill="1" applyBorder="1" applyAlignment="1">
      <alignment horizontal="center" wrapText="1"/>
    </xf>
    <xf numFmtId="0" fontId="2" fillId="0" borderId="3" xfId="0" quotePrefix="1" applyFont="1" applyBorder="1" applyAlignment="1">
      <alignment horizontal="center"/>
    </xf>
    <xf numFmtId="0" fontId="7" fillId="0" borderId="0" xfId="0" quotePrefix="1" applyFont="1" applyAlignment="1">
      <alignment horizontal="right"/>
    </xf>
    <xf numFmtId="0" fontId="9" fillId="0" borderId="0" xfId="0" applyFont="1" applyAlignment="1"/>
    <xf numFmtId="0" fontId="11" fillId="0" borderId="0" xfId="0" applyFont="1" applyAlignment="1"/>
    <xf numFmtId="0" fontId="2" fillId="0" borderId="0" xfId="0" applyFont="1" applyAlignment="1">
      <alignment horizont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11" fillId="0" borderId="3" xfId="0" applyFont="1" applyBorder="1" applyAlignment="1">
      <alignment horizontal="center" vertical="center"/>
    </xf>
    <xf numFmtId="0" fontId="11" fillId="0" borderId="5" xfId="0" applyFont="1" applyBorder="1" applyAlignment="1">
      <alignment horizontal="center" vertical="center" wrapText="1"/>
    </xf>
    <xf numFmtId="0" fontId="12" fillId="0" borderId="5" xfId="1" applyFont="1" applyBorder="1" applyAlignment="1" applyProtection="1">
      <alignment horizontal="center" vertical="center"/>
    </xf>
    <xf numFmtId="0" fontId="11" fillId="0" borderId="5" xfId="0" applyFont="1" applyBorder="1" applyAlignment="1">
      <alignment horizontal="center" vertical="center"/>
    </xf>
    <xf numFmtId="0" fontId="11" fillId="0" borderId="3" xfId="0" applyFont="1" applyBorder="1" applyAlignment="1">
      <alignment horizontal="center" vertical="center" wrapText="1"/>
    </xf>
    <xf numFmtId="0" fontId="15" fillId="0" borderId="0" xfId="0" applyFont="1" applyAlignment="1">
      <alignment vertical="top"/>
    </xf>
    <xf numFmtId="0" fontId="14" fillId="0" borderId="0" xfId="0" applyFont="1" applyAlignment="1">
      <alignment horizontal="center" vertical="top"/>
    </xf>
    <xf numFmtId="0" fontId="14" fillId="0" borderId="0" xfId="0" applyFont="1" applyAlignment="1">
      <alignment vertical="top"/>
    </xf>
    <xf numFmtId="0" fontId="14" fillId="0" borderId="0" xfId="0" applyFont="1" applyAlignment="1">
      <alignment vertical="top" shrinkToFit="1"/>
    </xf>
    <xf numFmtId="0" fontId="17" fillId="0" borderId="6" xfId="0" applyFont="1" applyBorder="1" applyAlignment="1">
      <alignment horizontal="center" vertical="center" wrapText="1"/>
    </xf>
    <xf numFmtId="1" fontId="17" fillId="0" borderId="6" xfId="0" applyNumberFormat="1" applyFont="1" applyBorder="1" applyAlignment="1">
      <alignment horizontal="center" vertical="center" wrapText="1"/>
    </xf>
    <xf numFmtId="164" fontId="17" fillId="0" borderId="6" xfId="0" applyNumberFormat="1" applyFont="1" applyBorder="1" applyAlignment="1">
      <alignment horizontal="center" vertical="center" wrapText="1"/>
    </xf>
    <xf numFmtId="165" fontId="17" fillId="0" borderId="6" xfId="0" applyNumberFormat="1" applyFont="1" applyBorder="1" applyAlignment="1">
      <alignment horizontal="center" vertical="center" wrapText="1"/>
    </xf>
    <xf numFmtId="165" fontId="17" fillId="3" borderId="6" xfId="0" applyNumberFormat="1" applyFont="1" applyFill="1" applyBorder="1" applyAlignment="1">
      <alignment horizontal="center" vertical="center" wrapText="1"/>
    </xf>
    <xf numFmtId="166" fontId="17" fillId="0" borderId="6" xfId="0" applyNumberFormat="1" applyFont="1" applyBorder="1" applyAlignment="1">
      <alignment horizontal="center" vertical="center" wrapText="1"/>
    </xf>
    <xf numFmtId="0" fontId="18" fillId="0" borderId="6" xfId="0" applyFont="1" applyBorder="1" applyAlignment="1">
      <alignment horizontal="center" vertical="center" wrapText="1"/>
    </xf>
    <xf numFmtId="0" fontId="2" fillId="0" borderId="0" xfId="0" applyFont="1" applyAlignment="1">
      <alignment wrapText="1"/>
    </xf>
    <xf numFmtId="0" fontId="19" fillId="0" borderId="3" xfId="0" applyFont="1" applyBorder="1" applyAlignment="1">
      <alignment horizontal="center" vertical="top" wrapText="1" shrinkToFit="1"/>
    </xf>
    <xf numFmtId="0" fontId="20" fillId="0" borderId="7" xfId="0" applyFont="1" applyBorder="1" applyAlignment="1">
      <alignment horizontal="center" vertical="top" wrapText="1"/>
    </xf>
    <xf numFmtId="0" fontId="20" fillId="0" borderId="3" xfId="0" applyFont="1" applyBorder="1" applyAlignment="1">
      <alignment horizontal="center" vertical="top" wrapText="1"/>
    </xf>
    <xf numFmtId="43" fontId="20" fillId="0" borderId="3" xfId="3" applyFont="1" applyFill="1" applyBorder="1" applyAlignment="1">
      <alignment horizontal="center" vertical="top" wrapText="1"/>
    </xf>
    <xf numFmtId="0" fontId="19" fillId="0" borderId="3" xfId="0" applyFont="1" applyBorder="1" applyAlignment="1">
      <alignment vertical="top"/>
    </xf>
    <xf numFmtId="168" fontId="20" fillId="0" borderId="3" xfId="0" applyNumberFormat="1" applyFont="1" applyBorder="1" applyAlignment="1">
      <alignment horizontal="center" vertical="top" wrapText="1"/>
    </xf>
    <xf numFmtId="0" fontId="19" fillId="0" borderId="3" xfId="0" applyFont="1" applyBorder="1" applyAlignment="1">
      <alignment horizontal="center" vertical="top" wrapText="1"/>
    </xf>
    <xf numFmtId="0" fontId="20" fillId="4" borderId="3" xfId="0" applyFont="1" applyFill="1" applyBorder="1" applyAlignment="1">
      <alignment horizontal="center" vertical="top" wrapText="1"/>
    </xf>
    <xf numFmtId="168" fontId="20" fillId="4" borderId="3" xfId="0" applyNumberFormat="1" applyFont="1" applyFill="1" applyBorder="1" applyAlignment="1">
      <alignment horizontal="center" vertical="top" wrapText="1"/>
    </xf>
    <xf numFmtId="49" fontId="20" fillId="0" borderId="3" xfId="0" applyNumberFormat="1" applyFont="1" applyBorder="1" applyAlignment="1" applyProtection="1">
      <alignment horizontal="center" vertical="top" wrapText="1"/>
      <protection locked="0"/>
    </xf>
    <xf numFmtId="0" fontId="21" fillId="0" borderId="0" xfId="0" applyFont="1" applyAlignment="1">
      <alignment horizontal="center" vertical="top" wrapText="1"/>
    </xf>
    <xf numFmtId="43" fontId="20" fillId="0" borderId="3" xfId="3" applyFont="1" applyFill="1" applyBorder="1" applyAlignment="1">
      <alignment horizontal="right" vertical="top" wrapText="1"/>
    </xf>
    <xf numFmtId="168" fontId="20" fillId="0" borderId="3" xfId="0" applyNumberFormat="1" applyFont="1" applyBorder="1" applyAlignment="1" applyProtection="1">
      <alignment horizontal="center" vertical="top" wrapText="1"/>
      <protection locked="0"/>
    </xf>
    <xf numFmtId="0" fontId="23" fillId="0" borderId="3" xfId="0" applyFont="1" applyBorder="1" applyAlignment="1">
      <alignment vertical="top"/>
    </xf>
    <xf numFmtId="4" fontId="20" fillId="0" borderId="3" xfId="0" applyNumberFormat="1" applyFont="1" applyBorder="1" applyAlignment="1">
      <alignment horizontal="right" vertical="top" wrapText="1"/>
    </xf>
    <xf numFmtId="0" fontId="14" fillId="0" borderId="0" xfId="0" applyFont="1" applyAlignment="1">
      <alignment horizontal="center" vertical="top" shrinkToFit="1"/>
    </xf>
    <xf numFmtId="0" fontId="24" fillId="0" borderId="0" xfId="0" applyFont="1" applyAlignment="1">
      <alignment horizontal="center" vertical="top"/>
    </xf>
    <xf numFmtId="43" fontId="24" fillId="0" borderId="0" xfId="3" applyFont="1" applyFill="1" applyBorder="1" applyAlignment="1">
      <alignment horizontal="center" vertical="top"/>
    </xf>
    <xf numFmtId="168" fontId="24" fillId="0" borderId="0" xfId="0" applyNumberFormat="1" applyFont="1" applyAlignment="1">
      <alignment horizontal="center" vertical="top"/>
    </xf>
    <xf numFmtId="168" fontId="24" fillId="0" borderId="0" xfId="0" applyNumberFormat="1" applyFont="1" applyAlignment="1">
      <alignment horizontal="center" vertical="top" wrapText="1"/>
    </xf>
    <xf numFmtId="49" fontId="14" fillId="0" borderId="0" xfId="0" applyNumberFormat="1" applyFont="1" applyAlignment="1">
      <alignment vertical="top"/>
    </xf>
    <xf numFmtId="49" fontId="14" fillId="0" borderId="0" xfId="0" applyNumberFormat="1" applyFont="1" applyAlignment="1">
      <alignment horizontal="center" vertical="top"/>
    </xf>
    <xf numFmtId="0" fontId="14" fillId="0" borderId="0" xfId="0" applyFont="1" applyAlignment="1">
      <alignment horizontal="left" vertical="top" shrinkToFit="1"/>
    </xf>
    <xf numFmtId="169" fontId="14" fillId="0" borderId="0" xfId="0" applyNumberFormat="1" applyFont="1" applyAlignment="1">
      <alignment horizontal="left" vertical="top" shrinkToFit="1"/>
    </xf>
    <xf numFmtId="0" fontId="14" fillId="0" borderId="0" xfId="0" applyFont="1" applyAlignment="1">
      <alignment horizontal="center" vertical="top" wrapText="1" shrinkToFit="1"/>
    </xf>
    <xf numFmtId="0" fontId="15" fillId="0" borderId="0" xfId="0" applyFont="1" applyAlignment="1">
      <alignment vertical="top" wrapText="1"/>
    </xf>
    <xf numFmtId="0" fontId="15" fillId="0" borderId="0" xfId="0" applyFont="1" applyAlignment="1">
      <alignment horizontal="center" vertical="top"/>
    </xf>
    <xf numFmtId="16" fontId="14" fillId="0" borderId="0" xfId="0" applyNumberFormat="1" applyFont="1" applyAlignment="1">
      <alignment horizontal="center" vertical="top" shrinkToFit="1"/>
    </xf>
    <xf numFmtId="4" fontId="14" fillId="0" borderId="0" xfId="0" applyNumberFormat="1" applyFont="1" applyAlignment="1">
      <alignment vertical="top" shrinkToFit="1"/>
    </xf>
    <xf numFmtId="170" fontId="14" fillId="0" borderId="0" xfId="0" applyNumberFormat="1" applyFont="1" applyAlignment="1">
      <alignment horizontal="center" vertical="top" shrinkToFit="1"/>
    </xf>
    <xf numFmtId="16" fontId="14" fillId="0" borderId="0" xfId="0" applyNumberFormat="1" applyFont="1" applyAlignment="1">
      <alignment vertical="top" shrinkToFit="1"/>
    </xf>
    <xf numFmtId="16" fontId="14" fillId="0" borderId="0" xfId="0" applyNumberFormat="1" applyFont="1" applyAlignment="1">
      <alignment horizontal="center" vertical="top"/>
    </xf>
    <xf numFmtId="4" fontId="14" fillId="0" borderId="0" xfId="0" applyNumberFormat="1" applyFont="1" applyAlignment="1">
      <alignment horizontal="center" vertical="top"/>
    </xf>
    <xf numFmtId="170" fontId="14" fillId="0" borderId="0" xfId="0" applyNumberFormat="1" applyFont="1" applyAlignment="1">
      <alignment horizontal="right" vertical="top"/>
    </xf>
    <xf numFmtId="0" fontId="14" fillId="0" borderId="0" xfId="0" applyFont="1" applyAlignment="1">
      <alignment horizontal="left" vertical="top"/>
    </xf>
    <xf numFmtId="169" fontId="14" fillId="0" borderId="0" xfId="0" applyNumberFormat="1" applyFont="1" applyAlignment="1">
      <alignment horizontal="left" vertical="top"/>
    </xf>
    <xf numFmtId="0" fontId="14" fillId="0" borderId="0" xfId="0" applyFont="1" applyAlignment="1">
      <alignment horizontal="center" vertical="top" wrapText="1"/>
    </xf>
    <xf numFmtId="0" fontId="25" fillId="0" borderId="0" xfId="0" applyFont="1" applyAlignment="1">
      <alignment vertical="top"/>
    </xf>
    <xf numFmtId="0" fontId="25" fillId="0" borderId="0" xfId="0" applyFont="1" applyAlignment="1">
      <alignment horizontal="center" vertical="top"/>
    </xf>
    <xf numFmtId="15" fontId="14" fillId="0" borderId="0" xfId="0" applyNumberFormat="1" applyFont="1" applyAlignment="1">
      <alignment horizontal="center" vertical="top"/>
    </xf>
    <xf numFmtId="169" fontId="14" fillId="0" borderId="0" xfId="0" applyNumberFormat="1" applyFont="1" applyAlignment="1">
      <alignment horizontal="left" vertical="top" wrapText="1"/>
    </xf>
    <xf numFmtId="4" fontId="14" fillId="0" borderId="0" xfId="0" applyNumberFormat="1" applyFont="1" applyAlignment="1">
      <alignment vertical="top"/>
    </xf>
    <xf numFmtId="0" fontId="17" fillId="0" borderId="9" xfId="0" applyFont="1" applyBorder="1" applyAlignment="1">
      <alignment horizontal="center" vertical="center" wrapText="1"/>
    </xf>
    <xf numFmtId="0" fontId="19" fillId="0" borderId="3" xfId="0" applyFont="1" applyBorder="1" applyAlignment="1">
      <alignment horizontal="center" vertical="top"/>
    </xf>
    <xf numFmtId="0" fontId="15" fillId="0" borderId="0" xfId="0" applyFont="1" applyAlignment="1">
      <alignment horizontal="left" vertical="top"/>
    </xf>
    <xf numFmtId="0" fontId="17" fillId="0" borderId="6" xfId="0" applyFont="1" applyBorder="1" applyAlignment="1">
      <alignment horizontal="left" vertical="center" wrapText="1"/>
    </xf>
    <xf numFmtId="0" fontId="19" fillId="0" borderId="3" xfId="0" applyFont="1" applyBorder="1" applyAlignment="1">
      <alignment horizontal="left" vertical="top"/>
    </xf>
    <xf numFmtId="0" fontId="19" fillId="4" borderId="3" xfId="0" applyFont="1" applyFill="1" applyBorder="1" applyAlignment="1">
      <alignment horizontal="center" vertical="top" wrapText="1" shrinkToFit="1"/>
    </xf>
    <xf numFmtId="0" fontId="20" fillId="4" borderId="7" xfId="0" applyFont="1" applyFill="1" applyBorder="1" applyAlignment="1">
      <alignment horizontal="center" vertical="top" wrapText="1"/>
    </xf>
    <xf numFmtId="43" fontId="20" fillId="4" borderId="3" xfId="3" applyFont="1" applyFill="1" applyBorder="1" applyAlignment="1">
      <alignment horizontal="center" vertical="top" wrapText="1"/>
    </xf>
    <xf numFmtId="0" fontId="19" fillId="4" borderId="3" xfId="0" applyFont="1" applyFill="1" applyBorder="1" applyAlignment="1">
      <alignment vertical="top"/>
    </xf>
    <xf numFmtId="0" fontId="19" fillId="4" borderId="3" xfId="0" applyFont="1" applyFill="1" applyBorder="1" applyAlignment="1">
      <alignment horizontal="center" vertical="top" wrapText="1"/>
    </xf>
    <xf numFmtId="0" fontId="19" fillId="4" borderId="3" xfId="0" applyFont="1" applyFill="1" applyBorder="1" applyAlignment="1">
      <alignment horizontal="left" vertical="top"/>
    </xf>
    <xf numFmtId="0" fontId="22" fillId="4" borderId="0" xfId="0" applyFont="1" applyFill="1" applyAlignment="1"/>
    <xf numFmtId="0" fontId="21" fillId="4" borderId="0" xfId="0" applyFont="1" applyFill="1" applyAlignment="1">
      <alignment horizontal="center" vertical="top" wrapText="1"/>
    </xf>
    <xf numFmtId="0" fontId="19" fillId="4" borderId="3" xfId="0" applyFont="1" applyFill="1" applyBorder="1" applyAlignment="1">
      <alignment horizontal="center" vertical="top"/>
    </xf>
    <xf numFmtId="0" fontId="19" fillId="0" borderId="0" xfId="0" applyFont="1" applyAlignment="1">
      <alignment horizontal="center" vertical="top"/>
    </xf>
    <xf numFmtId="0" fontId="26" fillId="0" borderId="8" xfId="1" applyFont="1" applyBorder="1" applyAlignment="1">
      <alignment horizontal="center" vertical="center"/>
      <protection locked="0"/>
    </xf>
    <xf numFmtId="0" fontId="15" fillId="4" borderId="0" xfId="0" applyFont="1" applyFill="1" applyAlignment="1">
      <alignment vertical="top"/>
    </xf>
    <xf numFmtId="0" fontId="22" fillId="0" borderId="0" xfId="0" applyFont="1" applyAlignment="1"/>
    <xf numFmtId="0" fontId="14" fillId="0" borderId="0" xfId="0" applyFont="1" applyAlignment="1">
      <alignment horizontal="left" vertical="top"/>
    </xf>
    <xf numFmtId="49" fontId="16" fillId="0" borderId="0" xfId="0" applyNumberFormat="1" applyFont="1" applyAlignment="1">
      <alignment horizontal="left" vertical="top" shrinkToFit="1"/>
    </xf>
    <xf numFmtId="0" fontId="14" fillId="0" borderId="0" xfId="0" applyFont="1" applyAlignment="1">
      <alignment horizontal="center" vertical="top"/>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3"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2" fillId="0" borderId="7" xfId="0" applyFont="1" applyBorder="1" applyAlignment="1">
      <alignment horizontal="left"/>
    </xf>
    <xf numFmtId="0" fontId="2" fillId="0" borderId="2" xfId="0" applyFont="1" applyBorder="1" applyAlignment="1">
      <alignment horizontal="left"/>
    </xf>
    <xf numFmtId="0" fontId="2" fillId="0" borderId="8" xfId="0" applyFont="1" applyBorder="1" applyAlignment="1">
      <alignment horizontal="left"/>
    </xf>
    <xf numFmtId="0" fontId="5" fillId="0" borderId="0" xfId="0" applyFont="1" applyAlignment="1">
      <alignment horizontal="left" wrapText="1"/>
    </xf>
    <xf numFmtId="0" fontId="6" fillId="2" borderId="3" xfId="0" applyFont="1" applyFill="1" applyBorder="1" applyAlignment="1">
      <alignment horizontal="center" vertical="center" wrapText="1"/>
    </xf>
    <xf numFmtId="0" fontId="8" fillId="0" borderId="0" xfId="0" applyFont="1" applyAlignment="1">
      <alignment horizontal="left"/>
    </xf>
  </cellXfs>
  <cellStyles count="4">
    <cellStyle name="Comma" xfId="3" builtinId="3"/>
    <cellStyle name="Hyperlink" xfId="1" xr:uid="{00000000-0005-0000-0000-000001000000}"/>
    <cellStyle name="Normal" xfId="0" builtinId="0"/>
    <cellStyle name="Normal 2" xfId="2" xr:uid="{00000000-0005-0000-0000-000003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5" Type="http://www.wps.cn/officeDocument/2020/cellImage" Target="NUL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Users\DELL\Downloads\5DB2BA133EAA22019102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illas"/>
      <sheetName val="Positions"/>
      <sheetName val="Eligibilities"/>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rmo@boac.gov.p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H9"/>
  <sheetViews>
    <sheetView zoomScale="70" workbookViewId="0">
      <selection activeCell="D22" sqref="D22"/>
    </sheetView>
  </sheetViews>
  <sheetFormatPr defaultColWidth="14.42578125" defaultRowHeight="20.25" x14ac:dyDescent="0.3"/>
  <cols>
    <col min="1" max="1" width="33.140625" style="1" customWidth="1"/>
    <col min="2" max="2" width="33.7109375" style="1" customWidth="1"/>
    <col min="3" max="3" width="26" style="1" customWidth="1"/>
    <col min="4" max="4" width="28.140625" style="1" customWidth="1"/>
    <col min="5" max="5" width="34" style="1" customWidth="1"/>
    <col min="6" max="6" width="28" style="1" customWidth="1"/>
    <col min="7" max="7" width="27.7109375" style="1" customWidth="1"/>
    <col min="8" max="8" width="37.140625" style="1" customWidth="1"/>
    <col min="9" max="16384" width="14.42578125" style="1"/>
  </cols>
  <sheetData>
    <row r="1" spans="1:8" ht="21" x14ac:dyDescent="0.35">
      <c r="A1" s="13" t="s">
        <v>2903</v>
      </c>
      <c r="B1" s="14"/>
    </row>
    <row r="2" spans="1:8" x14ac:dyDescent="0.3">
      <c r="B2" s="14"/>
    </row>
    <row r="3" spans="1:8" ht="21" x14ac:dyDescent="0.3">
      <c r="A3" s="15" t="s">
        <v>3398</v>
      </c>
      <c r="B3" s="102" t="s">
        <v>3399</v>
      </c>
      <c r="C3" s="102"/>
    </row>
    <row r="4" spans="1:8" ht="21" x14ac:dyDescent="0.3">
      <c r="A4" s="15" t="s">
        <v>2904</v>
      </c>
      <c r="B4" s="103" t="s">
        <v>3400</v>
      </c>
      <c r="C4" s="103"/>
    </row>
    <row r="5" spans="1:8" ht="21" x14ac:dyDescent="0.3">
      <c r="A5" s="15"/>
      <c r="B5" s="16"/>
      <c r="C5" s="17"/>
    </row>
    <row r="6" spans="1:8" ht="25.5" customHeight="1" x14ac:dyDescent="0.3">
      <c r="A6" s="18" t="s">
        <v>2905</v>
      </c>
      <c r="B6" s="2"/>
      <c r="C6" s="2"/>
      <c r="D6" s="2"/>
      <c r="E6" s="2"/>
      <c r="F6" s="2"/>
      <c r="G6" s="2"/>
      <c r="H6" s="2"/>
    </row>
    <row r="7" spans="1:8" ht="21" x14ac:dyDescent="0.3">
      <c r="A7" s="104" t="s">
        <v>2906</v>
      </c>
      <c r="B7" s="105" t="s">
        <v>2907</v>
      </c>
      <c r="C7" s="104" t="s">
        <v>2908</v>
      </c>
      <c r="D7" s="104"/>
      <c r="E7" s="104"/>
      <c r="F7" s="101" t="s">
        <v>2909</v>
      </c>
      <c r="G7" s="99" t="s">
        <v>2910</v>
      </c>
      <c r="H7" s="101" t="s">
        <v>2911</v>
      </c>
    </row>
    <row r="8" spans="1:8" ht="21" x14ac:dyDescent="0.3">
      <c r="A8" s="104"/>
      <c r="B8" s="106"/>
      <c r="C8" s="19" t="s">
        <v>2912</v>
      </c>
      <c r="D8" s="19" t="s">
        <v>2913</v>
      </c>
      <c r="E8" s="19" t="s">
        <v>2914</v>
      </c>
      <c r="F8" s="101"/>
      <c r="G8" s="100"/>
      <c r="H8" s="101"/>
    </row>
    <row r="9" spans="1:8" ht="42" x14ac:dyDescent="0.3">
      <c r="A9" s="20" t="s">
        <v>3395</v>
      </c>
      <c r="B9" s="21" t="s">
        <v>3396</v>
      </c>
      <c r="C9" s="22" t="s">
        <v>2957</v>
      </c>
      <c r="D9" s="22" t="s">
        <v>2958</v>
      </c>
      <c r="E9" s="22" t="s">
        <v>2959</v>
      </c>
      <c r="F9" s="20" t="s">
        <v>3397</v>
      </c>
      <c r="G9" s="23">
        <v>9271183020</v>
      </c>
      <c r="H9" s="93" t="s">
        <v>3396</v>
      </c>
    </row>
  </sheetData>
  <mergeCells count="8">
    <mergeCell ref="G7:G8"/>
    <mergeCell ref="H7:H8"/>
    <mergeCell ref="B3:C3"/>
    <mergeCell ref="B4:C4"/>
    <mergeCell ref="A7:A8"/>
    <mergeCell ref="B7:B8"/>
    <mergeCell ref="C7:E7"/>
    <mergeCell ref="F7:F8"/>
  </mergeCells>
  <hyperlinks>
    <hyperlink ref="H9" r:id="rId1" xr:uid="{00000000-0004-0000-0000-000000000000}"/>
  </hyperlinks>
  <pageMargins left="0.19685039370078741" right="0.19685039370078741" top="0.51181102362204722" bottom="0.51181102362204722" header="0.31496062992125984" footer="0.31496062992125984"/>
  <pageSetup paperSize="14"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AC185"/>
  <sheetViews>
    <sheetView tabSelected="1" view="pageBreakPreview" zoomScale="40" zoomScaleNormal="55" zoomScaleSheetLayoutView="40" workbookViewId="0">
      <selection activeCell="F8" sqref="F8"/>
    </sheetView>
  </sheetViews>
  <sheetFormatPr defaultColWidth="9.140625" defaultRowHeight="21" x14ac:dyDescent="0.2"/>
  <cols>
    <col min="1" max="1" width="51.28515625" style="62" customWidth="1"/>
    <col min="2" max="2" width="10.7109375" style="62" customWidth="1"/>
    <col min="3" max="3" width="36" style="62" customWidth="1"/>
    <col min="4" max="4" width="22.28515625" style="24" customWidth="1"/>
    <col min="5" max="5" width="31" style="62" customWidth="1"/>
    <col min="6" max="6" width="32.140625" style="24" customWidth="1"/>
    <col min="7" max="7" width="16.28515625" style="24" customWidth="1"/>
    <col min="8" max="8" width="15.85546875" style="24" customWidth="1"/>
    <col min="9" max="9" width="24.42578125" style="24" customWidth="1"/>
    <col min="10" max="10" width="22.140625" style="24" customWidth="1"/>
    <col min="11" max="11" width="33.7109375" style="24" customWidth="1"/>
    <col min="12" max="12" width="22.140625" style="24" customWidth="1"/>
    <col min="13" max="13" width="29.42578125" style="24" customWidth="1"/>
    <col min="14" max="14" width="10.5703125" style="24" customWidth="1"/>
    <col min="15" max="15" width="23.42578125" style="61" customWidth="1"/>
    <col min="16" max="16" width="29.85546875" style="61" customWidth="1"/>
    <col min="17" max="17" width="27.5703125" style="62" customWidth="1"/>
    <col min="18" max="18" width="31.42578125" style="24" customWidth="1"/>
    <col min="19" max="19" width="29.28515625" style="24" customWidth="1"/>
    <col min="20" max="20" width="30.7109375" style="24" customWidth="1"/>
    <col min="21" max="21" width="68.42578125" style="24" customWidth="1"/>
    <col min="22" max="23" width="50.85546875" style="24" customWidth="1"/>
    <col min="24" max="24" width="25.5703125" style="24" customWidth="1"/>
    <col min="25" max="25" width="32.28515625" style="80" customWidth="1"/>
    <col min="26" max="26" width="19.140625" style="24" customWidth="1"/>
    <col min="27" max="27" width="18" style="24" customWidth="1"/>
    <col min="28" max="28" width="27" style="24" customWidth="1"/>
    <col min="29" max="29" width="33" style="24" customWidth="1"/>
    <col min="30" max="30" width="17.7109375" style="24" customWidth="1"/>
    <col min="31" max="16384" width="9.140625" style="24"/>
  </cols>
  <sheetData>
    <row r="1" spans="1:29" s="35" customFormat="1" ht="112.5" customHeight="1" thickBot="1" x14ac:dyDescent="0.35">
      <c r="A1" s="28" t="s">
        <v>0</v>
      </c>
      <c r="B1" s="28" t="s">
        <v>1</v>
      </c>
      <c r="C1" s="28" t="s">
        <v>2</v>
      </c>
      <c r="D1" s="29" t="s">
        <v>3</v>
      </c>
      <c r="E1" s="30" t="s">
        <v>4</v>
      </c>
      <c r="F1" s="30" t="s">
        <v>5</v>
      </c>
      <c r="G1" s="29" t="s">
        <v>6</v>
      </c>
      <c r="H1" s="28" t="s">
        <v>7</v>
      </c>
      <c r="I1" s="28" t="s">
        <v>8</v>
      </c>
      <c r="J1" s="28" t="s">
        <v>9</v>
      </c>
      <c r="K1" s="28" t="s">
        <v>10</v>
      </c>
      <c r="L1" s="28" t="s">
        <v>11</v>
      </c>
      <c r="M1" s="28" t="s">
        <v>12</v>
      </c>
      <c r="N1" s="28" t="s">
        <v>13</v>
      </c>
      <c r="O1" s="31" t="s">
        <v>14</v>
      </c>
      <c r="P1" s="32" t="s">
        <v>15</v>
      </c>
      <c r="Q1" s="33" t="s">
        <v>16</v>
      </c>
      <c r="R1" s="31" t="s">
        <v>17</v>
      </c>
      <c r="S1" s="31" t="s">
        <v>18</v>
      </c>
      <c r="T1" s="28" t="s">
        <v>19</v>
      </c>
      <c r="U1" s="28" t="s">
        <v>20</v>
      </c>
      <c r="V1" s="34" t="s">
        <v>21</v>
      </c>
      <c r="W1" s="28" t="s">
        <v>22</v>
      </c>
      <c r="X1" s="28" t="s">
        <v>23</v>
      </c>
      <c r="Y1" s="81" t="s">
        <v>24</v>
      </c>
      <c r="Z1" s="28" t="s">
        <v>25</v>
      </c>
      <c r="AA1" s="28" t="s">
        <v>26</v>
      </c>
      <c r="AB1" s="28" t="s">
        <v>27</v>
      </c>
      <c r="AC1" s="78" t="s">
        <v>28</v>
      </c>
    </row>
    <row r="2" spans="1:29" ht="90" customHeight="1" x14ac:dyDescent="0.2">
      <c r="A2" s="36" t="s">
        <v>3412</v>
      </c>
      <c r="B2" s="36">
        <v>1</v>
      </c>
      <c r="C2" s="37" t="s">
        <v>2915</v>
      </c>
      <c r="D2" s="38">
        <v>27</v>
      </c>
      <c r="E2" s="39">
        <v>1766028</v>
      </c>
      <c r="F2" s="39">
        <f t="shared" ref="F2:F16" si="0">E2</f>
        <v>1766028</v>
      </c>
      <c r="G2" s="38">
        <v>3</v>
      </c>
      <c r="H2" s="38" t="s">
        <v>2916</v>
      </c>
      <c r="I2" s="38" t="s">
        <v>2917</v>
      </c>
      <c r="J2" s="38" t="s">
        <v>3436</v>
      </c>
      <c r="K2" s="38" t="s">
        <v>2918</v>
      </c>
      <c r="L2" s="38" t="s">
        <v>2919</v>
      </c>
      <c r="M2" s="38" t="s">
        <v>2920</v>
      </c>
      <c r="N2" s="40" t="s">
        <v>2921</v>
      </c>
      <c r="O2" s="41">
        <v>22993</v>
      </c>
      <c r="P2" s="38">
        <f ca="1">DATEDIF(O2,TODAY(),"Y")</f>
        <v>63</v>
      </c>
      <c r="Q2" s="42">
        <v>200719279</v>
      </c>
      <c r="R2" s="41">
        <v>43647</v>
      </c>
      <c r="S2" s="41">
        <v>43647</v>
      </c>
      <c r="T2" s="38" t="s">
        <v>2922</v>
      </c>
      <c r="U2" s="40" t="s">
        <v>2923</v>
      </c>
      <c r="V2" s="40" t="s">
        <v>2923</v>
      </c>
      <c r="W2" s="40" t="s">
        <v>2923</v>
      </c>
      <c r="X2" s="40" t="s">
        <v>2923</v>
      </c>
      <c r="Y2" s="82" t="s">
        <v>2923</v>
      </c>
      <c r="Z2" s="40" t="s">
        <v>2923</v>
      </c>
      <c r="AA2" s="40" t="s">
        <v>2923</v>
      </c>
      <c r="AB2" s="79">
        <v>2005665331</v>
      </c>
      <c r="AC2" s="38"/>
    </row>
    <row r="3" spans="1:29" ht="90" customHeight="1" x14ac:dyDescent="0.2">
      <c r="A3" s="36" t="s">
        <v>3412</v>
      </c>
      <c r="B3" s="36">
        <v>2</v>
      </c>
      <c r="C3" s="37" t="s">
        <v>2924</v>
      </c>
      <c r="D3" s="38">
        <v>15</v>
      </c>
      <c r="E3" s="39">
        <v>492072</v>
      </c>
      <c r="F3" s="39">
        <f t="shared" si="0"/>
        <v>492072</v>
      </c>
      <c r="G3" s="38">
        <v>3</v>
      </c>
      <c r="H3" s="38" t="s">
        <v>2916</v>
      </c>
      <c r="I3" s="38" t="s">
        <v>2917</v>
      </c>
      <c r="J3" s="38" t="s">
        <v>3437</v>
      </c>
      <c r="K3" s="38" t="s">
        <v>2925</v>
      </c>
      <c r="L3" s="38" t="s">
        <v>2926</v>
      </c>
      <c r="M3" s="38" t="s">
        <v>2927</v>
      </c>
      <c r="N3" s="40" t="s">
        <v>2921</v>
      </c>
      <c r="O3" s="41">
        <v>29608</v>
      </c>
      <c r="P3" s="38">
        <f t="shared" ref="P3:P66" ca="1" si="1">DATEDIF(O3,TODAY(),"Y")</f>
        <v>45</v>
      </c>
      <c r="Q3" s="42">
        <v>941301644</v>
      </c>
      <c r="R3" s="41">
        <v>43546</v>
      </c>
      <c r="S3" s="41">
        <v>43647</v>
      </c>
      <c r="T3" s="38" t="s">
        <v>2928</v>
      </c>
      <c r="U3" s="40"/>
      <c r="V3" s="40" t="s">
        <v>2923</v>
      </c>
      <c r="W3" s="40" t="s">
        <v>2923</v>
      </c>
      <c r="X3" s="40" t="s">
        <v>2923</v>
      </c>
      <c r="Y3" s="82" t="s">
        <v>2923</v>
      </c>
      <c r="Z3" s="40" t="s">
        <v>2923</v>
      </c>
      <c r="AA3" s="40" t="s">
        <v>2923</v>
      </c>
      <c r="AB3" s="79">
        <v>2005591737</v>
      </c>
      <c r="AC3" s="38"/>
    </row>
    <row r="4" spans="1:29" ht="90" customHeight="1" x14ac:dyDescent="0.2">
      <c r="A4" s="36" t="s">
        <v>3412</v>
      </c>
      <c r="B4" s="36">
        <v>3</v>
      </c>
      <c r="C4" s="37" t="s">
        <v>2929</v>
      </c>
      <c r="D4" s="38">
        <v>4</v>
      </c>
      <c r="E4" s="39">
        <v>194508</v>
      </c>
      <c r="F4" s="39">
        <f t="shared" si="0"/>
        <v>194508</v>
      </c>
      <c r="G4" s="38">
        <v>1</v>
      </c>
      <c r="H4" s="38" t="s">
        <v>2916</v>
      </c>
      <c r="I4" s="38" t="s">
        <v>2917</v>
      </c>
      <c r="J4" s="43" t="s">
        <v>3438</v>
      </c>
      <c r="K4" s="38"/>
      <c r="L4" s="38"/>
      <c r="M4" s="38"/>
      <c r="N4" s="40"/>
      <c r="O4" s="41"/>
      <c r="P4" s="38"/>
      <c r="Q4" s="42"/>
      <c r="R4" s="41"/>
      <c r="S4" s="41"/>
      <c r="T4" s="38" t="s">
        <v>2928</v>
      </c>
      <c r="U4" s="40"/>
      <c r="V4" s="40" t="s">
        <v>2923</v>
      </c>
      <c r="W4" s="40" t="s">
        <v>2923</v>
      </c>
      <c r="X4" s="40" t="s">
        <v>2923</v>
      </c>
      <c r="Y4" s="82" t="s">
        <v>2923</v>
      </c>
      <c r="Z4" s="40" t="s">
        <v>2923</v>
      </c>
      <c r="AA4" s="40" t="s">
        <v>2923</v>
      </c>
      <c r="AB4" s="40" t="s">
        <v>2923</v>
      </c>
      <c r="AC4" s="38" t="s">
        <v>3440</v>
      </c>
    </row>
    <row r="5" spans="1:29" ht="90" customHeight="1" x14ac:dyDescent="0.2">
      <c r="A5" s="36" t="s">
        <v>3412</v>
      </c>
      <c r="B5" s="36">
        <v>4</v>
      </c>
      <c r="C5" s="37" t="s">
        <v>2930</v>
      </c>
      <c r="D5" s="38">
        <v>4</v>
      </c>
      <c r="E5" s="39">
        <v>201996</v>
      </c>
      <c r="F5" s="39">
        <v>201996</v>
      </c>
      <c r="G5" s="38">
        <v>1</v>
      </c>
      <c r="H5" s="38" t="s">
        <v>2916</v>
      </c>
      <c r="I5" s="38" t="s">
        <v>2917</v>
      </c>
      <c r="J5" s="43" t="s">
        <v>3438</v>
      </c>
      <c r="K5" s="38" t="s">
        <v>3409</v>
      </c>
      <c r="L5" s="38" t="s">
        <v>3410</v>
      </c>
      <c r="M5" s="38" t="s">
        <v>3411</v>
      </c>
      <c r="N5" s="40" t="s">
        <v>2935</v>
      </c>
      <c r="O5" s="41">
        <v>33134</v>
      </c>
      <c r="P5" s="38">
        <f t="shared" ca="1" si="1"/>
        <v>35</v>
      </c>
      <c r="Q5" s="42">
        <v>449393632</v>
      </c>
      <c r="R5" s="41">
        <v>46113</v>
      </c>
      <c r="S5" s="41">
        <v>46113</v>
      </c>
      <c r="T5" s="38" t="s">
        <v>2928</v>
      </c>
      <c r="U5" s="40"/>
      <c r="V5" s="40" t="s">
        <v>2923</v>
      </c>
      <c r="W5" s="40" t="s">
        <v>2923</v>
      </c>
      <c r="X5" s="40" t="s">
        <v>2923</v>
      </c>
      <c r="Y5" s="82" t="s">
        <v>2923</v>
      </c>
      <c r="Z5" s="40" t="s">
        <v>2923</v>
      </c>
      <c r="AA5" s="40" t="s">
        <v>2923</v>
      </c>
      <c r="AB5" s="79"/>
      <c r="AC5" s="38"/>
    </row>
    <row r="6" spans="1:29" ht="90" customHeight="1" x14ac:dyDescent="0.2">
      <c r="A6" s="36" t="s">
        <v>3412</v>
      </c>
      <c r="B6" s="36">
        <v>5</v>
      </c>
      <c r="C6" s="37" t="s">
        <v>2931</v>
      </c>
      <c r="D6" s="38">
        <v>11</v>
      </c>
      <c r="E6" s="39">
        <v>30024</v>
      </c>
      <c r="F6" s="39">
        <f t="shared" si="0"/>
        <v>30024</v>
      </c>
      <c r="G6" s="38">
        <v>1</v>
      </c>
      <c r="H6" s="38" t="s">
        <v>2916</v>
      </c>
      <c r="I6" s="38" t="s">
        <v>2917</v>
      </c>
      <c r="J6" s="38" t="s">
        <v>3438</v>
      </c>
      <c r="K6" s="38" t="s">
        <v>2932</v>
      </c>
      <c r="L6" s="38" t="s">
        <v>2933</v>
      </c>
      <c r="M6" s="38" t="s">
        <v>2934</v>
      </c>
      <c r="N6" s="40" t="s">
        <v>2935</v>
      </c>
      <c r="O6" s="41">
        <v>28303</v>
      </c>
      <c r="P6" s="38">
        <f t="shared" ca="1" si="1"/>
        <v>49</v>
      </c>
      <c r="Q6" s="42">
        <v>743605826</v>
      </c>
      <c r="R6" s="41">
        <v>44409</v>
      </c>
      <c r="S6" s="41">
        <v>45624</v>
      </c>
      <c r="T6" s="38" t="s">
        <v>2928</v>
      </c>
      <c r="U6" s="40"/>
      <c r="V6" s="40" t="s">
        <v>2923</v>
      </c>
      <c r="W6" s="40" t="s">
        <v>2923</v>
      </c>
      <c r="X6" s="40" t="s">
        <v>2923</v>
      </c>
      <c r="Y6" s="82" t="s">
        <v>2923</v>
      </c>
      <c r="Z6" s="40" t="s">
        <v>2923</v>
      </c>
      <c r="AA6" s="40" t="s">
        <v>2923</v>
      </c>
      <c r="AB6" s="92">
        <v>2005981402</v>
      </c>
      <c r="AC6" s="38"/>
    </row>
    <row r="7" spans="1:29" ht="90" customHeight="1" x14ac:dyDescent="0.2">
      <c r="A7" s="36" t="s">
        <v>3412</v>
      </c>
      <c r="B7" s="36">
        <v>6</v>
      </c>
      <c r="C7" s="37" t="s">
        <v>2936</v>
      </c>
      <c r="D7" s="38">
        <v>15</v>
      </c>
      <c r="E7" s="39">
        <v>517080</v>
      </c>
      <c r="F7" s="39">
        <f t="shared" si="0"/>
        <v>517080</v>
      </c>
      <c r="G7" s="38">
        <v>8</v>
      </c>
      <c r="H7" s="38" t="s">
        <v>2916</v>
      </c>
      <c r="I7" s="38" t="s">
        <v>2917</v>
      </c>
      <c r="J7" s="38" t="s">
        <v>3436</v>
      </c>
      <c r="K7" s="38" t="s">
        <v>2937</v>
      </c>
      <c r="L7" s="38" t="s">
        <v>2938</v>
      </c>
      <c r="M7" s="38" t="s">
        <v>2939</v>
      </c>
      <c r="N7" s="40" t="s">
        <v>2921</v>
      </c>
      <c r="O7" s="41">
        <v>26302</v>
      </c>
      <c r="P7" s="38">
        <f t="shared" ca="1" si="1"/>
        <v>54</v>
      </c>
      <c r="Q7" s="42">
        <v>166416099</v>
      </c>
      <c r="R7" s="41">
        <v>33786</v>
      </c>
      <c r="S7" s="41">
        <v>39630</v>
      </c>
      <c r="T7" s="38" t="s">
        <v>2940</v>
      </c>
      <c r="U7" s="40" t="s">
        <v>2891</v>
      </c>
      <c r="V7" s="40" t="s">
        <v>2923</v>
      </c>
      <c r="W7" s="40" t="s">
        <v>2923</v>
      </c>
      <c r="X7" s="40" t="s">
        <v>2923</v>
      </c>
      <c r="Y7" s="82" t="s">
        <v>2923</v>
      </c>
      <c r="Z7" s="40" t="s">
        <v>2923</v>
      </c>
      <c r="AA7" s="40" t="s">
        <v>2923</v>
      </c>
      <c r="AB7" s="79">
        <v>2002159637</v>
      </c>
      <c r="AC7" s="38"/>
    </row>
    <row r="8" spans="1:29" ht="90" customHeight="1" x14ac:dyDescent="0.2">
      <c r="A8" s="36" t="s">
        <v>3412</v>
      </c>
      <c r="B8" s="36">
        <v>7</v>
      </c>
      <c r="C8" s="37" t="s">
        <v>2941</v>
      </c>
      <c r="D8" s="38">
        <v>11</v>
      </c>
      <c r="E8" s="39">
        <v>370668</v>
      </c>
      <c r="F8" s="39">
        <f>E8</f>
        <v>370668</v>
      </c>
      <c r="G8" s="38">
        <v>4</v>
      </c>
      <c r="H8" s="38" t="s">
        <v>2916</v>
      </c>
      <c r="I8" s="38" t="s">
        <v>2917</v>
      </c>
      <c r="J8" s="38" t="s">
        <v>3436</v>
      </c>
      <c r="K8" s="38" t="s">
        <v>2942</v>
      </c>
      <c r="L8" s="38" t="s">
        <v>2943</v>
      </c>
      <c r="M8" s="38" t="s">
        <v>2944</v>
      </c>
      <c r="N8" s="40" t="s">
        <v>2935</v>
      </c>
      <c r="O8" s="41">
        <v>34213</v>
      </c>
      <c r="P8" s="38">
        <f t="shared" ca="1" si="1"/>
        <v>32</v>
      </c>
      <c r="Q8" s="42">
        <v>451828645</v>
      </c>
      <c r="R8" s="41">
        <v>42248</v>
      </c>
      <c r="S8" s="41">
        <v>42248</v>
      </c>
      <c r="T8" s="38" t="s">
        <v>2940</v>
      </c>
      <c r="U8" s="40" t="s">
        <v>2839</v>
      </c>
      <c r="V8" s="40" t="s">
        <v>2923</v>
      </c>
      <c r="W8" s="40" t="s">
        <v>2923</v>
      </c>
      <c r="X8" s="40" t="s">
        <v>2923</v>
      </c>
      <c r="Y8" s="82" t="s">
        <v>2923</v>
      </c>
      <c r="Z8" s="40" t="s">
        <v>2923</v>
      </c>
      <c r="AA8" s="40" t="s">
        <v>2923</v>
      </c>
      <c r="AB8" s="79">
        <v>2003432846</v>
      </c>
      <c r="AC8" s="38"/>
    </row>
    <row r="9" spans="1:29" ht="90" customHeight="1" x14ac:dyDescent="0.2">
      <c r="A9" s="36" t="s">
        <v>3412</v>
      </c>
      <c r="B9" s="36">
        <v>8</v>
      </c>
      <c r="C9" s="37" t="s">
        <v>2945</v>
      </c>
      <c r="D9" s="38">
        <v>11</v>
      </c>
      <c r="E9" s="39">
        <v>360288</v>
      </c>
      <c r="F9" s="39">
        <f t="shared" si="0"/>
        <v>360288</v>
      </c>
      <c r="G9" s="38">
        <v>1</v>
      </c>
      <c r="H9" s="38" t="s">
        <v>2916</v>
      </c>
      <c r="I9" s="38" t="s">
        <v>2917</v>
      </c>
      <c r="J9" s="38" t="s">
        <v>3438</v>
      </c>
      <c r="K9" s="38" t="s">
        <v>2946</v>
      </c>
      <c r="L9" s="38" t="s">
        <v>2947</v>
      </c>
      <c r="M9" s="38" t="s">
        <v>2948</v>
      </c>
      <c r="N9" s="40" t="s">
        <v>2935</v>
      </c>
      <c r="O9" s="41">
        <v>36798</v>
      </c>
      <c r="P9" s="38">
        <f t="shared" ca="1" si="1"/>
        <v>25</v>
      </c>
      <c r="Q9" s="42"/>
      <c r="R9" s="41">
        <v>45734</v>
      </c>
      <c r="S9" s="41">
        <v>45734</v>
      </c>
      <c r="T9" s="38" t="s">
        <v>2940</v>
      </c>
      <c r="U9" s="40"/>
      <c r="V9" s="40" t="s">
        <v>2923</v>
      </c>
      <c r="W9" s="40" t="s">
        <v>2923</v>
      </c>
      <c r="X9" s="40" t="s">
        <v>2923</v>
      </c>
      <c r="Y9" s="82" t="s">
        <v>2923</v>
      </c>
      <c r="Z9" s="40" t="s">
        <v>2923</v>
      </c>
      <c r="AA9" s="40" t="s">
        <v>2923</v>
      </c>
      <c r="AB9" s="79">
        <v>2006649002</v>
      </c>
      <c r="AC9" s="38"/>
    </row>
    <row r="10" spans="1:29" ht="90" customHeight="1" x14ac:dyDescent="0.2">
      <c r="A10" s="36" t="s">
        <v>3412</v>
      </c>
      <c r="B10" s="36">
        <v>9</v>
      </c>
      <c r="C10" s="37" t="s">
        <v>2949</v>
      </c>
      <c r="D10" s="38">
        <v>3</v>
      </c>
      <c r="E10" s="39">
        <v>190224</v>
      </c>
      <c r="F10" s="39">
        <f t="shared" si="0"/>
        <v>190224</v>
      </c>
      <c r="G10" s="38">
        <v>2</v>
      </c>
      <c r="H10" s="38" t="s">
        <v>2916</v>
      </c>
      <c r="I10" s="38" t="s">
        <v>2917</v>
      </c>
      <c r="J10" s="38" t="s">
        <v>3438</v>
      </c>
      <c r="K10" s="38" t="s">
        <v>2950</v>
      </c>
      <c r="L10" s="38" t="s">
        <v>2951</v>
      </c>
      <c r="M10" s="38" t="s">
        <v>2952</v>
      </c>
      <c r="N10" s="40" t="s">
        <v>2935</v>
      </c>
      <c r="O10" s="41">
        <v>33077</v>
      </c>
      <c r="P10" s="38">
        <f t="shared" ca="1" si="1"/>
        <v>36</v>
      </c>
      <c r="Q10" s="42"/>
      <c r="R10" s="41">
        <v>45740</v>
      </c>
      <c r="S10" s="41">
        <v>45740</v>
      </c>
      <c r="T10" s="38" t="s">
        <v>2940</v>
      </c>
      <c r="U10" s="40"/>
      <c r="V10" s="40" t="s">
        <v>2923</v>
      </c>
      <c r="W10" s="40" t="s">
        <v>2923</v>
      </c>
      <c r="X10" s="40" t="s">
        <v>2923</v>
      </c>
      <c r="Y10" s="82" t="s">
        <v>2923</v>
      </c>
      <c r="Z10" s="40" t="s">
        <v>2923</v>
      </c>
      <c r="AA10" s="40" t="s">
        <v>2923</v>
      </c>
      <c r="AB10" s="79">
        <v>2006645368</v>
      </c>
      <c r="AC10" s="38"/>
    </row>
    <row r="11" spans="1:29" ht="90" customHeight="1" x14ac:dyDescent="0.2">
      <c r="A11" s="36" t="s">
        <v>3412</v>
      </c>
      <c r="B11" s="36">
        <v>10</v>
      </c>
      <c r="C11" s="37" t="s">
        <v>2949</v>
      </c>
      <c r="D11" s="38">
        <v>3</v>
      </c>
      <c r="E11" s="39">
        <v>198852</v>
      </c>
      <c r="F11" s="39">
        <f>E11</f>
        <v>198852</v>
      </c>
      <c r="G11" s="38">
        <v>7</v>
      </c>
      <c r="H11" s="38" t="s">
        <v>2916</v>
      </c>
      <c r="I11" s="38" t="s">
        <v>2917</v>
      </c>
      <c r="J11" s="38" t="s">
        <v>3438</v>
      </c>
      <c r="K11" s="38" t="s">
        <v>2953</v>
      </c>
      <c r="L11" s="38" t="s">
        <v>2954</v>
      </c>
      <c r="M11" s="38" t="s">
        <v>2955</v>
      </c>
      <c r="N11" s="40" t="s">
        <v>2921</v>
      </c>
      <c r="O11" s="41">
        <v>28968</v>
      </c>
      <c r="P11" s="38">
        <f t="shared" ca="1" si="1"/>
        <v>47</v>
      </c>
      <c r="Q11" s="42">
        <v>251693985</v>
      </c>
      <c r="R11" s="41">
        <v>38278</v>
      </c>
      <c r="S11" s="41">
        <v>39448</v>
      </c>
      <c r="T11" s="38" t="s">
        <v>2940</v>
      </c>
      <c r="U11" s="40"/>
      <c r="V11" s="40" t="s">
        <v>2923</v>
      </c>
      <c r="W11" s="40" t="s">
        <v>2923</v>
      </c>
      <c r="X11" s="40" t="s">
        <v>2923</v>
      </c>
      <c r="Y11" s="82" t="s">
        <v>2923</v>
      </c>
      <c r="Z11" s="40" t="s">
        <v>2923</v>
      </c>
      <c r="AA11" s="40" t="s">
        <v>2923</v>
      </c>
      <c r="AB11" s="79">
        <v>2002158960</v>
      </c>
      <c r="AC11" s="38"/>
    </row>
    <row r="12" spans="1:29" ht="90" customHeight="1" x14ac:dyDescent="0.2">
      <c r="A12" s="36" t="s">
        <v>3412</v>
      </c>
      <c r="B12" s="36">
        <v>11</v>
      </c>
      <c r="C12" s="37" t="s">
        <v>2956</v>
      </c>
      <c r="D12" s="38">
        <v>15</v>
      </c>
      <c r="E12" s="39">
        <v>482496</v>
      </c>
      <c r="F12" s="39">
        <f t="shared" si="0"/>
        <v>482496</v>
      </c>
      <c r="G12" s="38">
        <v>1</v>
      </c>
      <c r="H12" s="38" t="s">
        <v>2916</v>
      </c>
      <c r="I12" s="38" t="s">
        <v>2917</v>
      </c>
      <c r="J12" s="38" t="s">
        <v>3436</v>
      </c>
      <c r="K12" s="38" t="s">
        <v>2957</v>
      </c>
      <c r="L12" s="38" t="s">
        <v>2958</v>
      </c>
      <c r="M12" s="38" t="s">
        <v>2959</v>
      </c>
      <c r="N12" s="40" t="s">
        <v>2921</v>
      </c>
      <c r="O12" s="41">
        <v>28584</v>
      </c>
      <c r="P12" s="38">
        <f t="shared" ca="1" si="1"/>
        <v>48</v>
      </c>
      <c r="Q12" s="42">
        <v>926333290</v>
      </c>
      <c r="R12" s="41">
        <v>37214</v>
      </c>
      <c r="S12" s="41">
        <v>45383</v>
      </c>
      <c r="T12" s="38" t="s">
        <v>2940</v>
      </c>
      <c r="U12" s="40" t="s">
        <v>2891</v>
      </c>
      <c r="V12" s="40" t="s">
        <v>2923</v>
      </c>
      <c r="W12" s="40" t="s">
        <v>2923</v>
      </c>
      <c r="X12" s="40" t="s">
        <v>2923</v>
      </c>
      <c r="Y12" s="82" t="s">
        <v>2923</v>
      </c>
      <c r="Z12" s="40" t="s">
        <v>2923</v>
      </c>
      <c r="AA12" s="40" t="s">
        <v>2923</v>
      </c>
      <c r="AB12" s="79">
        <v>2002159550</v>
      </c>
      <c r="AC12" s="38"/>
    </row>
    <row r="13" spans="1:29" ht="90" customHeight="1" x14ac:dyDescent="0.2">
      <c r="A13" s="36" t="s">
        <v>3412</v>
      </c>
      <c r="B13" s="83">
        <v>12</v>
      </c>
      <c r="C13" s="84" t="s">
        <v>2960</v>
      </c>
      <c r="D13" s="43">
        <v>4</v>
      </c>
      <c r="E13" s="85">
        <f>16833*12</f>
        <v>201996</v>
      </c>
      <c r="F13" s="85">
        <f t="shared" si="0"/>
        <v>201996</v>
      </c>
      <c r="G13" s="43">
        <v>1</v>
      </c>
      <c r="H13" s="43" t="s">
        <v>2916</v>
      </c>
      <c r="I13" s="43" t="s">
        <v>2917</v>
      </c>
      <c r="J13" s="43" t="s">
        <v>3438</v>
      </c>
      <c r="K13" s="43"/>
      <c r="L13" s="43"/>
      <c r="M13" s="43"/>
      <c r="N13" s="86"/>
      <c r="O13" s="44"/>
      <c r="P13" s="43"/>
      <c r="Q13" s="87"/>
      <c r="R13" s="44"/>
      <c r="S13" s="44"/>
      <c r="T13" s="43" t="s">
        <v>2940</v>
      </c>
      <c r="U13" s="86"/>
      <c r="V13" s="86" t="s">
        <v>2923</v>
      </c>
      <c r="W13" s="86" t="s">
        <v>2923</v>
      </c>
      <c r="X13" s="86" t="s">
        <v>2923</v>
      </c>
      <c r="Y13" s="88" t="s">
        <v>2923</v>
      </c>
      <c r="Z13" s="86" t="s">
        <v>2923</v>
      </c>
      <c r="AA13" s="86" t="s">
        <v>2923</v>
      </c>
      <c r="AB13" s="91"/>
      <c r="AC13" s="38" t="s">
        <v>3440</v>
      </c>
    </row>
    <row r="14" spans="1:29" ht="90" customHeight="1" x14ac:dyDescent="0.2">
      <c r="A14" s="36" t="s">
        <v>3412</v>
      </c>
      <c r="B14" s="36">
        <v>13</v>
      </c>
      <c r="C14" s="37" t="s">
        <v>2949</v>
      </c>
      <c r="D14" s="38">
        <v>3</v>
      </c>
      <c r="E14" s="39">
        <v>200316</v>
      </c>
      <c r="F14" s="39">
        <f t="shared" si="0"/>
        <v>200316</v>
      </c>
      <c r="G14" s="38">
        <v>8</v>
      </c>
      <c r="H14" s="38" t="s">
        <v>2916</v>
      </c>
      <c r="I14" s="38" t="s">
        <v>2917</v>
      </c>
      <c r="J14" s="38" t="s">
        <v>3438</v>
      </c>
      <c r="K14" s="38" t="s">
        <v>2961</v>
      </c>
      <c r="L14" s="38" t="s">
        <v>2962</v>
      </c>
      <c r="M14" s="38" t="s">
        <v>2963</v>
      </c>
      <c r="N14" s="40" t="s">
        <v>2921</v>
      </c>
      <c r="O14" s="41">
        <v>24472</v>
      </c>
      <c r="P14" s="38">
        <f t="shared" ca="1" si="1"/>
        <v>59</v>
      </c>
      <c r="Q14" s="42">
        <v>166416080</v>
      </c>
      <c r="R14" s="41">
        <v>33786</v>
      </c>
      <c r="S14" s="41">
        <v>39264</v>
      </c>
      <c r="T14" s="38" t="s">
        <v>2940</v>
      </c>
      <c r="U14" s="40"/>
      <c r="V14" s="40" t="s">
        <v>2923</v>
      </c>
      <c r="W14" s="40" t="s">
        <v>2923</v>
      </c>
      <c r="X14" s="40" t="s">
        <v>2923</v>
      </c>
      <c r="Y14" s="82" t="s">
        <v>2923</v>
      </c>
      <c r="Z14" s="40" t="s">
        <v>2923</v>
      </c>
      <c r="AA14" s="40" t="s">
        <v>2923</v>
      </c>
      <c r="AB14" s="79">
        <v>2002159677</v>
      </c>
      <c r="AC14" s="38"/>
    </row>
    <row r="15" spans="1:29" ht="90" customHeight="1" x14ac:dyDescent="0.2">
      <c r="A15" s="36" t="s">
        <v>3412</v>
      </c>
      <c r="B15" s="36">
        <v>14</v>
      </c>
      <c r="C15" s="37" t="s">
        <v>2964</v>
      </c>
      <c r="D15" s="38">
        <v>11</v>
      </c>
      <c r="E15" s="39">
        <v>374220</v>
      </c>
      <c r="F15" s="39">
        <f t="shared" si="0"/>
        <v>374220</v>
      </c>
      <c r="G15" s="38">
        <v>5</v>
      </c>
      <c r="H15" s="38" t="s">
        <v>2916</v>
      </c>
      <c r="I15" s="38" t="s">
        <v>2917</v>
      </c>
      <c r="J15" s="38" t="s">
        <v>3436</v>
      </c>
      <c r="K15" s="38" t="s">
        <v>2965</v>
      </c>
      <c r="L15" s="38" t="s">
        <v>2966</v>
      </c>
      <c r="M15" s="38" t="s">
        <v>2967</v>
      </c>
      <c r="N15" s="40" t="s">
        <v>2921</v>
      </c>
      <c r="O15" s="41">
        <v>27416</v>
      </c>
      <c r="P15" s="38">
        <f t="shared" ca="1" si="1"/>
        <v>51</v>
      </c>
      <c r="Q15" s="42">
        <v>926333579</v>
      </c>
      <c r="R15" s="41">
        <v>39142</v>
      </c>
      <c r="S15" s="41">
        <v>41334</v>
      </c>
      <c r="T15" s="38" t="s">
        <v>2940</v>
      </c>
      <c r="U15" s="40" t="s">
        <v>2891</v>
      </c>
      <c r="V15" s="40" t="s">
        <v>2923</v>
      </c>
      <c r="W15" s="40" t="s">
        <v>2923</v>
      </c>
      <c r="X15" s="40" t="s">
        <v>2923</v>
      </c>
      <c r="Y15" s="82" t="s">
        <v>2923</v>
      </c>
      <c r="Z15" s="40" t="s">
        <v>2923</v>
      </c>
      <c r="AA15" s="40" t="s">
        <v>2923</v>
      </c>
      <c r="AB15" s="79">
        <v>2002158962</v>
      </c>
      <c r="AC15" s="38"/>
    </row>
    <row r="16" spans="1:29" ht="90" customHeight="1" x14ac:dyDescent="0.2">
      <c r="A16" s="36" t="s">
        <v>3412</v>
      </c>
      <c r="B16" s="36">
        <v>15</v>
      </c>
      <c r="C16" s="37" t="s">
        <v>2949</v>
      </c>
      <c r="D16" s="38">
        <v>3</v>
      </c>
      <c r="E16" s="39">
        <v>190224</v>
      </c>
      <c r="F16" s="39">
        <f t="shared" si="0"/>
        <v>190224</v>
      </c>
      <c r="G16" s="38">
        <v>1</v>
      </c>
      <c r="H16" s="38" t="s">
        <v>2916</v>
      </c>
      <c r="I16" s="38" t="s">
        <v>2917</v>
      </c>
      <c r="J16" s="38" t="s">
        <v>3438</v>
      </c>
      <c r="K16" s="38" t="s">
        <v>2968</v>
      </c>
      <c r="L16" s="38" t="s">
        <v>2969</v>
      </c>
      <c r="M16" s="38" t="s">
        <v>2970</v>
      </c>
      <c r="N16" s="40" t="s">
        <v>2935</v>
      </c>
      <c r="O16" s="41">
        <v>33245</v>
      </c>
      <c r="P16" s="38">
        <f t="shared" ca="1" si="1"/>
        <v>35</v>
      </c>
      <c r="Q16" s="42">
        <v>291751335</v>
      </c>
      <c r="R16" s="41">
        <v>45510</v>
      </c>
      <c r="S16" s="41">
        <v>45510</v>
      </c>
      <c r="T16" s="38" t="s">
        <v>2940</v>
      </c>
      <c r="U16" s="40"/>
      <c r="V16" s="40" t="s">
        <v>2923</v>
      </c>
      <c r="W16" s="40" t="s">
        <v>2923</v>
      </c>
      <c r="X16" s="40" t="s">
        <v>2923</v>
      </c>
      <c r="Y16" s="82" t="s">
        <v>2923</v>
      </c>
      <c r="Z16" s="40" t="s">
        <v>2923</v>
      </c>
      <c r="AA16" s="40" t="s">
        <v>2923</v>
      </c>
      <c r="AB16" s="79">
        <v>2006523561</v>
      </c>
      <c r="AC16" s="38"/>
    </row>
    <row r="17" spans="1:29" ht="90" customHeight="1" x14ac:dyDescent="0.2">
      <c r="A17" s="36" t="s">
        <v>3412</v>
      </c>
      <c r="B17" s="36">
        <v>16</v>
      </c>
      <c r="C17" s="37" t="s">
        <v>2971</v>
      </c>
      <c r="D17" s="38">
        <v>8</v>
      </c>
      <c r="E17" s="39">
        <v>269220</v>
      </c>
      <c r="F17" s="39">
        <f>E17</f>
        <v>269220</v>
      </c>
      <c r="G17" s="38">
        <v>6</v>
      </c>
      <c r="H17" s="38" t="s">
        <v>2916</v>
      </c>
      <c r="I17" s="38" t="s">
        <v>2917</v>
      </c>
      <c r="J17" s="38" t="s">
        <v>3436</v>
      </c>
      <c r="K17" s="38" t="s">
        <v>2972</v>
      </c>
      <c r="L17" s="38" t="s">
        <v>2973</v>
      </c>
      <c r="M17" s="38" t="s">
        <v>2974</v>
      </c>
      <c r="N17" s="40" t="s">
        <v>2935</v>
      </c>
      <c r="O17" s="41">
        <v>24038</v>
      </c>
      <c r="P17" s="38">
        <f t="shared" ca="1" si="1"/>
        <v>60</v>
      </c>
      <c r="Q17" s="42">
        <v>126669731</v>
      </c>
      <c r="R17" s="41">
        <v>39934</v>
      </c>
      <c r="S17" s="41">
        <v>39934</v>
      </c>
      <c r="T17" s="38" t="s">
        <v>2940</v>
      </c>
      <c r="U17" s="40" t="s">
        <v>2891</v>
      </c>
      <c r="V17" s="40" t="s">
        <v>2923</v>
      </c>
      <c r="W17" s="40" t="s">
        <v>2923</v>
      </c>
      <c r="X17" s="40" t="s">
        <v>2923</v>
      </c>
      <c r="Y17" s="82" t="s">
        <v>2923</v>
      </c>
      <c r="Z17" s="40" t="s">
        <v>2923</v>
      </c>
      <c r="AA17" s="40" t="s">
        <v>2923</v>
      </c>
      <c r="AB17" s="79">
        <v>2003975603</v>
      </c>
      <c r="AC17" s="38"/>
    </row>
    <row r="18" spans="1:29" ht="90" customHeight="1" x14ac:dyDescent="0.2">
      <c r="A18" s="36" t="s">
        <v>3412</v>
      </c>
      <c r="B18" s="36">
        <v>17</v>
      </c>
      <c r="C18" s="37" t="s">
        <v>2975</v>
      </c>
      <c r="D18" s="38">
        <v>19</v>
      </c>
      <c r="E18" s="39">
        <v>705036</v>
      </c>
      <c r="F18" s="39">
        <f>E18</f>
        <v>705036</v>
      </c>
      <c r="G18" s="38">
        <v>4</v>
      </c>
      <c r="H18" s="38" t="s">
        <v>2916</v>
      </c>
      <c r="I18" s="38" t="s">
        <v>2917</v>
      </c>
      <c r="J18" s="38" t="s">
        <v>3436</v>
      </c>
      <c r="K18" s="38" t="s">
        <v>2976</v>
      </c>
      <c r="L18" s="38" t="s">
        <v>2977</v>
      </c>
      <c r="M18" s="38" t="s">
        <v>2978</v>
      </c>
      <c r="N18" s="40" t="s">
        <v>2935</v>
      </c>
      <c r="O18" s="41">
        <v>26358</v>
      </c>
      <c r="P18" s="38">
        <f t="shared" ca="1" si="1"/>
        <v>54</v>
      </c>
      <c r="Q18" s="42">
        <v>177722397</v>
      </c>
      <c r="R18" s="41">
        <v>39118</v>
      </c>
      <c r="S18" s="41">
        <v>42184</v>
      </c>
      <c r="T18" s="38" t="s">
        <v>2940</v>
      </c>
      <c r="U18" s="40" t="s">
        <v>2839</v>
      </c>
      <c r="V18" s="40" t="s">
        <v>2923</v>
      </c>
      <c r="W18" s="40" t="s">
        <v>2923</v>
      </c>
      <c r="X18" s="40" t="s">
        <v>2923</v>
      </c>
      <c r="Y18" s="82" t="s">
        <v>2923</v>
      </c>
      <c r="Z18" s="40" t="s">
        <v>2923</v>
      </c>
      <c r="AA18" s="40" t="s">
        <v>2923</v>
      </c>
      <c r="AB18" s="79">
        <v>2002159220</v>
      </c>
      <c r="AC18" s="38"/>
    </row>
    <row r="19" spans="1:29" ht="90" customHeight="1" x14ac:dyDescent="0.2">
      <c r="A19" s="36" t="s">
        <v>3413</v>
      </c>
      <c r="B19" s="36">
        <v>18</v>
      </c>
      <c r="C19" s="37" t="s">
        <v>2979</v>
      </c>
      <c r="D19" s="38">
        <v>25</v>
      </c>
      <c r="E19" s="39">
        <v>1361712</v>
      </c>
      <c r="F19" s="39">
        <f>E19</f>
        <v>1361712</v>
      </c>
      <c r="G19" s="38">
        <v>2</v>
      </c>
      <c r="H19" s="38" t="s">
        <v>2916</v>
      </c>
      <c r="I19" s="38" t="s">
        <v>2917</v>
      </c>
      <c r="J19" s="38" t="s">
        <v>3436</v>
      </c>
      <c r="K19" s="38" t="s">
        <v>2980</v>
      </c>
      <c r="L19" s="38" t="s">
        <v>2981</v>
      </c>
      <c r="M19" s="38" t="s">
        <v>2982</v>
      </c>
      <c r="N19" s="40" t="s">
        <v>2935</v>
      </c>
      <c r="O19" s="41">
        <v>29368</v>
      </c>
      <c r="P19" s="38">
        <f t="shared" ca="1" si="1"/>
        <v>46</v>
      </c>
      <c r="Q19" s="42">
        <v>931814934</v>
      </c>
      <c r="R19" s="41">
        <v>43647</v>
      </c>
      <c r="S19" s="41">
        <v>39264</v>
      </c>
      <c r="T19" s="38" t="s">
        <v>2922</v>
      </c>
      <c r="U19" s="40"/>
      <c r="V19" s="40" t="s">
        <v>2923</v>
      </c>
      <c r="W19" s="40" t="s">
        <v>2923</v>
      </c>
      <c r="X19" s="40" t="s">
        <v>2923</v>
      </c>
      <c r="Y19" s="82" t="s">
        <v>2923</v>
      </c>
      <c r="Z19" s="40" t="s">
        <v>2923</v>
      </c>
      <c r="AA19" s="40" t="s">
        <v>2923</v>
      </c>
      <c r="AB19" s="79">
        <v>2004006674</v>
      </c>
      <c r="AC19" s="38"/>
    </row>
    <row r="20" spans="1:29" ht="90" customHeight="1" x14ac:dyDescent="0.2">
      <c r="A20" s="36" t="s">
        <v>3413</v>
      </c>
      <c r="B20" s="36">
        <v>19</v>
      </c>
      <c r="C20" s="37" t="s">
        <v>2983</v>
      </c>
      <c r="D20" s="38">
        <v>6</v>
      </c>
      <c r="E20" s="39">
        <v>239556</v>
      </c>
      <c r="F20" s="39">
        <f t="shared" ref="F20:F46" si="2">E20</f>
        <v>239556</v>
      </c>
      <c r="G20" s="38">
        <v>8</v>
      </c>
      <c r="H20" s="38" t="s">
        <v>2916</v>
      </c>
      <c r="I20" s="38" t="s">
        <v>2917</v>
      </c>
      <c r="J20" s="38" t="s">
        <v>3438</v>
      </c>
      <c r="K20" s="38" t="s">
        <v>2984</v>
      </c>
      <c r="L20" s="38" t="s">
        <v>2985</v>
      </c>
      <c r="M20" s="38" t="s">
        <v>2986</v>
      </c>
      <c r="N20" s="40" t="s">
        <v>2921</v>
      </c>
      <c r="O20" s="41">
        <v>24213</v>
      </c>
      <c r="P20" s="38">
        <f t="shared" ca="1" si="1"/>
        <v>60</v>
      </c>
      <c r="Q20" s="42">
        <v>166416031</v>
      </c>
      <c r="R20" s="41">
        <v>33002</v>
      </c>
      <c r="S20" s="41">
        <v>39264</v>
      </c>
      <c r="T20" s="38" t="s">
        <v>2940</v>
      </c>
      <c r="U20" s="40" t="s">
        <v>2855</v>
      </c>
      <c r="V20" s="40" t="s">
        <v>2923</v>
      </c>
      <c r="W20" s="40" t="s">
        <v>2923</v>
      </c>
      <c r="X20" s="40" t="s">
        <v>2923</v>
      </c>
      <c r="Y20" s="82" t="s">
        <v>2923</v>
      </c>
      <c r="Z20" s="40" t="s">
        <v>2923</v>
      </c>
      <c r="AA20" s="40" t="s">
        <v>2923</v>
      </c>
      <c r="AB20" s="79">
        <v>2002159608</v>
      </c>
      <c r="AC20" s="38"/>
    </row>
    <row r="21" spans="1:29" ht="90" customHeight="1" x14ac:dyDescent="0.2">
      <c r="A21" s="36" t="s">
        <v>3414</v>
      </c>
      <c r="B21" s="36">
        <v>20</v>
      </c>
      <c r="C21" s="37" t="s">
        <v>2987</v>
      </c>
      <c r="D21" s="38">
        <v>24</v>
      </c>
      <c r="E21" s="39">
        <v>915480</v>
      </c>
      <c r="F21" s="39">
        <f t="shared" si="2"/>
        <v>915480</v>
      </c>
      <c r="G21" s="38">
        <v>1</v>
      </c>
      <c r="H21" s="38" t="s">
        <v>2916</v>
      </c>
      <c r="I21" s="38" t="s">
        <v>2917</v>
      </c>
      <c r="J21" s="38" t="s">
        <v>3436</v>
      </c>
      <c r="K21" s="38" t="s">
        <v>2988</v>
      </c>
      <c r="L21" s="38" t="s">
        <v>2989</v>
      </c>
      <c r="M21" s="38" t="s">
        <v>2990</v>
      </c>
      <c r="N21" s="40" t="s">
        <v>2935</v>
      </c>
      <c r="O21" s="41">
        <v>33102</v>
      </c>
      <c r="P21" s="38">
        <f t="shared" ca="1" si="1"/>
        <v>35</v>
      </c>
      <c r="Q21" s="42">
        <v>272742064</v>
      </c>
      <c r="R21" s="41">
        <v>44743</v>
      </c>
      <c r="S21" s="41">
        <v>44743</v>
      </c>
      <c r="T21" s="38" t="s">
        <v>2922</v>
      </c>
      <c r="U21" s="40"/>
      <c r="V21" s="40" t="s">
        <v>2923</v>
      </c>
      <c r="W21" s="40" t="s">
        <v>2923</v>
      </c>
      <c r="X21" s="40" t="s">
        <v>2923</v>
      </c>
      <c r="Y21" s="82" t="s">
        <v>2923</v>
      </c>
      <c r="Z21" s="40" t="s">
        <v>2923</v>
      </c>
      <c r="AA21" s="40" t="s">
        <v>2923</v>
      </c>
      <c r="AB21" s="79">
        <v>2006086448</v>
      </c>
      <c r="AC21" s="38"/>
    </row>
    <row r="22" spans="1:29" ht="90" customHeight="1" x14ac:dyDescent="0.2">
      <c r="A22" s="36" t="s">
        <v>3414</v>
      </c>
      <c r="B22" s="36">
        <v>21</v>
      </c>
      <c r="C22" s="37" t="s">
        <v>2987</v>
      </c>
      <c r="D22" s="38">
        <v>24</v>
      </c>
      <c r="E22" s="39">
        <v>1215396</v>
      </c>
      <c r="F22" s="39">
        <f t="shared" si="2"/>
        <v>1215396</v>
      </c>
      <c r="G22" s="38">
        <v>3</v>
      </c>
      <c r="H22" s="38" t="s">
        <v>2916</v>
      </c>
      <c r="I22" s="38" t="s">
        <v>2917</v>
      </c>
      <c r="J22" s="38" t="s">
        <v>3436</v>
      </c>
      <c r="K22" s="38" t="s">
        <v>2991</v>
      </c>
      <c r="L22" s="38" t="s">
        <v>2992</v>
      </c>
      <c r="M22" s="38" t="s">
        <v>2937</v>
      </c>
      <c r="N22" s="40" t="s">
        <v>2935</v>
      </c>
      <c r="O22" s="41">
        <v>33878</v>
      </c>
      <c r="P22" s="38">
        <f t="shared" ca="1" si="1"/>
        <v>33</v>
      </c>
      <c r="Q22" s="42">
        <v>288221595</v>
      </c>
      <c r="R22" s="41">
        <v>43647</v>
      </c>
      <c r="S22" s="41">
        <v>43647</v>
      </c>
      <c r="T22" s="38" t="s">
        <v>2922</v>
      </c>
      <c r="U22" s="40"/>
      <c r="V22" s="40" t="s">
        <v>2923</v>
      </c>
      <c r="W22" s="40" t="s">
        <v>2923</v>
      </c>
      <c r="X22" s="40" t="s">
        <v>2923</v>
      </c>
      <c r="Y22" s="82" t="s">
        <v>2923</v>
      </c>
      <c r="Z22" s="40" t="s">
        <v>2923</v>
      </c>
      <c r="AA22" s="40" t="s">
        <v>2923</v>
      </c>
      <c r="AB22" s="79">
        <v>2005665333</v>
      </c>
      <c r="AC22" s="38"/>
    </row>
    <row r="23" spans="1:29" ht="90" customHeight="1" x14ac:dyDescent="0.2">
      <c r="A23" s="36" t="s">
        <v>3414</v>
      </c>
      <c r="B23" s="36">
        <v>22</v>
      </c>
      <c r="C23" s="37" t="s">
        <v>2987</v>
      </c>
      <c r="D23" s="38">
        <v>24</v>
      </c>
      <c r="E23" s="39">
        <v>1215396</v>
      </c>
      <c r="F23" s="39">
        <f t="shared" si="2"/>
        <v>1215396</v>
      </c>
      <c r="G23" s="38">
        <v>2</v>
      </c>
      <c r="H23" s="38" t="s">
        <v>2916</v>
      </c>
      <c r="I23" s="38" t="s">
        <v>2917</v>
      </c>
      <c r="J23" s="38" t="s">
        <v>3436</v>
      </c>
      <c r="K23" s="38" t="s">
        <v>2993</v>
      </c>
      <c r="L23" s="38" t="s">
        <v>2994</v>
      </c>
      <c r="M23" s="38" t="s">
        <v>2995</v>
      </c>
      <c r="N23" s="40" t="s">
        <v>2935</v>
      </c>
      <c r="O23" s="41">
        <v>25738</v>
      </c>
      <c r="P23" s="38">
        <f t="shared" ca="1" si="1"/>
        <v>56</v>
      </c>
      <c r="Q23" s="42">
        <v>146754183</v>
      </c>
      <c r="R23" s="41">
        <v>43647</v>
      </c>
      <c r="S23" s="41">
        <v>43647</v>
      </c>
      <c r="T23" s="38" t="s">
        <v>2922</v>
      </c>
      <c r="U23" s="40"/>
      <c r="V23" s="40" t="s">
        <v>2923</v>
      </c>
      <c r="W23" s="40" t="s">
        <v>2923</v>
      </c>
      <c r="X23" s="40" t="s">
        <v>2923</v>
      </c>
      <c r="Y23" s="82" t="s">
        <v>2923</v>
      </c>
      <c r="Z23" s="40" t="s">
        <v>2923</v>
      </c>
      <c r="AA23" s="40" t="s">
        <v>2923</v>
      </c>
      <c r="AB23" s="79">
        <v>2004002367</v>
      </c>
      <c r="AC23" s="38"/>
    </row>
    <row r="24" spans="1:29" ht="90" customHeight="1" x14ac:dyDescent="0.2">
      <c r="A24" s="36" t="s">
        <v>3414</v>
      </c>
      <c r="B24" s="36">
        <v>23</v>
      </c>
      <c r="C24" s="37" t="s">
        <v>2987</v>
      </c>
      <c r="D24" s="38">
        <v>24</v>
      </c>
      <c r="E24" s="39">
        <v>1196652</v>
      </c>
      <c r="F24" s="39">
        <f t="shared" si="2"/>
        <v>1196652</v>
      </c>
      <c r="G24" s="38">
        <v>2</v>
      </c>
      <c r="H24" s="38" t="s">
        <v>2916</v>
      </c>
      <c r="I24" s="38" t="s">
        <v>2917</v>
      </c>
      <c r="J24" s="38" t="s">
        <v>3436</v>
      </c>
      <c r="K24" s="38" t="s">
        <v>2942</v>
      </c>
      <c r="L24" s="38" t="s">
        <v>2996</v>
      </c>
      <c r="M24" s="38" t="s">
        <v>2997</v>
      </c>
      <c r="N24" s="40" t="s">
        <v>2935</v>
      </c>
      <c r="O24" s="41">
        <v>22067</v>
      </c>
      <c r="P24" s="38">
        <f t="shared" ca="1" si="1"/>
        <v>66</v>
      </c>
      <c r="Q24" s="42">
        <v>140359060</v>
      </c>
      <c r="R24" s="41">
        <v>44743</v>
      </c>
      <c r="S24" s="41">
        <v>44743</v>
      </c>
      <c r="T24" s="45" t="s">
        <v>2922</v>
      </c>
      <c r="U24" s="40"/>
      <c r="V24" s="40"/>
      <c r="W24" s="40" t="s">
        <v>2923</v>
      </c>
      <c r="X24" s="40" t="s">
        <v>2923</v>
      </c>
      <c r="Y24" s="82" t="s">
        <v>2923</v>
      </c>
      <c r="Z24" s="40" t="s">
        <v>2923</v>
      </c>
      <c r="AA24" s="40" t="s">
        <v>2923</v>
      </c>
      <c r="AB24" s="79" t="s">
        <v>2923</v>
      </c>
      <c r="AC24" s="38"/>
    </row>
    <row r="25" spans="1:29" ht="90" customHeight="1" x14ac:dyDescent="0.2">
      <c r="A25" s="36" t="s">
        <v>3414</v>
      </c>
      <c r="B25" s="36">
        <v>24</v>
      </c>
      <c r="C25" s="37" t="s">
        <v>2987</v>
      </c>
      <c r="D25" s="38">
        <v>24</v>
      </c>
      <c r="E25" s="39">
        <v>1178220</v>
      </c>
      <c r="F25" s="39">
        <f t="shared" si="2"/>
        <v>1178220</v>
      </c>
      <c r="G25" s="38">
        <v>1</v>
      </c>
      <c r="H25" s="38" t="s">
        <v>2916</v>
      </c>
      <c r="I25" s="38" t="s">
        <v>2917</v>
      </c>
      <c r="J25" s="38" t="s">
        <v>3436</v>
      </c>
      <c r="K25" s="38" t="s">
        <v>2998</v>
      </c>
      <c r="L25" s="38" t="s">
        <v>2999</v>
      </c>
      <c r="M25" s="38" t="s">
        <v>2920</v>
      </c>
      <c r="N25" s="40" t="s">
        <v>2935</v>
      </c>
      <c r="O25" s="41">
        <v>29572</v>
      </c>
      <c r="P25" s="38">
        <f t="shared" ca="1" si="1"/>
        <v>45</v>
      </c>
      <c r="Q25" s="46">
        <v>205759579</v>
      </c>
      <c r="R25" s="41">
        <v>45839</v>
      </c>
      <c r="S25" s="41">
        <v>45839</v>
      </c>
      <c r="T25" s="45" t="s">
        <v>2922</v>
      </c>
      <c r="U25" s="40"/>
      <c r="V25" s="40" t="s">
        <v>2923</v>
      </c>
      <c r="W25" s="40" t="s">
        <v>2923</v>
      </c>
      <c r="X25" s="40" t="s">
        <v>2923</v>
      </c>
      <c r="Y25" s="82" t="s">
        <v>2923</v>
      </c>
      <c r="Z25" s="40" t="s">
        <v>2923</v>
      </c>
      <c r="AA25" s="40" t="s">
        <v>2923</v>
      </c>
      <c r="AB25" s="79">
        <v>2006698889</v>
      </c>
      <c r="AC25" s="38"/>
    </row>
    <row r="26" spans="1:29" ht="90" customHeight="1" x14ac:dyDescent="0.2">
      <c r="A26" s="36" t="s">
        <v>3414</v>
      </c>
      <c r="B26" s="36">
        <v>25</v>
      </c>
      <c r="C26" s="37" t="s">
        <v>2987</v>
      </c>
      <c r="D26" s="38">
        <v>24</v>
      </c>
      <c r="E26" s="39">
        <v>1178220</v>
      </c>
      <c r="F26" s="39">
        <f t="shared" si="2"/>
        <v>1178220</v>
      </c>
      <c r="G26" s="38">
        <v>3</v>
      </c>
      <c r="H26" s="38" t="s">
        <v>2916</v>
      </c>
      <c r="I26" s="38" t="s">
        <v>2917</v>
      </c>
      <c r="J26" s="38" t="s">
        <v>3436</v>
      </c>
      <c r="K26" s="38" t="s">
        <v>3000</v>
      </c>
      <c r="L26" s="38" t="s">
        <v>3001</v>
      </c>
      <c r="M26" s="38" t="s">
        <v>3002</v>
      </c>
      <c r="N26" s="40" t="s">
        <v>2935</v>
      </c>
      <c r="O26" s="41">
        <v>35713</v>
      </c>
      <c r="P26" s="38">
        <f t="shared" ca="1" si="1"/>
        <v>28</v>
      </c>
      <c r="Q26" s="46">
        <v>746191238</v>
      </c>
      <c r="R26" s="41">
        <v>43647</v>
      </c>
      <c r="S26" s="41">
        <v>45839</v>
      </c>
      <c r="T26" s="38" t="s">
        <v>2922</v>
      </c>
      <c r="U26" s="40"/>
      <c r="V26" s="40" t="s">
        <v>2923</v>
      </c>
      <c r="W26" s="40" t="s">
        <v>2923</v>
      </c>
      <c r="X26" s="40" t="s">
        <v>2923</v>
      </c>
      <c r="Y26" s="82" t="s">
        <v>2923</v>
      </c>
      <c r="Z26" s="40" t="s">
        <v>2923</v>
      </c>
      <c r="AA26" s="40" t="s">
        <v>2923</v>
      </c>
      <c r="AB26" s="79">
        <v>2005665318</v>
      </c>
      <c r="AC26" s="38"/>
    </row>
    <row r="27" spans="1:29" ht="90" customHeight="1" x14ac:dyDescent="0.2">
      <c r="A27" s="36" t="s">
        <v>3414</v>
      </c>
      <c r="B27" s="36">
        <v>26</v>
      </c>
      <c r="C27" s="37" t="s">
        <v>2987</v>
      </c>
      <c r="D27" s="38">
        <v>24</v>
      </c>
      <c r="E27" s="39">
        <v>1178220</v>
      </c>
      <c r="F27" s="39">
        <f t="shared" si="2"/>
        <v>1178220</v>
      </c>
      <c r="G27" s="38">
        <v>1</v>
      </c>
      <c r="H27" s="38" t="s">
        <v>2916</v>
      </c>
      <c r="I27" s="38" t="s">
        <v>2917</v>
      </c>
      <c r="J27" s="38" t="s">
        <v>3436</v>
      </c>
      <c r="K27" s="38" t="s">
        <v>3003</v>
      </c>
      <c r="L27" s="38" t="s">
        <v>3004</v>
      </c>
      <c r="M27" s="38" t="s">
        <v>3005</v>
      </c>
      <c r="N27" s="40" t="s">
        <v>2935</v>
      </c>
      <c r="O27" s="41">
        <v>23769</v>
      </c>
      <c r="P27" s="38">
        <f t="shared" ca="1" si="1"/>
        <v>61</v>
      </c>
      <c r="Q27" s="42">
        <v>143423654</v>
      </c>
      <c r="R27" s="41">
        <v>45839</v>
      </c>
      <c r="S27" s="41">
        <v>45839</v>
      </c>
      <c r="T27" s="38" t="s">
        <v>2922</v>
      </c>
      <c r="U27" s="40"/>
      <c r="V27" s="40" t="s">
        <v>2923</v>
      </c>
      <c r="W27" s="40" t="s">
        <v>2923</v>
      </c>
      <c r="X27" s="40" t="s">
        <v>2923</v>
      </c>
      <c r="Y27" s="82" t="s">
        <v>2923</v>
      </c>
      <c r="Z27" s="40" t="s">
        <v>2923</v>
      </c>
      <c r="AA27" s="40" t="s">
        <v>2923</v>
      </c>
      <c r="AB27" s="79">
        <v>2002159500</v>
      </c>
      <c r="AC27" s="38"/>
    </row>
    <row r="28" spans="1:29" ht="90" customHeight="1" x14ac:dyDescent="0.2">
      <c r="A28" s="36" t="s">
        <v>3414</v>
      </c>
      <c r="B28" s="36">
        <v>27</v>
      </c>
      <c r="C28" s="37" t="s">
        <v>2987</v>
      </c>
      <c r="D28" s="38">
        <v>24</v>
      </c>
      <c r="E28" s="39">
        <v>1178220</v>
      </c>
      <c r="F28" s="39">
        <f t="shared" si="2"/>
        <v>1178220</v>
      </c>
      <c r="G28" s="38">
        <v>1</v>
      </c>
      <c r="H28" s="38" t="s">
        <v>2916</v>
      </c>
      <c r="I28" s="38" t="s">
        <v>2917</v>
      </c>
      <c r="J28" s="38" t="s">
        <v>3436</v>
      </c>
      <c r="K28" s="38" t="s">
        <v>3006</v>
      </c>
      <c r="L28" s="38" t="s">
        <v>3007</v>
      </c>
      <c r="M28" s="38" t="s">
        <v>2920</v>
      </c>
      <c r="N28" s="40" t="s">
        <v>2935</v>
      </c>
      <c r="O28" s="41">
        <v>34198</v>
      </c>
      <c r="P28" s="38">
        <f t="shared" ca="1" si="1"/>
        <v>32</v>
      </c>
      <c r="Q28" s="42">
        <v>402656336</v>
      </c>
      <c r="R28" s="41">
        <v>45839</v>
      </c>
      <c r="S28" s="41">
        <v>45839</v>
      </c>
      <c r="T28" s="38" t="s">
        <v>2922</v>
      </c>
      <c r="U28" s="40"/>
      <c r="V28" s="40" t="s">
        <v>2923</v>
      </c>
      <c r="W28" s="40" t="s">
        <v>2923</v>
      </c>
      <c r="X28" s="40" t="s">
        <v>2923</v>
      </c>
      <c r="Y28" s="82" t="s">
        <v>2923</v>
      </c>
      <c r="Z28" s="40" t="s">
        <v>2923</v>
      </c>
      <c r="AA28" s="40" t="s">
        <v>2923</v>
      </c>
      <c r="AB28" s="79">
        <v>2003432549</v>
      </c>
      <c r="AC28" s="38"/>
    </row>
    <row r="29" spans="1:29" ht="90" customHeight="1" x14ac:dyDescent="0.2">
      <c r="A29" s="36" t="s">
        <v>3414</v>
      </c>
      <c r="B29" s="36">
        <v>28</v>
      </c>
      <c r="C29" s="37" t="s">
        <v>2987</v>
      </c>
      <c r="D29" s="38">
        <v>24</v>
      </c>
      <c r="E29" s="39">
        <v>1178220</v>
      </c>
      <c r="F29" s="39">
        <f t="shared" si="2"/>
        <v>1178220</v>
      </c>
      <c r="G29" s="38">
        <v>1</v>
      </c>
      <c r="H29" s="38" t="s">
        <v>2916</v>
      </c>
      <c r="I29" s="38" t="s">
        <v>2917</v>
      </c>
      <c r="J29" s="38" t="s">
        <v>3436</v>
      </c>
      <c r="K29" s="38" t="s">
        <v>3008</v>
      </c>
      <c r="L29" s="38" t="s">
        <v>3009</v>
      </c>
      <c r="M29" s="38" t="s">
        <v>2946</v>
      </c>
      <c r="N29" s="40" t="s">
        <v>2921</v>
      </c>
      <c r="O29" s="41">
        <v>29377</v>
      </c>
      <c r="P29" s="38">
        <f t="shared" ca="1" si="1"/>
        <v>46</v>
      </c>
      <c r="Q29" s="42">
        <v>929319746</v>
      </c>
      <c r="R29" s="41">
        <v>45276</v>
      </c>
      <c r="S29" s="41">
        <v>45276</v>
      </c>
      <c r="T29" s="38" t="s">
        <v>2922</v>
      </c>
      <c r="U29" s="40"/>
      <c r="V29" s="40" t="s">
        <v>2923</v>
      </c>
      <c r="W29" s="40" t="s">
        <v>2923</v>
      </c>
      <c r="X29" s="40" t="s">
        <v>2923</v>
      </c>
      <c r="Y29" s="82" t="s">
        <v>2923</v>
      </c>
      <c r="Z29" s="40" t="s">
        <v>2923</v>
      </c>
      <c r="AA29" s="40" t="s">
        <v>2923</v>
      </c>
      <c r="AB29" s="79">
        <v>2006404435</v>
      </c>
      <c r="AC29" s="38"/>
    </row>
    <row r="30" spans="1:29" ht="90" customHeight="1" x14ac:dyDescent="0.2">
      <c r="A30" s="36" t="s">
        <v>3414</v>
      </c>
      <c r="B30" s="36">
        <v>29</v>
      </c>
      <c r="C30" s="37" t="s">
        <v>2987</v>
      </c>
      <c r="D30" s="38">
        <v>24</v>
      </c>
      <c r="E30" s="39">
        <v>1178220</v>
      </c>
      <c r="F30" s="39">
        <f t="shared" si="2"/>
        <v>1178220</v>
      </c>
      <c r="G30" s="38">
        <v>1</v>
      </c>
      <c r="H30" s="38" t="s">
        <v>2916</v>
      </c>
      <c r="I30" s="38" t="s">
        <v>2917</v>
      </c>
      <c r="J30" s="38" t="s">
        <v>3436</v>
      </c>
      <c r="K30" s="38" t="s">
        <v>3010</v>
      </c>
      <c r="L30" s="38" t="s">
        <v>3011</v>
      </c>
      <c r="M30" s="38" t="s">
        <v>3000</v>
      </c>
      <c r="N30" s="40" t="s">
        <v>2935</v>
      </c>
      <c r="O30" s="41">
        <v>37123</v>
      </c>
      <c r="P30" s="38">
        <f t="shared" ca="1" si="1"/>
        <v>24</v>
      </c>
      <c r="Q30" s="42">
        <v>755310608</v>
      </c>
      <c r="R30" s="41">
        <v>45246</v>
      </c>
      <c r="S30" s="41">
        <v>45246</v>
      </c>
      <c r="T30" s="38" t="s">
        <v>2922</v>
      </c>
      <c r="U30" s="40"/>
      <c r="V30" s="40" t="s">
        <v>2923</v>
      </c>
      <c r="W30" s="40" t="s">
        <v>2923</v>
      </c>
      <c r="X30" s="40" t="s">
        <v>2923</v>
      </c>
      <c r="Y30" s="82" t="s">
        <v>2923</v>
      </c>
      <c r="Z30" s="40" t="s">
        <v>2923</v>
      </c>
      <c r="AA30" s="40" t="s">
        <v>2923</v>
      </c>
      <c r="AB30" s="79">
        <v>2006404362</v>
      </c>
      <c r="AC30" s="38"/>
    </row>
    <row r="31" spans="1:29" ht="90" customHeight="1" x14ac:dyDescent="0.2">
      <c r="A31" s="36" t="s">
        <v>3415</v>
      </c>
      <c r="B31" s="36">
        <v>30</v>
      </c>
      <c r="C31" s="37" t="s">
        <v>3012</v>
      </c>
      <c r="D31" s="38">
        <v>24</v>
      </c>
      <c r="E31" s="39">
        <v>1178220</v>
      </c>
      <c r="F31" s="39">
        <f t="shared" si="2"/>
        <v>1178220</v>
      </c>
      <c r="G31" s="38">
        <v>1</v>
      </c>
      <c r="H31" s="38" t="s">
        <v>2916</v>
      </c>
      <c r="I31" s="38" t="s">
        <v>2917</v>
      </c>
      <c r="J31" s="38" t="s">
        <v>3436</v>
      </c>
      <c r="K31" s="38" t="s">
        <v>3013</v>
      </c>
      <c r="L31" s="38" t="s">
        <v>3014</v>
      </c>
      <c r="M31" s="38" t="s">
        <v>3015</v>
      </c>
      <c r="N31" s="40" t="s">
        <v>2935</v>
      </c>
      <c r="O31" s="41">
        <v>33531</v>
      </c>
      <c r="P31" s="38">
        <f t="shared" ca="1" si="1"/>
        <v>34</v>
      </c>
      <c r="Q31" s="42">
        <v>747348929</v>
      </c>
      <c r="R31" s="41">
        <v>44393</v>
      </c>
      <c r="S31" s="41">
        <v>45541</v>
      </c>
      <c r="T31" s="38" t="s">
        <v>2940</v>
      </c>
      <c r="U31" s="40" t="s">
        <v>2891</v>
      </c>
      <c r="V31" s="40" t="s">
        <v>2923</v>
      </c>
      <c r="W31" s="40" t="s">
        <v>2923</v>
      </c>
      <c r="X31" s="40" t="s">
        <v>2923</v>
      </c>
      <c r="Y31" s="82" t="s">
        <v>2923</v>
      </c>
      <c r="Z31" s="40" t="s">
        <v>2923</v>
      </c>
      <c r="AA31" s="40" t="s">
        <v>2923</v>
      </c>
      <c r="AB31" s="79">
        <v>2005981383</v>
      </c>
      <c r="AC31" s="38"/>
    </row>
    <row r="32" spans="1:29" ht="90" customHeight="1" x14ac:dyDescent="0.2">
      <c r="A32" s="36" t="s">
        <v>3415</v>
      </c>
      <c r="B32" s="42">
        <v>31</v>
      </c>
      <c r="C32" s="38" t="s">
        <v>3016</v>
      </c>
      <c r="D32" s="38">
        <v>11</v>
      </c>
      <c r="E32" s="47">
        <v>363696</v>
      </c>
      <c r="F32" s="39">
        <f t="shared" si="2"/>
        <v>363696</v>
      </c>
      <c r="G32" s="38">
        <v>2</v>
      </c>
      <c r="H32" s="38" t="s">
        <v>2916</v>
      </c>
      <c r="I32" s="38" t="s">
        <v>2917</v>
      </c>
      <c r="J32" s="38" t="s">
        <v>3438</v>
      </c>
      <c r="K32" s="38" t="s">
        <v>3017</v>
      </c>
      <c r="L32" s="38" t="s">
        <v>3018</v>
      </c>
      <c r="M32" s="38" t="s">
        <v>3019</v>
      </c>
      <c r="N32" s="40" t="s">
        <v>2921</v>
      </c>
      <c r="O32" s="41">
        <v>33805</v>
      </c>
      <c r="P32" s="38">
        <f t="shared" ca="1" si="1"/>
        <v>34</v>
      </c>
      <c r="Q32" s="42">
        <v>326765893</v>
      </c>
      <c r="R32" s="41">
        <v>42402</v>
      </c>
      <c r="S32" s="41">
        <v>44291</v>
      </c>
      <c r="T32" s="38" t="s">
        <v>2940</v>
      </c>
      <c r="U32" s="40" t="s">
        <v>2891</v>
      </c>
      <c r="V32" s="40" t="s">
        <v>2923</v>
      </c>
      <c r="W32" s="40" t="s">
        <v>2923</v>
      </c>
      <c r="X32" s="40" t="s">
        <v>2923</v>
      </c>
      <c r="Y32" s="82" t="s">
        <v>2923</v>
      </c>
      <c r="Z32" s="40" t="s">
        <v>2923</v>
      </c>
      <c r="AA32" s="40" t="s">
        <v>2923</v>
      </c>
      <c r="AB32" s="79">
        <v>2004872147</v>
      </c>
      <c r="AC32" s="38"/>
    </row>
    <row r="33" spans="1:29" ht="90" customHeight="1" x14ac:dyDescent="0.2">
      <c r="A33" s="36" t="s">
        <v>3415</v>
      </c>
      <c r="B33" s="42">
        <v>32</v>
      </c>
      <c r="C33" s="38" t="s">
        <v>2929</v>
      </c>
      <c r="D33" s="38">
        <v>4</v>
      </c>
      <c r="E33" s="39">
        <v>203496</v>
      </c>
      <c r="F33" s="39">
        <f t="shared" si="2"/>
        <v>203496</v>
      </c>
      <c r="G33" s="38">
        <v>2</v>
      </c>
      <c r="H33" s="38" t="s">
        <v>2916</v>
      </c>
      <c r="I33" s="38" t="s">
        <v>2917</v>
      </c>
      <c r="J33" s="38" t="s">
        <v>3438</v>
      </c>
      <c r="K33" s="38" t="s">
        <v>3020</v>
      </c>
      <c r="L33" s="38" t="s">
        <v>3021</v>
      </c>
      <c r="M33" s="38" t="s">
        <v>3022</v>
      </c>
      <c r="N33" s="40" t="s">
        <v>2921</v>
      </c>
      <c r="O33" s="41">
        <v>35402</v>
      </c>
      <c r="P33" s="38">
        <f t="shared" ca="1" si="1"/>
        <v>29</v>
      </c>
      <c r="Q33" s="42">
        <v>727963573</v>
      </c>
      <c r="R33" s="41">
        <v>44621</v>
      </c>
      <c r="S33" s="41">
        <v>44621</v>
      </c>
      <c r="T33" s="38" t="s">
        <v>2940</v>
      </c>
      <c r="U33" s="40" t="s">
        <v>2891</v>
      </c>
      <c r="V33" s="40" t="s">
        <v>2923</v>
      </c>
      <c r="W33" s="40" t="s">
        <v>2923</v>
      </c>
      <c r="X33" s="40" t="s">
        <v>2923</v>
      </c>
      <c r="Y33" s="82" t="s">
        <v>2923</v>
      </c>
      <c r="Z33" s="40" t="s">
        <v>2923</v>
      </c>
      <c r="AA33" s="40" t="s">
        <v>2923</v>
      </c>
      <c r="AB33" s="79">
        <v>2006035810</v>
      </c>
      <c r="AC33" s="38"/>
    </row>
    <row r="34" spans="1:29" ht="90" customHeight="1" x14ac:dyDescent="0.2">
      <c r="A34" s="36" t="s">
        <v>3415</v>
      </c>
      <c r="B34" s="42">
        <v>33</v>
      </c>
      <c r="C34" s="38" t="s">
        <v>2949</v>
      </c>
      <c r="D34" s="38">
        <v>3</v>
      </c>
      <c r="E34" s="39">
        <v>200316</v>
      </c>
      <c r="F34" s="39">
        <f t="shared" si="2"/>
        <v>200316</v>
      </c>
      <c r="G34" s="38">
        <v>8</v>
      </c>
      <c r="H34" s="38" t="s">
        <v>2916</v>
      </c>
      <c r="I34" s="38" t="s">
        <v>2917</v>
      </c>
      <c r="J34" s="38" t="s">
        <v>3438</v>
      </c>
      <c r="K34" s="38" t="s">
        <v>3023</v>
      </c>
      <c r="L34" s="38" t="s">
        <v>3024</v>
      </c>
      <c r="M34" s="38" t="s">
        <v>2984</v>
      </c>
      <c r="N34" s="40" t="s">
        <v>2921</v>
      </c>
      <c r="O34" s="41">
        <v>22387</v>
      </c>
      <c r="P34" s="38">
        <f t="shared" ca="1" si="1"/>
        <v>65</v>
      </c>
      <c r="Q34" s="42">
        <v>115071924</v>
      </c>
      <c r="R34" s="41">
        <v>30103</v>
      </c>
      <c r="S34" s="41">
        <v>41640</v>
      </c>
      <c r="T34" s="38" t="s">
        <v>2940</v>
      </c>
      <c r="U34" s="40"/>
      <c r="V34" s="40" t="s">
        <v>2923</v>
      </c>
      <c r="W34" s="40" t="s">
        <v>2923</v>
      </c>
      <c r="X34" s="40" t="s">
        <v>2923</v>
      </c>
      <c r="Y34" s="82" t="s">
        <v>2923</v>
      </c>
      <c r="Z34" s="40" t="s">
        <v>2923</v>
      </c>
      <c r="AA34" s="40" t="s">
        <v>2923</v>
      </c>
      <c r="AB34" s="79">
        <v>2002159530</v>
      </c>
      <c r="AC34" s="38"/>
    </row>
    <row r="35" spans="1:29" ht="90" customHeight="1" x14ac:dyDescent="0.2">
      <c r="A35" s="36" t="s">
        <v>3415</v>
      </c>
      <c r="B35" s="42">
        <v>34</v>
      </c>
      <c r="C35" s="38" t="s">
        <v>3025</v>
      </c>
      <c r="D35" s="38">
        <v>3</v>
      </c>
      <c r="E35" s="39">
        <v>190224</v>
      </c>
      <c r="F35" s="39">
        <f t="shared" si="2"/>
        <v>190224</v>
      </c>
      <c r="G35" s="38">
        <v>1</v>
      </c>
      <c r="H35" s="38" t="s">
        <v>2916</v>
      </c>
      <c r="I35" s="38" t="s">
        <v>2917</v>
      </c>
      <c r="J35" s="38" t="s">
        <v>3438</v>
      </c>
      <c r="K35" s="38" t="s">
        <v>3026</v>
      </c>
      <c r="L35" s="38" t="s">
        <v>3027</v>
      </c>
      <c r="M35" s="38" t="s">
        <v>3028</v>
      </c>
      <c r="N35" s="40" t="s">
        <v>2921</v>
      </c>
      <c r="O35" s="41">
        <v>35691</v>
      </c>
      <c r="P35" s="38">
        <f t="shared" ca="1" si="1"/>
        <v>28</v>
      </c>
      <c r="Q35" s="42">
        <v>605261205</v>
      </c>
      <c r="R35" s="41">
        <v>45173</v>
      </c>
      <c r="S35" s="41">
        <v>45173</v>
      </c>
      <c r="T35" s="38" t="s">
        <v>2940</v>
      </c>
      <c r="U35" s="40" t="s">
        <v>2855</v>
      </c>
      <c r="V35" s="40" t="s">
        <v>2923</v>
      </c>
      <c r="W35" s="40" t="s">
        <v>2923</v>
      </c>
      <c r="X35" s="40" t="s">
        <v>2923</v>
      </c>
      <c r="Y35" s="82" t="s">
        <v>2923</v>
      </c>
      <c r="Z35" s="40" t="s">
        <v>2923</v>
      </c>
      <c r="AA35" s="40" t="s">
        <v>2923</v>
      </c>
      <c r="AB35" s="79">
        <v>2006390258</v>
      </c>
      <c r="AC35" s="38"/>
    </row>
    <row r="36" spans="1:29" ht="90" customHeight="1" x14ac:dyDescent="0.2">
      <c r="A36" s="36" t="s">
        <v>3415</v>
      </c>
      <c r="B36" s="42">
        <v>35</v>
      </c>
      <c r="C36" s="38" t="s">
        <v>3025</v>
      </c>
      <c r="D36" s="38">
        <v>3</v>
      </c>
      <c r="E36" s="39">
        <v>190224</v>
      </c>
      <c r="F36" s="39">
        <f t="shared" si="2"/>
        <v>190224</v>
      </c>
      <c r="G36" s="38">
        <v>1</v>
      </c>
      <c r="H36" s="38" t="s">
        <v>2916</v>
      </c>
      <c r="I36" s="38" t="s">
        <v>2917</v>
      </c>
      <c r="J36" s="38" t="s">
        <v>3438</v>
      </c>
      <c r="K36" s="38" t="s">
        <v>3029</v>
      </c>
      <c r="L36" s="38" t="s">
        <v>3030</v>
      </c>
      <c r="M36" s="38" t="s">
        <v>2993</v>
      </c>
      <c r="N36" s="40" t="s">
        <v>2921</v>
      </c>
      <c r="O36" s="41">
        <v>32689</v>
      </c>
      <c r="P36" s="38">
        <f t="shared" ca="1" si="1"/>
        <v>37</v>
      </c>
      <c r="Q36" s="42">
        <v>425940420</v>
      </c>
      <c r="R36" s="41">
        <v>45482</v>
      </c>
      <c r="S36" s="41">
        <v>45482</v>
      </c>
      <c r="T36" s="38" t="s">
        <v>2940</v>
      </c>
      <c r="U36" s="40" t="s">
        <v>2855</v>
      </c>
      <c r="V36" s="40" t="s">
        <v>2923</v>
      </c>
      <c r="W36" s="40" t="s">
        <v>2923</v>
      </c>
      <c r="X36" s="40" t="s">
        <v>2923</v>
      </c>
      <c r="Y36" s="82" t="s">
        <v>3392</v>
      </c>
      <c r="Z36" s="40" t="s">
        <v>2923</v>
      </c>
      <c r="AA36" s="40" t="s">
        <v>2923</v>
      </c>
      <c r="AB36" s="79">
        <v>2006516734</v>
      </c>
      <c r="AC36" s="38"/>
    </row>
    <row r="37" spans="1:29" ht="90" customHeight="1" x14ac:dyDescent="0.2">
      <c r="A37" s="36" t="s">
        <v>3416</v>
      </c>
      <c r="B37" s="42">
        <v>36</v>
      </c>
      <c r="C37" s="38" t="s">
        <v>3031</v>
      </c>
      <c r="D37" s="38">
        <v>24</v>
      </c>
      <c r="E37" s="39">
        <v>1273476</v>
      </c>
      <c r="F37" s="39">
        <f t="shared" si="2"/>
        <v>1273476</v>
      </c>
      <c r="G37" s="38">
        <v>6</v>
      </c>
      <c r="H37" s="38" t="s">
        <v>2916</v>
      </c>
      <c r="I37" s="38" t="s">
        <v>2917</v>
      </c>
      <c r="J37" s="38" t="s">
        <v>3436</v>
      </c>
      <c r="K37" s="38" t="s">
        <v>3032</v>
      </c>
      <c r="L37" s="38" t="s">
        <v>3033</v>
      </c>
      <c r="M37" s="38" t="s">
        <v>3034</v>
      </c>
      <c r="N37" s="40" t="s">
        <v>2935</v>
      </c>
      <c r="O37" s="41">
        <v>25652</v>
      </c>
      <c r="P37" s="38">
        <f t="shared" ca="1" si="1"/>
        <v>56</v>
      </c>
      <c r="Q37" s="42">
        <v>152362114</v>
      </c>
      <c r="R37" s="41">
        <v>35156</v>
      </c>
      <c r="S37" s="41">
        <v>40228</v>
      </c>
      <c r="T37" s="38" t="s">
        <v>2940</v>
      </c>
      <c r="U37" s="40" t="s">
        <v>2891</v>
      </c>
      <c r="V37" s="40" t="s">
        <v>2923</v>
      </c>
      <c r="W37" s="40" t="s">
        <v>2923</v>
      </c>
      <c r="X37" s="40" t="s">
        <v>2923</v>
      </c>
      <c r="Y37" s="82" t="s">
        <v>2923</v>
      </c>
      <c r="Z37" s="40" t="s">
        <v>2923</v>
      </c>
      <c r="AA37" s="40" t="s">
        <v>2923</v>
      </c>
      <c r="AB37" s="79">
        <v>2002159391</v>
      </c>
      <c r="AC37" s="38"/>
    </row>
    <row r="38" spans="1:29" ht="90" customHeight="1" x14ac:dyDescent="0.2">
      <c r="A38" s="36" t="s">
        <v>3416</v>
      </c>
      <c r="B38" s="42">
        <v>37</v>
      </c>
      <c r="C38" s="38" t="s">
        <v>3035</v>
      </c>
      <c r="D38" s="38">
        <v>10</v>
      </c>
      <c r="E38" s="39">
        <v>311952</v>
      </c>
      <c r="F38" s="39">
        <f>E38</f>
        <v>311952</v>
      </c>
      <c r="G38" s="38">
        <v>3</v>
      </c>
      <c r="H38" s="38" t="s">
        <v>2916</v>
      </c>
      <c r="I38" s="38" t="s">
        <v>2917</v>
      </c>
      <c r="J38" s="38" t="s">
        <v>3438</v>
      </c>
      <c r="K38" s="38" t="s">
        <v>3036</v>
      </c>
      <c r="L38" s="38" t="s">
        <v>3037</v>
      </c>
      <c r="M38" s="38" t="s">
        <v>3038</v>
      </c>
      <c r="N38" s="40" t="s">
        <v>2935</v>
      </c>
      <c r="O38" s="41">
        <v>27381</v>
      </c>
      <c r="P38" s="38">
        <f t="shared" ca="1" si="1"/>
        <v>51</v>
      </c>
      <c r="Q38" s="42">
        <v>291847605</v>
      </c>
      <c r="R38" s="41">
        <v>40254</v>
      </c>
      <c r="S38" s="41">
        <v>43517</v>
      </c>
      <c r="T38" s="38" t="s">
        <v>2940</v>
      </c>
      <c r="U38" s="40" t="s">
        <v>2891</v>
      </c>
      <c r="V38" s="40" t="s">
        <v>2923</v>
      </c>
      <c r="W38" s="40" t="s">
        <v>2923</v>
      </c>
      <c r="X38" s="40" t="s">
        <v>2923</v>
      </c>
      <c r="Y38" s="82" t="s">
        <v>2923</v>
      </c>
      <c r="Z38" s="40" t="s">
        <v>2923</v>
      </c>
      <c r="AA38" s="40" t="s">
        <v>2923</v>
      </c>
      <c r="AB38" s="79">
        <v>2003975609</v>
      </c>
      <c r="AC38" s="38"/>
    </row>
    <row r="39" spans="1:29" ht="90" customHeight="1" x14ac:dyDescent="0.2">
      <c r="A39" s="36" t="s">
        <v>3416</v>
      </c>
      <c r="B39" s="42">
        <v>38</v>
      </c>
      <c r="C39" s="38" t="s">
        <v>3039</v>
      </c>
      <c r="D39" s="38">
        <v>10</v>
      </c>
      <c r="E39" s="39">
        <v>311952</v>
      </c>
      <c r="F39" s="39">
        <f>E39</f>
        <v>311952</v>
      </c>
      <c r="G39" s="38">
        <v>3</v>
      </c>
      <c r="H39" s="38" t="s">
        <v>2916</v>
      </c>
      <c r="I39" s="38" t="s">
        <v>2917</v>
      </c>
      <c r="J39" s="38" t="s">
        <v>3438</v>
      </c>
      <c r="K39" s="38" t="s">
        <v>3040</v>
      </c>
      <c r="L39" s="38" t="s">
        <v>3041</v>
      </c>
      <c r="M39" s="38" t="s">
        <v>3042</v>
      </c>
      <c r="N39" s="40" t="s">
        <v>2921</v>
      </c>
      <c r="O39" s="41">
        <v>33026</v>
      </c>
      <c r="P39" s="38">
        <f t="shared" ca="1" si="1"/>
        <v>36</v>
      </c>
      <c r="Q39" s="42">
        <v>413639018</v>
      </c>
      <c r="R39" s="41">
        <v>40802</v>
      </c>
      <c r="S39" s="41">
        <v>42857</v>
      </c>
      <c r="T39" s="38" t="s">
        <v>2940</v>
      </c>
      <c r="U39" s="40" t="s">
        <v>2891</v>
      </c>
      <c r="V39" s="40" t="s">
        <v>2923</v>
      </c>
      <c r="W39" s="40" t="s">
        <v>2923</v>
      </c>
      <c r="X39" s="40" t="s">
        <v>2923</v>
      </c>
      <c r="Y39" s="82" t="s">
        <v>2923</v>
      </c>
      <c r="Z39" s="40" t="s">
        <v>2923</v>
      </c>
      <c r="AA39" s="40" t="s">
        <v>2923</v>
      </c>
      <c r="AB39" s="79">
        <v>2004140577</v>
      </c>
      <c r="AC39" s="38"/>
    </row>
    <row r="40" spans="1:29" ht="90" customHeight="1" x14ac:dyDescent="0.2">
      <c r="A40" s="36" t="s">
        <v>3416</v>
      </c>
      <c r="B40" s="42">
        <v>39</v>
      </c>
      <c r="C40" s="38" t="s">
        <v>3035</v>
      </c>
      <c r="D40" s="38">
        <v>10</v>
      </c>
      <c r="E40" s="39">
        <v>316944</v>
      </c>
      <c r="F40" s="39">
        <f t="shared" si="2"/>
        <v>316944</v>
      </c>
      <c r="G40" s="38">
        <v>5</v>
      </c>
      <c r="H40" s="38" t="s">
        <v>2916</v>
      </c>
      <c r="I40" s="38" t="s">
        <v>2917</v>
      </c>
      <c r="J40" s="38" t="s">
        <v>3438</v>
      </c>
      <c r="K40" s="38" t="s">
        <v>3043</v>
      </c>
      <c r="L40" s="38" t="s">
        <v>3044</v>
      </c>
      <c r="M40" s="38" t="s">
        <v>3045</v>
      </c>
      <c r="N40" s="40" t="s">
        <v>2921</v>
      </c>
      <c r="O40" s="41">
        <v>31621</v>
      </c>
      <c r="P40" s="38">
        <f t="shared" ca="1" si="1"/>
        <v>40</v>
      </c>
      <c r="Q40" s="42">
        <v>268183555</v>
      </c>
      <c r="R40" s="41">
        <v>40777</v>
      </c>
      <c r="S40" s="41">
        <v>40777</v>
      </c>
      <c r="T40" s="38" t="s">
        <v>2940</v>
      </c>
      <c r="U40" s="40" t="s">
        <v>2891</v>
      </c>
      <c r="V40" s="40" t="s">
        <v>2923</v>
      </c>
      <c r="W40" s="40" t="s">
        <v>2923</v>
      </c>
      <c r="X40" s="40" t="s">
        <v>2923</v>
      </c>
      <c r="Y40" s="82" t="s">
        <v>2923</v>
      </c>
      <c r="Z40" s="40" t="s">
        <v>2923</v>
      </c>
      <c r="AA40" s="40" t="s">
        <v>2923</v>
      </c>
      <c r="AB40" s="79">
        <v>2004137883</v>
      </c>
      <c r="AC40" s="38"/>
    </row>
    <row r="41" spans="1:29" ht="90" customHeight="1" x14ac:dyDescent="0.2">
      <c r="A41" s="36" t="s">
        <v>3416</v>
      </c>
      <c r="B41" s="42">
        <v>40</v>
      </c>
      <c r="C41" s="38" t="s">
        <v>3046</v>
      </c>
      <c r="D41" s="38">
        <v>8</v>
      </c>
      <c r="E41" s="39">
        <v>262068</v>
      </c>
      <c r="F41" s="39">
        <f t="shared" si="2"/>
        <v>262068</v>
      </c>
      <c r="G41" s="38">
        <v>3</v>
      </c>
      <c r="H41" s="38" t="s">
        <v>2916</v>
      </c>
      <c r="I41" s="38" t="s">
        <v>2917</v>
      </c>
      <c r="J41" s="38" t="s">
        <v>3438</v>
      </c>
      <c r="K41" s="38" t="s">
        <v>3047</v>
      </c>
      <c r="L41" s="38" t="s">
        <v>3048</v>
      </c>
      <c r="M41" s="38" t="s">
        <v>3049</v>
      </c>
      <c r="N41" s="40" t="s">
        <v>2921</v>
      </c>
      <c r="O41" s="41">
        <v>33866</v>
      </c>
      <c r="P41" s="38">
        <f t="shared" ca="1" si="1"/>
        <v>33</v>
      </c>
      <c r="Q41" s="42">
        <v>457534179</v>
      </c>
      <c r="R41" s="41">
        <v>41867</v>
      </c>
      <c r="S41" s="41">
        <v>43544</v>
      </c>
      <c r="T41" s="38" t="s">
        <v>2940</v>
      </c>
      <c r="U41" s="40" t="s">
        <v>2891</v>
      </c>
      <c r="V41" s="40" t="s">
        <v>2923</v>
      </c>
      <c r="W41" s="40" t="s">
        <v>2923</v>
      </c>
      <c r="X41" s="40" t="s">
        <v>2923</v>
      </c>
      <c r="Y41" s="82" t="s">
        <v>2923</v>
      </c>
      <c r="Z41" s="40" t="s">
        <v>2923</v>
      </c>
      <c r="AA41" s="40" t="s">
        <v>2923</v>
      </c>
      <c r="AB41" s="79">
        <v>2004603017</v>
      </c>
      <c r="AC41" s="38"/>
    </row>
    <row r="42" spans="1:29" ht="90" customHeight="1" x14ac:dyDescent="0.2">
      <c r="A42" s="36" t="s">
        <v>3416</v>
      </c>
      <c r="B42" s="42">
        <v>41</v>
      </c>
      <c r="C42" s="38" t="s">
        <v>3050</v>
      </c>
      <c r="D42" s="38">
        <v>15</v>
      </c>
      <c r="E42" s="39">
        <v>501888</v>
      </c>
      <c r="F42" s="39">
        <f t="shared" si="2"/>
        <v>501888</v>
      </c>
      <c r="G42" s="38">
        <v>5</v>
      </c>
      <c r="H42" s="38" t="s">
        <v>2916</v>
      </c>
      <c r="I42" s="38" t="s">
        <v>2917</v>
      </c>
      <c r="J42" s="38" t="s">
        <v>3438</v>
      </c>
      <c r="K42" s="38" t="s">
        <v>3051</v>
      </c>
      <c r="L42" s="38" t="s">
        <v>3052</v>
      </c>
      <c r="M42" s="38" t="s">
        <v>3053</v>
      </c>
      <c r="N42" s="40" t="s">
        <v>2935</v>
      </c>
      <c r="O42" s="41">
        <v>23814</v>
      </c>
      <c r="P42" s="38">
        <f t="shared" ca="1" si="1"/>
        <v>61</v>
      </c>
      <c r="Q42" s="42">
        <v>122516600</v>
      </c>
      <c r="R42" s="41">
        <v>33435</v>
      </c>
      <c r="S42" s="41">
        <v>41319</v>
      </c>
      <c r="T42" s="38" t="s">
        <v>2940</v>
      </c>
      <c r="U42" s="40" t="s">
        <v>2891</v>
      </c>
      <c r="V42" s="40" t="s">
        <v>2923</v>
      </c>
      <c r="W42" s="40" t="s">
        <v>2923</v>
      </c>
      <c r="X42" s="40" t="s">
        <v>2923</v>
      </c>
      <c r="Y42" s="82" t="s">
        <v>2923</v>
      </c>
      <c r="Z42" s="40" t="s">
        <v>2923</v>
      </c>
      <c r="AA42" s="40" t="s">
        <v>2923</v>
      </c>
      <c r="AB42" s="79">
        <v>2002159341</v>
      </c>
      <c r="AC42" s="38"/>
    </row>
    <row r="43" spans="1:29" ht="90" customHeight="1" x14ac:dyDescent="0.2">
      <c r="A43" s="36" t="s">
        <v>3416</v>
      </c>
      <c r="B43" s="42">
        <v>42</v>
      </c>
      <c r="C43" s="38" t="s">
        <v>3054</v>
      </c>
      <c r="D43" s="38">
        <v>11</v>
      </c>
      <c r="E43" s="39">
        <v>381480</v>
      </c>
      <c r="F43" s="39">
        <f t="shared" si="2"/>
        <v>381480</v>
      </c>
      <c r="G43" s="38">
        <v>7</v>
      </c>
      <c r="H43" s="38" t="s">
        <v>2916</v>
      </c>
      <c r="I43" s="38" t="s">
        <v>2917</v>
      </c>
      <c r="J43" s="38" t="s">
        <v>3438</v>
      </c>
      <c r="K43" s="38" t="s">
        <v>3055</v>
      </c>
      <c r="L43" s="38" t="s">
        <v>3056</v>
      </c>
      <c r="M43" s="38" t="s">
        <v>3057</v>
      </c>
      <c r="N43" s="40" t="s">
        <v>2921</v>
      </c>
      <c r="O43" s="41">
        <v>22978</v>
      </c>
      <c r="P43" s="38">
        <f t="shared" ca="1" si="1"/>
        <v>63</v>
      </c>
      <c r="Q43" s="42">
        <v>122516458</v>
      </c>
      <c r="R43" s="41">
        <v>32066</v>
      </c>
      <c r="S43" s="41">
        <v>39142</v>
      </c>
      <c r="T43" s="38" t="s">
        <v>2940</v>
      </c>
      <c r="U43" s="40" t="s">
        <v>2891</v>
      </c>
      <c r="V43" s="40" t="s">
        <v>2923</v>
      </c>
      <c r="W43" s="40" t="s">
        <v>2923</v>
      </c>
      <c r="X43" s="40" t="s">
        <v>2923</v>
      </c>
      <c r="Y43" s="82" t="s">
        <v>2923</v>
      </c>
      <c r="Z43" s="40" t="s">
        <v>2923</v>
      </c>
      <c r="AA43" s="40" t="s">
        <v>2923</v>
      </c>
      <c r="AB43" s="79">
        <v>2002158913</v>
      </c>
      <c r="AC43" s="38"/>
    </row>
    <row r="44" spans="1:29" ht="90" customHeight="1" x14ac:dyDescent="0.2">
      <c r="A44" s="36" t="s">
        <v>3416</v>
      </c>
      <c r="B44" s="42">
        <v>43</v>
      </c>
      <c r="C44" s="38" t="s">
        <v>3054</v>
      </c>
      <c r="D44" s="38">
        <v>11</v>
      </c>
      <c r="E44" s="39">
        <v>363696</v>
      </c>
      <c r="F44" s="39">
        <f t="shared" si="2"/>
        <v>363696</v>
      </c>
      <c r="G44" s="38">
        <v>2</v>
      </c>
      <c r="H44" s="38" t="s">
        <v>2916</v>
      </c>
      <c r="I44" s="38" t="s">
        <v>2917</v>
      </c>
      <c r="J44" s="38" t="s">
        <v>3438</v>
      </c>
      <c r="K44" s="38" t="s">
        <v>3058</v>
      </c>
      <c r="L44" s="38" t="s">
        <v>3059</v>
      </c>
      <c r="M44" s="38" t="s">
        <v>3060</v>
      </c>
      <c r="N44" s="40" t="s">
        <v>2935</v>
      </c>
      <c r="O44" s="41">
        <v>30365</v>
      </c>
      <c r="P44" s="38">
        <f t="shared" ca="1" si="1"/>
        <v>43</v>
      </c>
      <c r="Q44" s="42">
        <v>228845024</v>
      </c>
      <c r="R44" s="41">
        <v>41928</v>
      </c>
      <c r="S44" s="41">
        <v>44424</v>
      </c>
      <c r="T44" s="38" t="s">
        <v>2940</v>
      </c>
      <c r="U44" s="40" t="s">
        <v>2891</v>
      </c>
      <c r="V44" s="40" t="s">
        <v>2923</v>
      </c>
      <c r="W44" s="40" t="s">
        <v>2923</v>
      </c>
      <c r="X44" s="40" t="s">
        <v>2923</v>
      </c>
      <c r="Y44" s="82" t="s">
        <v>2923</v>
      </c>
      <c r="Z44" s="40" t="s">
        <v>2923</v>
      </c>
      <c r="AA44" s="40" t="s">
        <v>2923</v>
      </c>
      <c r="AB44" s="79">
        <v>2004623503</v>
      </c>
      <c r="AC44" s="38"/>
    </row>
    <row r="45" spans="1:29" s="94" customFormat="1" ht="90" customHeight="1" x14ac:dyDescent="0.2">
      <c r="A45" s="36" t="s">
        <v>3416</v>
      </c>
      <c r="B45" s="87">
        <v>44</v>
      </c>
      <c r="C45" s="43" t="s">
        <v>3061</v>
      </c>
      <c r="D45" s="43">
        <v>9</v>
      </c>
      <c r="E45" s="85">
        <v>278712</v>
      </c>
      <c r="F45" s="85">
        <v>278712</v>
      </c>
      <c r="G45" s="43">
        <v>1</v>
      </c>
      <c r="H45" s="43" t="s">
        <v>2916</v>
      </c>
      <c r="I45" s="43" t="s">
        <v>2917</v>
      </c>
      <c r="J45" s="43" t="s">
        <v>3438</v>
      </c>
      <c r="K45" s="43"/>
      <c r="L45" s="43"/>
      <c r="M45" s="43"/>
      <c r="N45" s="86"/>
      <c r="O45" s="44"/>
      <c r="P45" s="43"/>
      <c r="Q45" s="87"/>
      <c r="R45" s="44"/>
      <c r="S45" s="44"/>
      <c r="T45" s="43" t="s">
        <v>2940</v>
      </c>
      <c r="U45" s="86" t="s">
        <v>2891</v>
      </c>
      <c r="V45" s="86" t="s">
        <v>2923</v>
      </c>
      <c r="W45" s="86" t="s">
        <v>2923</v>
      </c>
      <c r="X45" s="86" t="s">
        <v>2923</v>
      </c>
      <c r="Y45" s="88" t="s">
        <v>2923</v>
      </c>
      <c r="Z45" s="86" t="s">
        <v>2923</v>
      </c>
      <c r="AA45" s="86" t="s">
        <v>2923</v>
      </c>
      <c r="AB45" s="91"/>
      <c r="AC45" s="38"/>
    </row>
    <row r="46" spans="1:29" ht="90" customHeight="1" x14ac:dyDescent="0.2">
      <c r="A46" s="36" t="s">
        <v>3416</v>
      </c>
      <c r="B46" s="42">
        <v>45</v>
      </c>
      <c r="C46" s="38" t="s">
        <v>3061</v>
      </c>
      <c r="D46" s="38">
        <v>9</v>
      </c>
      <c r="E46" s="39">
        <v>283188</v>
      </c>
      <c r="F46" s="39">
        <f t="shared" si="2"/>
        <v>283188</v>
      </c>
      <c r="G46" s="38">
        <v>3</v>
      </c>
      <c r="H46" s="38" t="s">
        <v>2916</v>
      </c>
      <c r="I46" s="38" t="s">
        <v>2917</v>
      </c>
      <c r="J46" s="38" t="s">
        <v>3438</v>
      </c>
      <c r="K46" s="38" t="s">
        <v>2957</v>
      </c>
      <c r="L46" s="38" t="s">
        <v>3062</v>
      </c>
      <c r="M46" s="38" t="s">
        <v>3019</v>
      </c>
      <c r="N46" s="40" t="s">
        <v>2935</v>
      </c>
      <c r="O46" s="41">
        <v>26904</v>
      </c>
      <c r="P46" s="38">
        <f t="shared" ca="1" si="1"/>
        <v>52</v>
      </c>
      <c r="Q46" s="42">
        <v>115490811</v>
      </c>
      <c r="R46" s="41">
        <v>40568</v>
      </c>
      <c r="S46" s="41">
        <v>42870</v>
      </c>
      <c r="T46" s="38" t="s">
        <v>2940</v>
      </c>
      <c r="U46" s="40" t="s">
        <v>2855</v>
      </c>
      <c r="V46" s="40" t="s">
        <v>2923</v>
      </c>
      <c r="W46" s="40" t="s">
        <v>2923</v>
      </c>
      <c r="X46" s="40" t="s">
        <v>2923</v>
      </c>
      <c r="Y46" s="82" t="s">
        <v>2923</v>
      </c>
      <c r="Z46" s="40" t="s">
        <v>2923</v>
      </c>
      <c r="AA46" s="40" t="s">
        <v>2923</v>
      </c>
      <c r="AB46" s="79">
        <v>2004070186</v>
      </c>
      <c r="AC46" s="38"/>
    </row>
    <row r="47" spans="1:29" ht="90" customHeight="1" x14ac:dyDescent="0.2">
      <c r="A47" s="36" t="s">
        <v>3416</v>
      </c>
      <c r="B47" s="36">
        <v>46</v>
      </c>
      <c r="C47" s="38" t="s">
        <v>3061</v>
      </c>
      <c r="D47" s="38">
        <v>9</v>
      </c>
      <c r="E47" s="39">
        <v>278712</v>
      </c>
      <c r="F47" s="39">
        <v>278712</v>
      </c>
      <c r="G47" s="38">
        <v>1</v>
      </c>
      <c r="H47" s="38" t="s">
        <v>2916</v>
      </c>
      <c r="I47" s="38" t="s">
        <v>2917</v>
      </c>
      <c r="J47" s="38" t="s">
        <v>3438</v>
      </c>
      <c r="K47" s="38" t="s">
        <v>3063</v>
      </c>
      <c r="L47" s="38" t="s">
        <v>3064</v>
      </c>
      <c r="M47" s="38" t="s">
        <v>2939</v>
      </c>
      <c r="N47" s="40" t="s">
        <v>2921</v>
      </c>
      <c r="O47" s="41">
        <v>31005</v>
      </c>
      <c r="P47" s="38">
        <f t="shared" ca="1" si="1"/>
        <v>41</v>
      </c>
      <c r="Q47" s="42">
        <v>118151614</v>
      </c>
      <c r="R47" s="41">
        <v>46008</v>
      </c>
      <c r="S47" s="41">
        <v>46008</v>
      </c>
      <c r="T47" s="38" t="s">
        <v>2940</v>
      </c>
      <c r="U47" s="40" t="s">
        <v>2842</v>
      </c>
      <c r="V47" s="40" t="s">
        <v>2923</v>
      </c>
      <c r="W47" s="40" t="s">
        <v>2923</v>
      </c>
      <c r="X47" s="40" t="s">
        <v>2923</v>
      </c>
      <c r="Y47" s="82" t="s">
        <v>2923</v>
      </c>
      <c r="Z47" s="40" t="s">
        <v>2923</v>
      </c>
      <c r="AA47" s="40" t="s">
        <v>2923</v>
      </c>
      <c r="AB47" s="79">
        <v>2006790874</v>
      </c>
      <c r="AC47" s="38"/>
    </row>
    <row r="48" spans="1:29" ht="90" customHeight="1" x14ac:dyDescent="0.2">
      <c r="A48" s="36" t="s">
        <v>3416</v>
      </c>
      <c r="B48" s="36">
        <v>47</v>
      </c>
      <c r="C48" s="38" t="s">
        <v>3061</v>
      </c>
      <c r="D48" s="38">
        <v>9</v>
      </c>
      <c r="E48" s="39">
        <v>290040</v>
      </c>
      <c r="F48" s="39">
        <f t="shared" ref="F48:F56" si="3">E48</f>
        <v>290040</v>
      </c>
      <c r="G48" s="38">
        <v>6</v>
      </c>
      <c r="H48" s="38" t="s">
        <v>2916</v>
      </c>
      <c r="I48" s="38" t="s">
        <v>2917</v>
      </c>
      <c r="J48" s="38" t="s">
        <v>3438</v>
      </c>
      <c r="K48" s="38" t="s">
        <v>3065</v>
      </c>
      <c r="L48" s="38" t="s">
        <v>3066</v>
      </c>
      <c r="M48" s="38" t="s">
        <v>3067</v>
      </c>
      <c r="N48" s="40" t="s">
        <v>2935</v>
      </c>
      <c r="O48" s="41">
        <v>25206</v>
      </c>
      <c r="P48" s="38">
        <f t="shared" ca="1" si="1"/>
        <v>57</v>
      </c>
      <c r="Q48" s="42">
        <v>166416224</v>
      </c>
      <c r="R48" s="41">
        <v>34394</v>
      </c>
      <c r="S48" s="48">
        <v>40259</v>
      </c>
      <c r="T48" s="38" t="s">
        <v>2940</v>
      </c>
      <c r="U48" s="40" t="s">
        <v>2855</v>
      </c>
      <c r="V48" s="40" t="s">
        <v>2923</v>
      </c>
      <c r="W48" s="40" t="s">
        <v>2923</v>
      </c>
      <c r="X48" s="40" t="s">
        <v>2923</v>
      </c>
      <c r="Y48" s="82" t="s">
        <v>2923</v>
      </c>
      <c r="Z48" s="40" t="s">
        <v>2923</v>
      </c>
      <c r="AA48" s="40" t="s">
        <v>2923</v>
      </c>
      <c r="AB48" s="79">
        <v>2002159051</v>
      </c>
      <c r="AC48" s="38"/>
    </row>
    <row r="49" spans="1:29" ht="90" customHeight="1" x14ac:dyDescent="0.2">
      <c r="A49" s="36" t="s">
        <v>3416</v>
      </c>
      <c r="B49" s="36">
        <v>48</v>
      </c>
      <c r="C49" s="38" t="s">
        <v>3061</v>
      </c>
      <c r="D49" s="38">
        <v>9</v>
      </c>
      <c r="E49" s="47">
        <f>23411*12</f>
        <v>280932</v>
      </c>
      <c r="F49" s="47">
        <f t="shared" si="3"/>
        <v>280932</v>
      </c>
      <c r="G49" s="38">
        <v>2</v>
      </c>
      <c r="H49" s="38" t="s">
        <v>2916</v>
      </c>
      <c r="I49" s="38" t="s">
        <v>2917</v>
      </c>
      <c r="J49" s="38" t="s">
        <v>3438</v>
      </c>
      <c r="K49" s="38" t="s">
        <v>2942</v>
      </c>
      <c r="L49" s="38" t="s">
        <v>3068</v>
      </c>
      <c r="M49" s="38"/>
      <c r="N49" s="40" t="s">
        <v>2935</v>
      </c>
      <c r="O49" s="41">
        <v>35213</v>
      </c>
      <c r="P49" s="38">
        <f t="shared" ca="1" si="1"/>
        <v>30</v>
      </c>
      <c r="Q49" s="42">
        <v>704886956</v>
      </c>
      <c r="R49" s="41">
        <v>43517</v>
      </c>
      <c r="S49" s="41">
        <v>44959</v>
      </c>
      <c r="T49" s="38" t="s">
        <v>2940</v>
      </c>
      <c r="U49" s="40" t="s">
        <v>2891</v>
      </c>
      <c r="V49" s="40" t="s">
        <v>2923</v>
      </c>
      <c r="W49" s="40" t="s">
        <v>2923</v>
      </c>
      <c r="X49" s="40" t="s">
        <v>2923</v>
      </c>
      <c r="Y49" s="82" t="s">
        <v>2923</v>
      </c>
      <c r="Z49" s="40" t="s">
        <v>2923</v>
      </c>
      <c r="AA49" s="40" t="s">
        <v>2923</v>
      </c>
      <c r="AB49" s="79">
        <v>2005566909</v>
      </c>
      <c r="AC49" s="38"/>
    </row>
    <row r="50" spans="1:29" ht="90" customHeight="1" x14ac:dyDescent="0.4">
      <c r="A50" s="36" t="s">
        <v>3416</v>
      </c>
      <c r="B50" s="36">
        <v>49</v>
      </c>
      <c r="C50" s="38" t="s">
        <v>3069</v>
      </c>
      <c r="D50" s="38">
        <v>7</v>
      </c>
      <c r="E50" s="39">
        <v>241320</v>
      </c>
      <c r="F50" s="39">
        <f t="shared" si="3"/>
        <v>241320</v>
      </c>
      <c r="G50" s="38">
        <v>1</v>
      </c>
      <c r="H50" s="38" t="s">
        <v>2916</v>
      </c>
      <c r="I50" s="38" t="s">
        <v>2917</v>
      </c>
      <c r="J50" s="38" t="s">
        <v>3438</v>
      </c>
      <c r="K50" s="38" t="s">
        <v>2937</v>
      </c>
      <c r="L50" s="38" t="s">
        <v>3403</v>
      </c>
      <c r="M50" s="38" t="s">
        <v>2968</v>
      </c>
      <c r="N50" s="95" t="s">
        <v>2935</v>
      </c>
      <c r="O50" s="41">
        <v>33752</v>
      </c>
      <c r="P50" s="38">
        <f t="shared" ca="1" si="1"/>
        <v>34</v>
      </c>
      <c r="Q50" s="46">
        <v>311019821</v>
      </c>
      <c r="R50" s="41">
        <v>45062</v>
      </c>
      <c r="S50" s="41">
        <v>45062</v>
      </c>
      <c r="T50" s="38" t="s">
        <v>2940</v>
      </c>
      <c r="U50" s="40" t="s">
        <v>2891</v>
      </c>
      <c r="V50" s="40" t="s">
        <v>2923</v>
      </c>
      <c r="W50" s="40" t="s">
        <v>2923</v>
      </c>
      <c r="X50" s="40" t="s">
        <v>2923</v>
      </c>
      <c r="Y50" s="82" t="s">
        <v>2923</v>
      </c>
      <c r="Z50" s="40" t="s">
        <v>2923</v>
      </c>
      <c r="AA50" s="40" t="s">
        <v>2923</v>
      </c>
      <c r="AB50" s="79">
        <v>2006336517</v>
      </c>
      <c r="AC50" s="38"/>
    </row>
    <row r="51" spans="1:29" ht="90" customHeight="1" x14ac:dyDescent="0.2">
      <c r="A51" s="36" t="s">
        <v>3416</v>
      </c>
      <c r="B51" s="42">
        <v>50</v>
      </c>
      <c r="C51" s="38" t="s">
        <v>3070</v>
      </c>
      <c r="D51" s="38">
        <v>14</v>
      </c>
      <c r="E51" s="39">
        <v>466428</v>
      </c>
      <c r="F51" s="39">
        <f t="shared" si="3"/>
        <v>466428</v>
      </c>
      <c r="G51" s="38">
        <v>6</v>
      </c>
      <c r="H51" s="38" t="s">
        <v>2916</v>
      </c>
      <c r="I51" s="38" t="s">
        <v>2917</v>
      </c>
      <c r="J51" s="38" t="s">
        <v>3436</v>
      </c>
      <c r="K51" s="38" t="s">
        <v>3071</v>
      </c>
      <c r="L51" s="38" t="s">
        <v>3072</v>
      </c>
      <c r="M51" s="38" t="s">
        <v>3073</v>
      </c>
      <c r="N51" s="40" t="s">
        <v>2935</v>
      </c>
      <c r="O51" s="41">
        <v>24357</v>
      </c>
      <c r="P51" s="38">
        <f t="shared" ca="1" si="1"/>
        <v>59</v>
      </c>
      <c r="Q51" s="42">
        <v>174093477</v>
      </c>
      <c r="R51" s="41">
        <v>35156</v>
      </c>
      <c r="S51" s="41">
        <v>40544</v>
      </c>
      <c r="T51" s="38" t="s">
        <v>2940</v>
      </c>
      <c r="U51" s="40" t="s">
        <v>2891</v>
      </c>
      <c r="V51" s="40" t="s">
        <v>2923</v>
      </c>
      <c r="W51" s="40" t="s">
        <v>2923</v>
      </c>
      <c r="X51" s="40" t="s">
        <v>2923</v>
      </c>
      <c r="Y51" s="82" t="s">
        <v>2923</v>
      </c>
      <c r="Z51" s="40" t="s">
        <v>2923</v>
      </c>
      <c r="AA51" s="40" t="s">
        <v>2923</v>
      </c>
      <c r="AB51" s="79">
        <v>2002159083</v>
      </c>
      <c r="AC51" s="38"/>
    </row>
    <row r="52" spans="1:29" ht="90" customHeight="1" x14ac:dyDescent="0.2">
      <c r="A52" s="36" t="s">
        <v>3416</v>
      </c>
      <c r="B52" s="42">
        <v>51</v>
      </c>
      <c r="C52" s="38" t="s">
        <v>3074</v>
      </c>
      <c r="D52" s="38">
        <v>9</v>
      </c>
      <c r="E52" s="39">
        <v>294696</v>
      </c>
      <c r="F52" s="39">
        <f t="shared" si="3"/>
        <v>294696</v>
      </c>
      <c r="G52" s="38">
        <v>8</v>
      </c>
      <c r="H52" s="38" t="s">
        <v>2916</v>
      </c>
      <c r="I52" s="38" t="s">
        <v>2917</v>
      </c>
      <c r="J52" s="38" t="s">
        <v>3438</v>
      </c>
      <c r="K52" s="38" t="s">
        <v>3073</v>
      </c>
      <c r="L52" s="38" t="s">
        <v>3075</v>
      </c>
      <c r="M52" s="38" t="s">
        <v>3076</v>
      </c>
      <c r="N52" s="40" t="s">
        <v>2921</v>
      </c>
      <c r="O52" s="41">
        <v>23998</v>
      </c>
      <c r="P52" s="38">
        <f t="shared" ca="1" si="1"/>
        <v>60</v>
      </c>
      <c r="Q52" s="42">
        <v>122516224</v>
      </c>
      <c r="R52" s="41">
        <v>32692</v>
      </c>
      <c r="S52" s="41">
        <v>39083</v>
      </c>
      <c r="T52" s="38" t="s">
        <v>2940</v>
      </c>
      <c r="U52" s="40" t="s">
        <v>2855</v>
      </c>
      <c r="V52" s="40" t="s">
        <v>2923</v>
      </c>
      <c r="W52" s="40" t="s">
        <v>2923</v>
      </c>
      <c r="X52" s="40" t="s">
        <v>2923</v>
      </c>
      <c r="Y52" s="82" t="s">
        <v>2923</v>
      </c>
      <c r="Z52" s="40" t="s">
        <v>2923</v>
      </c>
      <c r="AA52" s="40" t="s">
        <v>2923</v>
      </c>
      <c r="AB52" s="79">
        <v>2002159607</v>
      </c>
      <c r="AC52" s="38"/>
    </row>
    <row r="53" spans="1:29" ht="90" customHeight="1" x14ac:dyDescent="0.2">
      <c r="A53" s="36" t="s">
        <v>3416</v>
      </c>
      <c r="B53" s="42">
        <v>52</v>
      </c>
      <c r="C53" s="38" t="s">
        <v>2949</v>
      </c>
      <c r="D53" s="38">
        <v>3</v>
      </c>
      <c r="E53" s="39">
        <f>15971*12</f>
        <v>191652</v>
      </c>
      <c r="F53" s="39">
        <f t="shared" si="3"/>
        <v>191652</v>
      </c>
      <c r="G53" s="38">
        <v>2</v>
      </c>
      <c r="H53" s="38" t="s">
        <v>2916</v>
      </c>
      <c r="I53" s="38" t="s">
        <v>2917</v>
      </c>
      <c r="J53" s="38" t="s">
        <v>3438</v>
      </c>
      <c r="K53" s="38" t="s">
        <v>3077</v>
      </c>
      <c r="L53" s="38" t="s">
        <v>3078</v>
      </c>
      <c r="M53" s="38" t="s">
        <v>3032</v>
      </c>
      <c r="N53" s="40" t="s">
        <v>2935</v>
      </c>
      <c r="O53" s="41">
        <v>34573</v>
      </c>
      <c r="P53" s="38">
        <f t="shared" ca="1" si="1"/>
        <v>31</v>
      </c>
      <c r="Q53" s="42">
        <v>437976946</v>
      </c>
      <c r="R53" s="41">
        <v>44959</v>
      </c>
      <c r="S53" s="48">
        <v>44959</v>
      </c>
      <c r="T53" s="38" t="s">
        <v>2940</v>
      </c>
      <c r="U53" s="40"/>
      <c r="V53" s="40" t="s">
        <v>2923</v>
      </c>
      <c r="W53" s="40" t="s">
        <v>2923</v>
      </c>
      <c r="X53" s="40" t="s">
        <v>2923</v>
      </c>
      <c r="Y53" s="82" t="s">
        <v>2923</v>
      </c>
      <c r="Z53" s="40" t="s">
        <v>2923</v>
      </c>
      <c r="AA53" s="40" t="s">
        <v>2923</v>
      </c>
      <c r="AB53" s="79">
        <v>2006284622</v>
      </c>
      <c r="AC53" s="38"/>
    </row>
    <row r="54" spans="1:29" ht="90" customHeight="1" x14ac:dyDescent="0.2">
      <c r="A54" s="36" t="s">
        <v>3417</v>
      </c>
      <c r="B54" s="42">
        <v>53</v>
      </c>
      <c r="C54" s="38" t="s">
        <v>3079</v>
      </c>
      <c r="D54" s="38">
        <v>24</v>
      </c>
      <c r="E54" s="39">
        <v>1313172</v>
      </c>
      <c r="F54" s="39">
        <f t="shared" si="3"/>
        <v>1313172</v>
      </c>
      <c r="G54" s="38">
        <v>8</v>
      </c>
      <c r="H54" s="38" t="s">
        <v>2916</v>
      </c>
      <c r="I54" s="38" t="s">
        <v>2917</v>
      </c>
      <c r="J54" s="38" t="s">
        <v>3436</v>
      </c>
      <c r="K54" s="38" t="s">
        <v>3080</v>
      </c>
      <c r="L54" s="38" t="s">
        <v>3081</v>
      </c>
      <c r="M54" s="38" t="s">
        <v>3082</v>
      </c>
      <c r="N54" s="40" t="s">
        <v>2935</v>
      </c>
      <c r="O54" s="41">
        <v>24313</v>
      </c>
      <c r="P54" s="38">
        <f t="shared" ca="1" si="1"/>
        <v>60</v>
      </c>
      <c r="Q54" s="42">
        <v>166416143</v>
      </c>
      <c r="R54" s="41">
        <v>34381</v>
      </c>
      <c r="S54" s="41">
        <v>37326</v>
      </c>
      <c r="T54" s="38" t="s">
        <v>2940</v>
      </c>
      <c r="U54" s="40" t="s">
        <v>2891</v>
      </c>
      <c r="V54" s="40" t="s">
        <v>2923</v>
      </c>
      <c r="W54" s="40" t="s">
        <v>2923</v>
      </c>
      <c r="X54" s="40" t="s">
        <v>2923</v>
      </c>
      <c r="Y54" s="82" t="s">
        <v>2923</v>
      </c>
      <c r="Z54" s="40" t="s">
        <v>2923</v>
      </c>
      <c r="AA54" s="40" t="s">
        <v>2923</v>
      </c>
      <c r="AB54" s="79">
        <v>2002159375</v>
      </c>
      <c r="AC54" s="38"/>
    </row>
    <row r="55" spans="1:29" ht="90" customHeight="1" x14ac:dyDescent="0.2">
      <c r="A55" s="36" t="s">
        <v>3417</v>
      </c>
      <c r="B55" s="42">
        <v>54</v>
      </c>
      <c r="C55" s="38" t="s">
        <v>3083</v>
      </c>
      <c r="D55" s="38">
        <v>15</v>
      </c>
      <c r="E55" s="39">
        <v>487248</v>
      </c>
      <c r="F55" s="39">
        <f t="shared" si="3"/>
        <v>487248</v>
      </c>
      <c r="G55" s="38">
        <v>2</v>
      </c>
      <c r="H55" s="38" t="s">
        <v>2916</v>
      </c>
      <c r="I55" s="38" t="s">
        <v>2917</v>
      </c>
      <c r="J55" s="38" t="s">
        <v>3438</v>
      </c>
      <c r="K55" s="38" t="s">
        <v>3084</v>
      </c>
      <c r="L55" s="38" t="s">
        <v>3085</v>
      </c>
      <c r="M55" s="38" t="s">
        <v>3086</v>
      </c>
      <c r="N55" s="40" t="s">
        <v>2921</v>
      </c>
      <c r="O55" s="41">
        <v>24847</v>
      </c>
      <c r="P55" s="38">
        <f t="shared" ca="1" si="1"/>
        <v>58</v>
      </c>
      <c r="Q55" s="42">
        <v>120689476</v>
      </c>
      <c r="R55" s="41">
        <v>35339</v>
      </c>
      <c r="S55" s="41">
        <v>44105</v>
      </c>
      <c r="T55" s="38" t="s">
        <v>2940</v>
      </c>
      <c r="U55" s="40" t="s">
        <v>2891</v>
      </c>
      <c r="V55" s="40" t="s">
        <v>2923</v>
      </c>
      <c r="W55" s="40" t="s">
        <v>3391</v>
      </c>
      <c r="X55" s="40" t="s">
        <v>2923</v>
      </c>
      <c r="Y55" s="82" t="s">
        <v>2923</v>
      </c>
      <c r="Z55" s="40" t="s">
        <v>2923</v>
      </c>
      <c r="AA55" s="40" t="s">
        <v>2923</v>
      </c>
      <c r="AB55" s="79">
        <v>2002159506</v>
      </c>
      <c r="AC55" s="38"/>
    </row>
    <row r="56" spans="1:29" ht="90" customHeight="1" x14ac:dyDescent="0.2">
      <c r="A56" s="36" t="s">
        <v>3417</v>
      </c>
      <c r="B56" s="42">
        <v>55</v>
      </c>
      <c r="C56" s="38" t="s">
        <v>3087</v>
      </c>
      <c r="D56" s="38">
        <v>11</v>
      </c>
      <c r="E56" s="39">
        <v>370668</v>
      </c>
      <c r="F56" s="39">
        <f t="shared" si="3"/>
        <v>370668</v>
      </c>
      <c r="G56" s="38">
        <v>4</v>
      </c>
      <c r="H56" s="38" t="s">
        <v>2916</v>
      </c>
      <c r="I56" s="38" t="s">
        <v>2917</v>
      </c>
      <c r="J56" s="38" t="s">
        <v>3438</v>
      </c>
      <c r="K56" s="38" t="s">
        <v>3088</v>
      </c>
      <c r="L56" s="38" t="s">
        <v>3089</v>
      </c>
      <c r="M56" s="38" t="s">
        <v>3090</v>
      </c>
      <c r="N56" s="40" t="s">
        <v>2935</v>
      </c>
      <c r="O56" s="41">
        <v>27408</v>
      </c>
      <c r="P56" s="38">
        <f t="shared" ca="1" si="1"/>
        <v>51</v>
      </c>
      <c r="Q56" s="42">
        <v>905700298</v>
      </c>
      <c r="R56" s="41">
        <v>42079</v>
      </c>
      <c r="S56" s="41">
        <v>44424</v>
      </c>
      <c r="T56" s="38" t="s">
        <v>2940</v>
      </c>
      <c r="U56" s="40" t="s">
        <v>2839</v>
      </c>
      <c r="V56" s="40" t="s">
        <v>2923</v>
      </c>
      <c r="W56" s="40" t="s">
        <v>2923</v>
      </c>
      <c r="X56" s="40" t="s">
        <v>2923</v>
      </c>
      <c r="Y56" s="82" t="s">
        <v>2923</v>
      </c>
      <c r="Z56" s="40" t="s">
        <v>2923</v>
      </c>
      <c r="AA56" s="40" t="s">
        <v>2923</v>
      </c>
      <c r="AB56" s="79">
        <v>2004706843</v>
      </c>
      <c r="AC56" s="38"/>
    </row>
    <row r="57" spans="1:29" ht="90" customHeight="1" x14ac:dyDescent="0.2">
      <c r="A57" s="36" t="s">
        <v>3417</v>
      </c>
      <c r="B57" s="42">
        <v>56</v>
      </c>
      <c r="C57" s="38" t="s">
        <v>3091</v>
      </c>
      <c r="D57" s="38">
        <v>9</v>
      </c>
      <c r="E57" s="39">
        <v>280932</v>
      </c>
      <c r="F57" s="39">
        <f>E57</f>
        <v>280932</v>
      </c>
      <c r="G57" s="38">
        <v>2</v>
      </c>
      <c r="H57" s="38" t="s">
        <v>2916</v>
      </c>
      <c r="I57" s="38" t="s">
        <v>2917</v>
      </c>
      <c r="J57" s="38" t="s">
        <v>3438</v>
      </c>
      <c r="K57" s="38" t="s">
        <v>3092</v>
      </c>
      <c r="L57" s="38" t="s">
        <v>3093</v>
      </c>
      <c r="M57" s="38" t="s">
        <v>3094</v>
      </c>
      <c r="N57" s="40" t="s">
        <v>2935</v>
      </c>
      <c r="O57" s="41">
        <v>31956</v>
      </c>
      <c r="P57" s="38">
        <f t="shared" ca="1" si="1"/>
        <v>39</v>
      </c>
      <c r="Q57" s="42">
        <v>266850315</v>
      </c>
      <c r="R57" s="41">
        <v>43252</v>
      </c>
      <c r="S57" s="41">
        <v>44105</v>
      </c>
      <c r="T57" s="38" t="s">
        <v>2940</v>
      </c>
      <c r="U57" s="40" t="s">
        <v>2891</v>
      </c>
      <c r="V57" s="40" t="s">
        <v>2923</v>
      </c>
      <c r="W57" s="40" t="s">
        <v>2923</v>
      </c>
      <c r="X57" s="40" t="s">
        <v>2923</v>
      </c>
      <c r="Y57" s="82" t="s">
        <v>2923</v>
      </c>
      <c r="Z57" s="40" t="s">
        <v>2923</v>
      </c>
      <c r="AA57" s="40" t="s">
        <v>2923</v>
      </c>
      <c r="AB57" s="79">
        <v>2004105739</v>
      </c>
      <c r="AC57" s="38"/>
    </row>
    <row r="58" spans="1:29" ht="90" customHeight="1" x14ac:dyDescent="0.2">
      <c r="A58" s="36" t="s">
        <v>3417</v>
      </c>
      <c r="B58" s="42">
        <v>57</v>
      </c>
      <c r="C58" s="38" t="s">
        <v>3095</v>
      </c>
      <c r="D58" s="38">
        <v>6</v>
      </c>
      <c r="E58" s="39">
        <v>229176</v>
      </c>
      <c r="F58" s="39">
        <f t="shared" ref="F58:F76" si="4">E58</f>
        <v>229176</v>
      </c>
      <c r="G58" s="38">
        <v>2</v>
      </c>
      <c r="H58" s="38" t="s">
        <v>2916</v>
      </c>
      <c r="I58" s="38" t="s">
        <v>2917</v>
      </c>
      <c r="J58" s="38" t="s">
        <v>3438</v>
      </c>
      <c r="K58" s="38" t="s">
        <v>3096</v>
      </c>
      <c r="L58" s="38" t="s">
        <v>3097</v>
      </c>
      <c r="M58" s="38" t="s">
        <v>3057</v>
      </c>
      <c r="N58" s="40" t="s">
        <v>2921</v>
      </c>
      <c r="O58" s="41">
        <v>24759</v>
      </c>
      <c r="P58" s="38">
        <f t="shared" ca="1" si="1"/>
        <v>58</v>
      </c>
      <c r="Q58" s="42">
        <v>186611945</v>
      </c>
      <c r="R58" s="41">
        <v>44510</v>
      </c>
      <c r="S58" s="41">
        <v>44510</v>
      </c>
      <c r="T58" s="38" t="s">
        <v>2940</v>
      </c>
      <c r="U58" s="40" t="s">
        <v>2855</v>
      </c>
      <c r="V58" s="40" t="s">
        <v>2923</v>
      </c>
      <c r="W58" s="40" t="s">
        <v>2923</v>
      </c>
      <c r="X58" s="40" t="s">
        <v>2923</v>
      </c>
      <c r="Y58" s="82" t="s">
        <v>2923</v>
      </c>
      <c r="Z58" s="40" t="s">
        <v>2923</v>
      </c>
      <c r="AA58" s="40" t="s">
        <v>2923</v>
      </c>
      <c r="AB58" s="79">
        <v>2005981368</v>
      </c>
      <c r="AC58" s="38"/>
    </row>
    <row r="59" spans="1:29" ht="90" customHeight="1" x14ac:dyDescent="0.2">
      <c r="A59" s="36" t="s">
        <v>3417</v>
      </c>
      <c r="B59" s="42">
        <v>58</v>
      </c>
      <c r="C59" s="38" t="s">
        <v>3098</v>
      </c>
      <c r="D59" s="38">
        <v>11</v>
      </c>
      <c r="E59" s="39">
        <v>360288</v>
      </c>
      <c r="F59" s="39">
        <f t="shared" si="4"/>
        <v>360288</v>
      </c>
      <c r="G59" s="38">
        <v>1</v>
      </c>
      <c r="H59" s="38" t="s">
        <v>2916</v>
      </c>
      <c r="I59" s="38" t="s">
        <v>2917</v>
      </c>
      <c r="J59" s="38" t="s">
        <v>3438</v>
      </c>
      <c r="K59" s="38" t="s">
        <v>3099</v>
      </c>
      <c r="L59" s="38" t="s">
        <v>3100</v>
      </c>
      <c r="M59" s="38" t="s">
        <v>3101</v>
      </c>
      <c r="N59" s="40" t="s">
        <v>2935</v>
      </c>
      <c r="O59" s="41">
        <v>35375</v>
      </c>
      <c r="P59" s="38">
        <f t="shared" ca="1" si="1"/>
        <v>29</v>
      </c>
      <c r="Q59" s="42">
        <v>346271841</v>
      </c>
      <c r="R59" s="41">
        <v>45068</v>
      </c>
      <c r="S59" s="41">
        <v>45068</v>
      </c>
      <c r="T59" s="38" t="s">
        <v>2940</v>
      </c>
      <c r="U59" s="40" t="s">
        <v>2839</v>
      </c>
      <c r="V59" s="40" t="s">
        <v>2923</v>
      </c>
      <c r="W59" s="40" t="s">
        <v>2923</v>
      </c>
      <c r="X59" s="40" t="s">
        <v>2923</v>
      </c>
      <c r="Y59" s="82" t="s">
        <v>2923</v>
      </c>
      <c r="Z59" s="40" t="s">
        <v>2923</v>
      </c>
      <c r="AA59" s="40" t="s">
        <v>2923</v>
      </c>
      <c r="AB59" s="79">
        <v>2006336552</v>
      </c>
      <c r="AC59" s="38"/>
    </row>
    <row r="60" spans="1:29" ht="90" customHeight="1" x14ac:dyDescent="0.2">
      <c r="A60" s="36" t="s">
        <v>3418</v>
      </c>
      <c r="B60" s="42">
        <v>59</v>
      </c>
      <c r="C60" s="38" t="s">
        <v>3102</v>
      </c>
      <c r="D60" s="38">
        <v>24</v>
      </c>
      <c r="E60" s="39">
        <v>1313172</v>
      </c>
      <c r="F60" s="39">
        <f>E60</f>
        <v>1313172</v>
      </c>
      <c r="G60" s="38">
        <v>8</v>
      </c>
      <c r="H60" s="38" t="s">
        <v>2916</v>
      </c>
      <c r="I60" s="38" t="s">
        <v>2917</v>
      </c>
      <c r="J60" s="38" t="s">
        <v>3436</v>
      </c>
      <c r="K60" s="38" t="s">
        <v>3103</v>
      </c>
      <c r="L60" s="38" t="s">
        <v>3104</v>
      </c>
      <c r="M60" s="38" t="s">
        <v>3105</v>
      </c>
      <c r="N60" s="40" t="s">
        <v>2921</v>
      </c>
      <c r="O60" s="41">
        <v>22553</v>
      </c>
      <c r="P60" s="38">
        <f t="shared" ca="1" si="1"/>
        <v>64</v>
      </c>
      <c r="Q60" s="42">
        <v>166420295</v>
      </c>
      <c r="R60" s="41">
        <v>32547</v>
      </c>
      <c r="S60" s="41">
        <v>33980</v>
      </c>
      <c r="T60" s="38" t="s">
        <v>2940</v>
      </c>
      <c r="U60" s="40" t="s">
        <v>2839</v>
      </c>
      <c r="V60" s="40" t="s">
        <v>2923</v>
      </c>
      <c r="W60" s="40" t="s">
        <v>2923</v>
      </c>
      <c r="X60" s="40" t="s">
        <v>2923</v>
      </c>
      <c r="Y60" s="82" t="s">
        <v>2923</v>
      </c>
      <c r="Z60" s="40" t="s">
        <v>2923</v>
      </c>
      <c r="AA60" s="40" t="s">
        <v>2923</v>
      </c>
      <c r="AB60" s="79">
        <v>2002159656</v>
      </c>
      <c r="AC60" s="38"/>
    </row>
    <row r="61" spans="1:29" ht="90" customHeight="1" x14ac:dyDescent="0.2">
      <c r="A61" s="36" t="s">
        <v>3418</v>
      </c>
      <c r="B61" s="42">
        <v>60</v>
      </c>
      <c r="C61" s="38" t="s">
        <v>3106</v>
      </c>
      <c r="D61" s="38">
        <v>15</v>
      </c>
      <c r="E61" s="39">
        <v>501888</v>
      </c>
      <c r="F61" s="39">
        <f t="shared" si="4"/>
        <v>501888</v>
      </c>
      <c r="G61" s="38">
        <v>5</v>
      </c>
      <c r="H61" s="38" t="s">
        <v>2916</v>
      </c>
      <c r="I61" s="38" t="s">
        <v>2917</v>
      </c>
      <c r="J61" s="38" t="s">
        <v>3438</v>
      </c>
      <c r="K61" s="38" t="s">
        <v>3107</v>
      </c>
      <c r="L61" s="38" t="s">
        <v>3108</v>
      </c>
      <c r="M61" s="38" t="s">
        <v>3109</v>
      </c>
      <c r="N61" s="40" t="s">
        <v>2921</v>
      </c>
      <c r="O61" s="41">
        <v>24255</v>
      </c>
      <c r="P61" s="38">
        <f t="shared" ca="1" si="1"/>
        <v>60</v>
      </c>
      <c r="Q61" s="42">
        <v>133843565</v>
      </c>
      <c r="R61" s="41">
        <v>40528</v>
      </c>
      <c r="S61" s="41">
        <v>41229</v>
      </c>
      <c r="T61" s="38" t="s">
        <v>2940</v>
      </c>
      <c r="U61" s="40" t="s">
        <v>2891</v>
      </c>
      <c r="V61" s="40" t="s">
        <v>2923</v>
      </c>
      <c r="W61" s="40" t="s">
        <v>2923</v>
      </c>
      <c r="X61" s="40" t="s">
        <v>2923</v>
      </c>
      <c r="Y61" s="82" t="s">
        <v>2923</v>
      </c>
      <c r="Z61" s="40" t="s">
        <v>2923</v>
      </c>
      <c r="AA61" s="40" t="s">
        <v>2923</v>
      </c>
      <c r="AB61" s="79">
        <v>2004055775</v>
      </c>
      <c r="AC61" s="38"/>
    </row>
    <row r="62" spans="1:29" ht="90" customHeight="1" x14ac:dyDescent="0.2">
      <c r="A62" s="36" t="s">
        <v>3418</v>
      </c>
      <c r="B62" s="42">
        <v>61</v>
      </c>
      <c r="C62" s="38" t="s">
        <v>3110</v>
      </c>
      <c r="D62" s="38">
        <v>9</v>
      </c>
      <c r="E62" s="39">
        <v>283188</v>
      </c>
      <c r="F62" s="39">
        <f t="shared" si="4"/>
        <v>283188</v>
      </c>
      <c r="G62" s="38">
        <v>3</v>
      </c>
      <c r="H62" s="38" t="s">
        <v>2916</v>
      </c>
      <c r="I62" s="38" t="s">
        <v>2917</v>
      </c>
      <c r="J62" s="38" t="s">
        <v>3438</v>
      </c>
      <c r="K62" s="38" t="s">
        <v>2968</v>
      </c>
      <c r="L62" s="38" t="s">
        <v>3111</v>
      </c>
      <c r="M62" s="38" t="s">
        <v>3112</v>
      </c>
      <c r="N62" s="40" t="s">
        <v>2921</v>
      </c>
      <c r="O62" s="41">
        <v>28560</v>
      </c>
      <c r="P62" s="38">
        <f t="shared" ca="1" si="1"/>
        <v>48</v>
      </c>
      <c r="Q62" s="42">
        <v>211068198</v>
      </c>
      <c r="R62" s="41">
        <v>41264</v>
      </c>
      <c r="S62" s="41">
        <v>43368</v>
      </c>
      <c r="T62" s="38" t="s">
        <v>2940</v>
      </c>
      <c r="U62" s="40" t="s">
        <v>2891</v>
      </c>
      <c r="V62" s="40" t="s">
        <v>2923</v>
      </c>
      <c r="W62" s="40" t="s">
        <v>2923</v>
      </c>
      <c r="X62" s="40" t="s">
        <v>2923</v>
      </c>
      <c r="Y62" s="82" t="s">
        <v>2923</v>
      </c>
      <c r="Z62" s="40" t="s">
        <v>2923</v>
      </c>
      <c r="AA62" s="40" t="s">
        <v>2923</v>
      </c>
      <c r="AB62" s="79">
        <v>2004196276</v>
      </c>
      <c r="AC62" s="38"/>
    </row>
    <row r="63" spans="1:29" ht="90" customHeight="1" x14ac:dyDescent="0.2">
      <c r="A63" s="36" t="s">
        <v>3418</v>
      </c>
      <c r="B63" s="42">
        <v>62</v>
      </c>
      <c r="C63" s="38" t="s">
        <v>3113</v>
      </c>
      <c r="D63" s="38">
        <v>8</v>
      </c>
      <c r="E63" s="39">
        <v>262068</v>
      </c>
      <c r="F63" s="39">
        <f t="shared" si="4"/>
        <v>262068</v>
      </c>
      <c r="G63" s="38">
        <v>3</v>
      </c>
      <c r="H63" s="38" t="s">
        <v>2916</v>
      </c>
      <c r="I63" s="38" t="s">
        <v>2917</v>
      </c>
      <c r="J63" s="38" t="s">
        <v>3438</v>
      </c>
      <c r="K63" s="38" t="s">
        <v>3114</v>
      </c>
      <c r="L63" s="38" t="s">
        <v>3115</v>
      </c>
      <c r="M63" s="38" t="s">
        <v>3116</v>
      </c>
      <c r="N63" s="40" t="s">
        <v>2921</v>
      </c>
      <c r="O63" s="41">
        <v>32571</v>
      </c>
      <c r="P63" s="38">
        <f t="shared" ca="1" si="1"/>
        <v>37</v>
      </c>
      <c r="Q63" s="42">
        <v>426300092</v>
      </c>
      <c r="R63" s="41">
        <v>43402</v>
      </c>
      <c r="S63" s="41">
        <v>43402</v>
      </c>
      <c r="T63" s="38" t="s">
        <v>2940</v>
      </c>
      <c r="U63" s="40" t="s">
        <v>2855</v>
      </c>
      <c r="V63" s="40" t="s">
        <v>2923</v>
      </c>
      <c r="W63" s="40" t="s">
        <v>2923</v>
      </c>
      <c r="X63" s="40" t="s">
        <v>2923</v>
      </c>
      <c r="Y63" s="82" t="s">
        <v>2923</v>
      </c>
      <c r="Z63" s="40" t="s">
        <v>2923</v>
      </c>
      <c r="AA63" s="40" t="s">
        <v>2923</v>
      </c>
      <c r="AB63" s="79">
        <v>2004223855</v>
      </c>
      <c r="AC63" s="38"/>
    </row>
    <row r="64" spans="1:29" ht="90" customHeight="1" x14ac:dyDescent="0.2">
      <c r="A64" s="36" t="s">
        <v>3418</v>
      </c>
      <c r="B64" s="42">
        <v>63</v>
      </c>
      <c r="C64" s="38" t="s">
        <v>3113</v>
      </c>
      <c r="D64" s="38">
        <v>8</v>
      </c>
      <c r="E64" s="39">
        <v>266808</v>
      </c>
      <c r="F64" s="39">
        <v>255444</v>
      </c>
      <c r="G64" s="38">
        <v>5</v>
      </c>
      <c r="H64" s="38" t="s">
        <v>2916</v>
      </c>
      <c r="I64" s="38" t="s">
        <v>2917</v>
      </c>
      <c r="J64" s="38" t="s">
        <v>3438</v>
      </c>
      <c r="K64" s="38" t="s">
        <v>3112</v>
      </c>
      <c r="L64" s="38" t="s">
        <v>3117</v>
      </c>
      <c r="M64" s="38" t="s">
        <v>3118</v>
      </c>
      <c r="N64" s="40" t="s">
        <v>2921</v>
      </c>
      <c r="O64" s="41">
        <v>24679</v>
      </c>
      <c r="P64" s="38">
        <f t="shared" ca="1" si="1"/>
        <v>59</v>
      </c>
      <c r="Q64" s="42">
        <v>139668003</v>
      </c>
      <c r="R64" s="41">
        <v>39037</v>
      </c>
      <c r="S64" s="41">
        <v>41091</v>
      </c>
      <c r="T64" s="38" t="s">
        <v>2940</v>
      </c>
      <c r="U64" s="40" t="s">
        <v>2855</v>
      </c>
      <c r="V64" s="40" t="s">
        <v>2923</v>
      </c>
      <c r="W64" s="40" t="s">
        <v>3391</v>
      </c>
      <c r="X64" s="40" t="s">
        <v>2923</v>
      </c>
      <c r="Y64" s="82" t="s">
        <v>2923</v>
      </c>
      <c r="Z64" s="40" t="s">
        <v>2923</v>
      </c>
      <c r="AA64" s="40" t="s">
        <v>2923</v>
      </c>
      <c r="AB64" s="79">
        <v>2001037069</v>
      </c>
      <c r="AC64" s="38"/>
    </row>
    <row r="65" spans="1:29" ht="90" customHeight="1" x14ac:dyDescent="0.2">
      <c r="A65" s="36" t="s">
        <v>3418</v>
      </c>
      <c r="B65" s="42">
        <v>64</v>
      </c>
      <c r="C65" s="38" t="s">
        <v>3113</v>
      </c>
      <c r="D65" s="38">
        <v>8</v>
      </c>
      <c r="E65" s="39">
        <v>217128</v>
      </c>
      <c r="F65" s="39">
        <f t="shared" si="4"/>
        <v>217128</v>
      </c>
      <c r="G65" s="38">
        <v>3</v>
      </c>
      <c r="H65" s="38" t="s">
        <v>2916</v>
      </c>
      <c r="I65" s="38" t="s">
        <v>2917</v>
      </c>
      <c r="J65" s="38" t="s">
        <v>3438</v>
      </c>
      <c r="K65" s="38" t="s">
        <v>2937</v>
      </c>
      <c r="L65" s="38" t="s">
        <v>3119</v>
      </c>
      <c r="M65" s="38" t="s">
        <v>3120</v>
      </c>
      <c r="N65" s="40" t="s">
        <v>2921</v>
      </c>
      <c r="O65" s="41">
        <v>36823</v>
      </c>
      <c r="P65" s="38">
        <f t="shared" ca="1" si="1"/>
        <v>25</v>
      </c>
      <c r="Q65" s="42">
        <v>630679240</v>
      </c>
      <c r="R65" s="41">
        <v>46008</v>
      </c>
      <c r="S65" s="41">
        <v>46008</v>
      </c>
      <c r="T65" s="38" t="s">
        <v>2940</v>
      </c>
      <c r="U65" s="40" t="s">
        <v>2855</v>
      </c>
      <c r="V65" s="40" t="s">
        <v>2923</v>
      </c>
      <c r="W65" s="40" t="s">
        <v>3391</v>
      </c>
      <c r="X65" s="40" t="s">
        <v>2923</v>
      </c>
      <c r="Y65" s="82" t="s">
        <v>2923</v>
      </c>
      <c r="Z65" s="40" t="s">
        <v>2923</v>
      </c>
      <c r="AA65" s="40" t="s">
        <v>2923</v>
      </c>
      <c r="AB65" s="79">
        <v>2006790873</v>
      </c>
      <c r="AC65" s="38"/>
    </row>
    <row r="66" spans="1:29" ht="90" customHeight="1" x14ac:dyDescent="0.2">
      <c r="A66" s="36" t="s">
        <v>3418</v>
      </c>
      <c r="B66" s="42">
        <v>65</v>
      </c>
      <c r="C66" s="38" t="s">
        <v>3121</v>
      </c>
      <c r="D66" s="38">
        <v>8</v>
      </c>
      <c r="E66" s="39">
        <v>257376</v>
      </c>
      <c r="F66" s="39">
        <f t="shared" si="4"/>
        <v>257376</v>
      </c>
      <c r="G66" s="38">
        <v>1</v>
      </c>
      <c r="H66" s="38" t="s">
        <v>2916</v>
      </c>
      <c r="I66" s="38" t="s">
        <v>2917</v>
      </c>
      <c r="J66" s="38" t="s">
        <v>3438</v>
      </c>
      <c r="K66" s="38" t="s">
        <v>3122</v>
      </c>
      <c r="L66" s="38" t="s">
        <v>3123</v>
      </c>
      <c r="M66" s="38" t="s">
        <v>3124</v>
      </c>
      <c r="N66" s="40" t="s">
        <v>2921</v>
      </c>
      <c r="O66" s="41">
        <v>36807</v>
      </c>
      <c r="P66" s="38">
        <f t="shared" ca="1" si="1"/>
        <v>25</v>
      </c>
      <c r="Q66" s="42">
        <v>628652800</v>
      </c>
      <c r="R66" s="41">
        <v>45691</v>
      </c>
      <c r="S66" s="41">
        <v>45691</v>
      </c>
      <c r="T66" s="38" t="s">
        <v>2940</v>
      </c>
      <c r="U66" s="40" t="s">
        <v>2891</v>
      </c>
      <c r="V66" s="40" t="s">
        <v>2923</v>
      </c>
      <c r="W66" s="40" t="s">
        <v>2923</v>
      </c>
      <c r="X66" s="40" t="s">
        <v>2923</v>
      </c>
      <c r="Y66" s="82" t="s">
        <v>2923</v>
      </c>
      <c r="Z66" s="40" t="s">
        <v>2923</v>
      </c>
      <c r="AA66" s="40" t="s">
        <v>2923</v>
      </c>
      <c r="AB66" s="79">
        <v>2006632063</v>
      </c>
      <c r="AC66" s="38"/>
    </row>
    <row r="67" spans="1:29" ht="90" customHeight="1" x14ac:dyDescent="0.2">
      <c r="A67" s="36" t="s">
        <v>3418</v>
      </c>
      <c r="B67" s="42">
        <v>66</v>
      </c>
      <c r="C67" s="38" t="s">
        <v>3110</v>
      </c>
      <c r="D67" s="38">
        <v>9</v>
      </c>
      <c r="E67" s="39">
        <v>278712</v>
      </c>
      <c r="F67" s="39">
        <f t="shared" si="4"/>
        <v>278712</v>
      </c>
      <c r="G67" s="38">
        <v>1</v>
      </c>
      <c r="H67" s="38" t="s">
        <v>2916</v>
      </c>
      <c r="I67" s="38" t="s">
        <v>2917</v>
      </c>
      <c r="J67" s="38" t="s">
        <v>3438</v>
      </c>
      <c r="K67" s="38" t="s">
        <v>3125</v>
      </c>
      <c r="L67" s="38" t="s">
        <v>3126</v>
      </c>
      <c r="M67" s="38" t="s">
        <v>3082</v>
      </c>
      <c r="N67" s="40" t="s">
        <v>2921</v>
      </c>
      <c r="O67" s="41">
        <v>30128</v>
      </c>
      <c r="P67" s="38">
        <f t="shared" ref="P67:P130" ca="1" si="5">DATEDIF(O67,TODAY(),"Y")</f>
        <v>44</v>
      </c>
      <c r="Q67" s="42">
        <v>237436577</v>
      </c>
      <c r="R67" s="41">
        <v>43402</v>
      </c>
      <c r="S67" s="41">
        <v>45139</v>
      </c>
      <c r="T67" s="38" t="s">
        <v>2940</v>
      </c>
      <c r="U67" s="40" t="s">
        <v>2868</v>
      </c>
      <c r="V67" s="40" t="s">
        <v>2923</v>
      </c>
      <c r="W67" s="40" t="s">
        <v>2923</v>
      </c>
      <c r="X67" s="40" t="s">
        <v>2923</v>
      </c>
      <c r="Y67" s="82" t="s">
        <v>2923</v>
      </c>
      <c r="Z67" s="40" t="s">
        <v>2923</v>
      </c>
      <c r="AA67" s="40" t="s">
        <v>2923</v>
      </c>
      <c r="AB67" s="79">
        <v>2004182983</v>
      </c>
      <c r="AC67" s="38"/>
    </row>
    <row r="68" spans="1:29" ht="90" customHeight="1" x14ac:dyDescent="0.2">
      <c r="A68" s="36" t="s">
        <v>3418</v>
      </c>
      <c r="B68" s="42">
        <v>67</v>
      </c>
      <c r="C68" s="38" t="s">
        <v>3121</v>
      </c>
      <c r="D68" s="38">
        <v>8</v>
      </c>
      <c r="E68" s="39">
        <v>262068</v>
      </c>
      <c r="F68" s="39">
        <f t="shared" si="4"/>
        <v>262068</v>
      </c>
      <c r="G68" s="38">
        <v>3</v>
      </c>
      <c r="H68" s="38" t="s">
        <v>2916</v>
      </c>
      <c r="I68" s="38" t="s">
        <v>2917</v>
      </c>
      <c r="J68" s="38" t="s">
        <v>3438</v>
      </c>
      <c r="K68" s="38" t="s">
        <v>3127</v>
      </c>
      <c r="L68" s="38" t="s">
        <v>3128</v>
      </c>
      <c r="M68" s="38" t="s">
        <v>3129</v>
      </c>
      <c r="N68" s="40" t="s">
        <v>2935</v>
      </c>
      <c r="O68" s="41">
        <v>33970</v>
      </c>
      <c r="P68" s="38">
        <f t="shared" ca="1" si="5"/>
        <v>33</v>
      </c>
      <c r="Q68" s="42">
        <v>325966342</v>
      </c>
      <c r="R68" s="41">
        <v>42961</v>
      </c>
      <c r="S68" s="41">
        <v>42961</v>
      </c>
      <c r="T68" s="38" t="s">
        <v>2940</v>
      </c>
      <c r="U68" s="40" t="s">
        <v>2855</v>
      </c>
      <c r="V68" s="40" t="s">
        <v>2923</v>
      </c>
      <c r="W68" s="40" t="s">
        <v>2923</v>
      </c>
      <c r="X68" s="40" t="s">
        <v>2923</v>
      </c>
      <c r="Y68" s="82" t="s">
        <v>2923</v>
      </c>
      <c r="Z68" s="40" t="s">
        <v>2923</v>
      </c>
      <c r="AA68" s="40" t="s">
        <v>2923</v>
      </c>
      <c r="AB68" s="79">
        <v>2005265431</v>
      </c>
      <c r="AC68" s="38"/>
    </row>
    <row r="69" spans="1:29" ht="90" customHeight="1" x14ac:dyDescent="0.2">
      <c r="A69" s="36" t="s">
        <v>3418</v>
      </c>
      <c r="B69" s="42">
        <v>68</v>
      </c>
      <c r="C69" s="38" t="s">
        <v>3121</v>
      </c>
      <c r="D69" s="38">
        <v>8</v>
      </c>
      <c r="E69" s="39">
        <v>257376</v>
      </c>
      <c r="F69" s="39">
        <f t="shared" si="4"/>
        <v>257376</v>
      </c>
      <c r="G69" s="38">
        <v>1</v>
      </c>
      <c r="H69" s="38" t="s">
        <v>2916</v>
      </c>
      <c r="I69" s="38" t="s">
        <v>2917</v>
      </c>
      <c r="J69" s="38" t="s">
        <v>3438</v>
      </c>
      <c r="K69" s="38" t="s">
        <v>3130</v>
      </c>
      <c r="L69" s="38" t="s">
        <v>3131</v>
      </c>
      <c r="M69" s="38" t="s">
        <v>3132</v>
      </c>
      <c r="N69" s="40" t="s">
        <v>2921</v>
      </c>
      <c r="O69" s="41">
        <v>35508</v>
      </c>
      <c r="P69" s="38">
        <f t="shared" ca="1" si="5"/>
        <v>29</v>
      </c>
      <c r="Q69" s="42">
        <v>711976804</v>
      </c>
      <c r="R69" s="41">
        <v>45278</v>
      </c>
      <c r="S69" s="41">
        <v>45278</v>
      </c>
      <c r="T69" s="38" t="s">
        <v>2940</v>
      </c>
      <c r="U69" s="40" t="s">
        <v>2855</v>
      </c>
      <c r="V69" s="40" t="s">
        <v>2923</v>
      </c>
      <c r="W69" s="40" t="s">
        <v>2923</v>
      </c>
      <c r="X69" s="40" t="s">
        <v>2923</v>
      </c>
      <c r="Y69" s="82" t="s">
        <v>2923</v>
      </c>
      <c r="Z69" s="40" t="s">
        <v>2923</v>
      </c>
      <c r="AA69" s="40" t="s">
        <v>2923</v>
      </c>
      <c r="AB69" s="79">
        <v>2006416912</v>
      </c>
      <c r="AC69" s="38"/>
    </row>
    <row r="70" spans="1:29" ht="90" customHeight="1" x14ac:dyDescent="0.2">
      <c r="A70" s="36" t="s">
        <v>3418</v>
      </c>
      <c r="B70" s="42">
        <v>69</v>
      </c>
      <c r="C70" s="38" t="s">
        <v>3121</v>
      </c>
      <c r="D70" s="38">
        <v>8</v>
      </c>
      <c r="E70" s="39">
        <v>262068</v>
      </c>
      <c r="F70" s="39">
        <f t="shared" si="4"/>
        <v>262068</v>
      </c>
      <c r="G70" s="38">
        <v>3</v>
      </c>
      <c r="H70" s="38" t="s">
        <v>2916</v>
      </c>
      <c r="I70" s="38" t="s">
        <v>2917</v>
      </c>
      <c r="J70" s="38" t="s">
        <v>3438</v>
      </c>
      <c r="K70" s="38" t="s">
        <v>3133</v>
      </c>
      <c r="L70" s="38" t="s">
        <v>3134</v>
      </c>
      <c r="M70" s="38" t="s">
        <v>3135</v>
      </c>
      <c r="N70" s="40" t="s">
        <v>2935</v>
      </c>
      <c r="O70" s="41">
        <v>35600</v>
      </c>
      <c r="P70" s="38">
        <f t="shared" ca="1" si="5"/>
        <v>29</v>
      </c>
      <c r="Q70" s="42">
        <v>340369337</v>
      </c>
      <c r="R70" s="41">
        <v>43511</v>
      </c>
      <c r="S70" s="41">
        <v>43511</v>
      </c>
      <c r="T70" s="38" t="s">
        <v>2940</v>
      </c>
      <c r="U70" s="40" t="s">
        <v>2891</v>
      </c>
      <c r="V70" s="40" t="s">
        <v>2923</v>
      </c>
      <c r="W70" s="40" t="s">
        <v>2923</v>
      </c>
      <c r="X70" s="40" t="s">
        <v>2923</v>
      </c>
      <c r="Y70" s="82" t="s">
        <v>2923</v>
      </c>
      <c r="Z70" s="40" t="s">
        <v>2923</v>
      </c>
      <c r="AA70" s="40" t="s">
        <v>2923</v>
      </c>
      <c r="AB70" s="79">
        <v>2005566906</v>
      </c>
      <c r="AC70" s="38"/>
    </row>
    <row r="71" spans="1:29" ht="90" customHeight="1" x14ac:dyDescent="0.2">
      <c r="A71" s="36" t="s">
        <v>3419</v>
      </c>
      <c r="B71" s="42">
        <v>70</v>
      </c>
      <c r="C71" s="38" t="s">
        <v>3136</v>
      </c>
      <c r="D71" s="38">
        <v>24</v>
      </c>
      <c r="E71" s="39">
        <v>1253796</v>
      </c>
      <c r="F71" s="39">
        <f t="shared" si="4"/>
        <v>1253796</v>
      </c>
      <c r="G71" s="38">
        <v>5</v>
      </c>
      <c r="H71" s="38" t="s">
        <v>2916</v>
      </c>
      <c r="I71" s="38" t="s">
        <v>2917</v>
      </c>
      <c r="J71" s="38" t="s">
        <v>3436</v>
      </c>
      <c r="K71" s="38" t="s">
        <v>3073</v>
      </c>
      <c r="L71" s="38" t="s">
        <v>3137</v>
      </c>
      <c r="M71" s="38" t="s">
        <v>3138</v>
      </c>
      <c r="N71" s="40" t="s">
        <v>2935</v>
      </c>
      <c r="O71" s="41">
        <v>24422</v>
      </c>
      <c r="P71" s="38">
        <f t="shared" ca="1" si="5"/>
        <v>59</v>
      </c>
      <c r="Q71" s="42">
        <v>122516626</v>
      </c>
      <c r="R71" s="41">
        <v>32036</v>
      </c>
      <c r="S71" s="41">
        <v>40725</v>
      </c>
      <c r="T71" s="38" t="s">
        <v>2940</v>
      </c>
      <c r="U71" s="40" t="s">
        <v>2891</v>
      </c>
      <c r="V71" s="40" t="s">
        <v>2923</v>
      </c>
      <c r="W71" s="40" t="s">
        <v>2923</v>
      </c>
      <c r="X71" s="40" t="s">
        <v>2923</v>
      </c>
      <c r="Y71" s="82" t="s">
        <v>2923</v>
      </c>
      <c r="Z71" s="40" t="s">
        <v>2923</v>
      </c>
      <c r="AA71" s="40" t="s">
        <v>2923</v>
      </c>
      <c r="AB71" s="79">
        <v>2002159036</v>
      </c>
      <c r="AC71" s="38"/>
    </row>
    <row r="72" spans="1:29" ht="90" customHeight="1" x14ac:dyDescent="0.2">
      <c r="A72" s="36" t="s">
        <v>3419</v>
      </c>
      <c r="B72" s="42">
        <v>71</v>
      </c>
      <c r="C72" s="38" t="s">
        <v>3139</v>
      </c>
      <c r="D72" s="38">
        <v>11</v>
      </c>
      <c r="E72" s="39">
        <v>374220</v>
      </c>
      <c r="F72" s="39">
        <f t="shared" si="4"/>
        <v>374220</v>
      </c>
      <c r="G72" s="38">
        <v>5</v>
      </c>
      <c r="H72" s="38" t="s">
        <v>2916</v>
      </c>
      <c r="I72" s="38" t="s">
        <v>2917</v>
      </c>
      <c r="J72" s="38" t="s">
        <v>3438</v>
      </c>
      <c r="K72" s="38" t="s">
        <v>3140</v>
      </c>
      <c r="L72" s="38" t="s">
        <v>3141</v>
      </c>
      <c r="M72" s="38" t="s">
        <v>3142</v>
      </c>
      <c r="N72" s="40" t="s">
        <v>2921</v>
      </c>
      <c r="O72" s="41">
        <v>28409</v>
      </c>
      <c r="P72" s="38">
        <f t="shared" ca="1" si="5"/>
        <v>48</v>
      </c>
      <c r="Q72" s="42">
        <v>208951062</v>
      </c>
      <c r="R72" s="41">
        <v>36251</v>
      </c>
      <c r="S72" s="41">
        <v>40819</v>
      </c>
      <c r="T72" s="38" t="s">
        <v>2940</v>
      </c>
      <c r="U72" s="40" t="s">
        <v>2891</v>
      </c>
      <c r="V72" s="40" t="s">
        <v>2923</v>
      </c>
      <c r="W72" s="40" t="s">
        <v>2923</v>
      </c>
      <c r="X72" s="40" t="s">
        <v>2923</v>
      </c>
      <c r="Y72" s="82" t="s">
        <v>2923</v>
      </c>
      <c r="Z72" s="40" t="s">
        <v>2923</v>
      </c>
      <c r="AA72" s="40" t="s">
        <v>2923</v>
      </c>
      <c r="AB72" s="79">
        <v>2002158965</v>
      </c>
      <c r="AC72" s="38"/>
    </row>
    <row r="73" spans="1:29" ht="90" customHeight="1" x14ac:dyDescent="0.2">
      <c r="A73" s="36" t="s">
        <v>3419</v>
      </c>
      <c r="B73" s="42">
        <v>72</v>
      </c>
      <c r="C73" s="38" t="s">
        <v>2929</v>
      </c>
      <c r="D73" s="38">
        <v>4</v>
      </c>
      <c r="E73" s="39">
        <v>208044</v>
      </c>
      <c r="F73" s="39">
        <f t="shared" si="4"/>
        <v>208044</v>
      </c>
      <c r="G73" s="38">
        <v>5</v>
      </c>
      <c r="H73" s="38" t="s">
        <v>2916</v>
      </c>
      <c r="I73" s="38" t="s">
        <v>2917</v>
      </c>
      <c r="J73" s="38" t="s">
        <v>3438</v>
      </c>
      <c r="K73" s="38" t="s">
        <v>3143</v>
      </c>
      <c r="L73" s="38" t="s">
        <v>3144</v>
      </c>
      <c r="M73" s="38" t="s">
        <v>3145</v>
      </c>
      <c r="N73" s="40" t="s">
        <v>2921</v>
      </c>
      <c r="O73" s="41">
        <v>27554</v>
      </c>
      <c r="P73" s="38">
        <f t="shared" ca="1" si="5"/>
        <v>51</v>
      </c>
      <c r="Q73" s="42">
        <v>929319231</v>
      </c>
      <c r="R73" s="41">
        <v>36598</v>
      </c>
      <c r="S73" s="41">
        <v>41290</v>
      </c>
      <c r="T73" s="38" t="s">
        <v>2940</v>
      </c>
      <c r="U73" s="40" t="s">
        <v>2855</v>
      </c>
      <c r="V73" s="40" t="s">
        <v>2923</v>
      </c>
      <c r="W73" s="40" t="s">
        <v>2923</v>
      </c>
      <c r="X73" s="40" t="s">
        <v>2923</v>
      </c>
      <c r="Y73" s="82" t="s">
        <v>2923</v>
      </c>
      <c r="Z73" s="40" t="s">
        <v>2923</v>
      </c>
      <c r="AA73" s="40" t="s">
        <v>2923</v>
      </c>
      <c r="AB73" s="79">
        <v>2002159588</v>
      </c>
      <c r="AC73" s="38"/>
    </row>
    <row r="74" spans="1:29" ht="90" customHeight="1" x14ac:dyDescent="0.2">
      <c r="A74" s="83" t="s">
        <v>3419</v>
      </c>
      <c r="B74" s="87">
        <v>73</v>
      </c>
      <c r="C74" s="43" t="s">
        <v>2949</v>
      </c>
      <c r="D74" s="43">
        <v>3</v>
      </c>
      <c r="E74" s="85">
        <v>193260</v>
      </c>
      <c r="F74" s="85">
        <f t="shared" si="4"/>
        <v>193260</v>
      </c>
      <c r="G74" s="43">
        <v>1</v>
      </c>
      <c r="H74" s="43" t="s">
        <v>2916</v>
      </c>
      <c r="I74" s="43" t="s">
        <v>2917</v>
      </c>
      <c r="J74" s="43" t="s">
        <v>3438</v>
      </c>
      <c r="K74" s="43"/>
      <c r="L74" s="43"/>
      <c r="M74" s="43"/>
      <c r="N74" s="86"/>
      <c r="O74" s="44"/>
      <c r="P74" s="43"/>
      <c r="Q74" s="87"/>
      <c r="R74" s="44"/>
      <c r="S74" s="44"/>
      <c r="T74" s="43" t="s">
        <v>2940</v>
      </c>
      <c r="U74" s="86"/>
      <c r="V74" s="86" t="s">
        <v>2923</v>
      </c>
      <c r="W74" s="86" t="s">
        <v>2923</v>
      </c>
      <c r="X74" s="86" t="s">
        <v>2923</v>
      </c>
      <c r="Y74" s="88" t="s">
        <v>2923</v>
      </c>
      <c r="Z74" s="86" t="s">
        <v>2923</v>
      </c>
      <c r="AA74" s="86" t="s">
        <v>2923</v>
      </c>
      <c r="AB74" s="86" t="s">
        <v>2923</v>
      </c>
      <c r="AC74" s="38" t="s">
        <v>3440</v>
      </c>
    </row>
    <row r="75" spans="1:29" ht="99.95" customHeight="1" x14ac:dyDescent="0.2">
      <c r="A75" s="36" t="s">
        <v>3420</v>
      </c>
      <c r="B75" s="42">
        <v>74</v>
      </c>
      <c r="C75" s="38" t="s">
        <v>3146</v>
      </c>
      <c r="D75" s="38">
        <v>24</v>
      </c>
      <c r="E75" s="39">
        <v>1178220</v>
      </c>
      <c r="F75" s="39">
        <f t="shared" si="4"/>
        <v>1178220</v>
      </c>
      <c r="G75" s="38">
        <v>1</v>
      </c>
      <c r="H75" s="38" t="s">
        <v>2916</v>
      </c>
      <c r="I75" s="38" t="s">
        <v>2917</v>
      </c>
      <c r="J75" s="38" t="s">
        <v>3436</v>
      </c>
      <c r="K75" s="38" t="s">
        <v>3147</v>
      </c>
      <c r="L75" s="38" t="s">
        <v>3148</v>
      </c>
      <c r="M75" s="38" t="s">
        <v>3006</v>
      </c>
      <c r="N75" s="40" t="s">
        <v>2921</v>
      </c>
      <c r="O75" s="41">
        <v>30484</v>
      </c>
      <c r="P75" s="38">
        <f t="shared" ca="1" si="5"/>
        <v>43</v>
      </c>
      <c r="Q75" s="42">
        <v>935096781</v>
      </c>
      <c r="R75" s="41">
        <v>38215</v>
      </c>
      <c r="S75" s="41">
        <v>43507</v>
      </c>
      <c r="T75" s="38" t="s">
        <v>2940</v>
      </c>
      <c r="U75" s="40" t="s">
        <v>2891</v>
      </c>
      <c r="V75" s="40" t="s">
        <v>2923</v>
      </c>
      <c r="W75" s="40" t="s">
        <v>2923</v>
      </c>
      <c r="X75" s="40" t="s">
        <v>2923</v>
      </c>
      <c r="Y75" s="82" t="s">
        <v>2923</v>
      </c>
      <c r="Z75" s="40" t="s">
        <v>2923</v>
      </c>
      <c r="AA75" s="40" t="s">
        <v>2923</v>
      </c>
      <c r="AB75" s="79">
        <v>2002158980</v>
      </c>
      <c r="AC75" s="38"/>
    </row>
    <row r="76" spans="1:29" ht="99.95" customHeight="1" x14ac:dyDescent="0.2">
      <c r="A76" s="36" t="s">
        <v>3420</v>
      </c>
      <c r="B76" s="42">
        <v>75</v>
      </c>
      <c r="C76" s="38" t="s">
        <v>3149</v>
      </c>
      <c r="D76" s="38">
        <v>15</v>
      </c>
      <c r="E76" s="39">
        <v>482496</v>
      </c>
      <c r="F76" s="39">
        <f t="shared" si="4"/>
        <v>482496</v>
      </c>
      <c r="G76" s="38">
        <v>1</v>
      </c>
      <c r="H76" s="38" t="s">
        <v>2916</v>
      </c>
      <c r="I76" s="38" t="s">
        <v>2917</v>
      </c>
      <c r="J76" s="38" t="s">
        <v>3438</v>
      </c>
      <c r="K76" s="38" t="s">
        <v>3150</v>
      </c>
      <c r="L76" s="38" t="s">
        <v>3151</v>
      </c>
      <c r="M76" s="38" t="s">
        <v>3152</v>
      </c>
      <c r="N76" s="40" t="s">
        <v>2935</v>
      </c>
      <c r="O76" s="41">
        <v>29513</v>
      </c>
      <c r="P76" s="38">
        <f t="shared" ca="1" si="5"/>
        <v>45</v>
      </c>
      <c r="Q76" s="42">
        <v>272955453</v>
      </c>
      <c r="R76" s="41">
        <v>41852</v>
      </c>
      <c r="S76" s="41">
        <v>45931</v>
      </c>
      <c r="T76" s="38" t="s">
        <v>2940</v>
      </c>
      <c r="U76" s="40" t="s">
        <v>2842</v>
      </c>
      <c r="V76" s="40" t="s">
        <v>2923</v>
      </c>
      <c r="W76" s="40" t="s">
        <v>2923</v>
      </c>
      <c r="X76" s="40" t="s">
        <v>2923</v>
      </c>
      <c r="Y76" s="82" t="s">
        <v>2923</v>
      </c>
      <c r="Z76" s="40" t="s">
        <v>2923</v>
      </c>
      <c r="AA76" s="40" t="s">
        <v>2923</v>
      </c>
      <c r="AB76" s="79">
        <v>2004636265</v>
      </c>
      <c r="AC76" s="38"/>
    </row>
    <row r="77" spans="1:29" ht="99.95" customHeight="1" x14ac:dyDescent="0.2">
      <c r="A77" s="36" t="s">
        <v>3420</v>
      </c>
      <c r="B77" s="42">
        <v>76</v>
      </c>
      <c r="C77" s="38" t="s">
        <v>3153</v>
      </c>
      <c r="D77" s="38">
        <v>11</v>
      </c>
      <c r="E77" s="39">
        <v>367164</v>
      </c>
      <c r="F77" s="39">
        <f>+E77</f>
        <v>367164</v>
      </c>
      <c r="G77" s="38">
        <v>3</v>
      </c>
      <c r="H77" s="38" t="s">
        <v>2916</v>
      </c>
      <c r="I77" s="38" t="s">
        <v>2917</v>
      </c>
      <c r="J77" s="38" t="s">
        <v>3438</v>
      </c>
      <c r="K77" s="38" t="s">
        <v>3154</v>
      </c>
      <c r="L77" s="38" t="s">
        <v>3155</v>
      </c>
      <c r="M77" s="38" t="s">
        <v>3019</v>
      </c>
      <c r="N77" s="40" t="s">
        <v>2935</v>
      </c>
      <c r="O77" s="41">
        <v>35104</v>
      </c>
      <c r="P77" s="38">
        <f t="shared" ca="1" si="5"/>
        <v>30</v>
      </c>
      <c r="Q77" s="42">
        <v>451416917</v>
      </c>
      <c r="R77" s="41">
        <v>43328</v>
      </c>
      <c r="S77" s="41">
        <v>43328</v>
      </c>
      <c r="T77" s="38" t="s">
        <v>2940</v>
      </c>
      <c r="U77" s="40" t="s">
        <v>2839</v>
      </c>
      <c r="V77" s="40" t="s">
        <v>2923</v>
      </c>
      <c r="W77" s="40" t="s">
        <v>2923</v>
      </c>
      <c r="X77" s="40" t="s">
        <v>2923</v>
      </c>
      <c r="Y77" s="82" t="s">
        <v>2923</v>
      </c>
      <c r="Z77" s="40" t="s">
        <v>2923</v>
      </c>
      <c r="AA77" s="40" t="s">
        <v>2923</v>
      </c>
      <c r="AB77" s="79">
        <v>2005527603</v>
      </c>
      <c r="AC77" s="38"/>
    </row>
    <row r="78" spans="1:29" ht="99.95" customHeight="1" x14ac:dyDescent="0.2">
      <c r="A78" s="36" t="s">
        <v>3420</v>
      </c>
      <c r="B78" s="42">
        <v>77</v>
      </c>
      <c r="C78" s="38" t="s">
        <v>3156</v>
      </c>
      <c r="D78" s="38">
        <v>8</v>
      </c>
      <c r="E78" s="39">
        <f>21448*12</f>
        <v>257376</v>
      </c>
      <c r="F78" s="39">
        <f t="shared" ref="F78:F91" si="6">E78</f>
        <v>257376</v>
      </c>
      <c r="G78" s="38">
        <v>2</v>
      </c>
      <c r="H78" s="38" t="s">
        <v>2916</v>
      </c>
      <c r="I78" s="38" t="s">
        <v>2917</v>
      </c>
      <c r="J78" s="38" t="s">
        <v>3438</v>
      </c>
      <c r="K78" s="38"/>
      <c r="L78" s="38"/>
      <c r="M78" s="38"/>
      <c r="N78" s="40"/>
      <c r="O78" s="41"/>
      <c r="P78" s="38"/>
      <c r="Q78" s="42"/>
      <c r="R78" s="41"/>
      <c r="S78" s="41"/>
      <c r="T78" s="38" t="s">
        <v>2940</v>
      </c>
      <c r="U78" s="40"/>
      <c r="V78" s="40" t="s">
        <v>2923</v>
      </c>
      <c r="W78" s="40" t="s">
        <v>2923</v>
      </c>
      <c r="X78" s="40" t="s">
        <v>2923</v>
      </c>
      <c r="Y78" s="82" t="s">
        <v>2923</v>
      </c>
      <c r="Z78" s="40" t="s">
        <v>2923</v>
      </c>
      <c r="AA78" s="40" t="s">
        <v>2923</v>
      </c>
      <c r="AB78" s="79"/>
      <c r="AC78" s="38" t="s">
        <v>3440</v>
      </c>
    </row>
    <row r="79" spans="1:29" ht="99.95" customHeight="1" x14ac:dyDescent="0.2">
      <c r="A79" s="36" t="s">
        <v>3420</v>
      </c>
      <c r="B79" s="42">
        <v>78</v>
      </c>
      <c r="C79" s="38" t="s">
        <v>2983</v>
      </c>
      <c r="D79" s="38">
        <v>6</v>
      </c>
      <c r="E79" s="39">
        <v>230868</v>
      </c>
      <c r="F79" s="39">
        <f t="shared" si="6"/>
        <v>230868</v>
      </c>
      <c r="G79" s="38">
        <v>3</v>
      </c>
      <c r="H79" s="38" t="s">
        <v>2916</v>
      </c>
      <c r="I79" s="38" t="s">
        <v>2917</v>
      </c>
      <c r="J79" s="38" t="s">
        <v>3438</v>
      </c>
      <c r="K79" s="38" t="s">
        <v>3157</v>
      </c>
      <c r="L79" s="38" t="s">
        <v>3158</v>
      </c>
      <c r="M79" s="38" t="s">
        <v>3159</v>
      </c>
      <c r="N79" s="40" t="s">
        <v>2921</v>
      </c>
      <c r="O79" s="41">
        <v>33871</v>
      </c>
      <c r="P79" s="38">
        <f t="shared" ca="1" si="5"/>
        <v>33</v>
      </c>
      <c r="Q79" s="42">
        <v>273245278</v>
      </c>
      <c r="R79" s="41">
        <v>43543</v>
      </c>
      <c r="S79" s="41">
        <v>43543</v>
      </c>
      <c r="T79" s="38" t="s">
        <v>2940</v>
      </c>
      <c r="U79" s="40" t="s">
        <v>2855</v>
      </c>
      <c r="V79" s="40" t="s">
        <v>2923</v>
      </c>
      <c r="W79" s="40" t="s">
        <v>2923</v>
      </c>
      <c r="X79" s="40" t="s">
        <v>2923</v>
      </c>
      <c r="Y79" s="82" t="s">
        <v>2923</v>
      </c>
      <c r="Z79" s="40" t="s">
        <v>2923</v>
      </c>
      <c r="AA79" s="40" t="s">
        <v>2923</v>
      </c>
      <c r="AB79" s="79">
        <v>2005591549</v>
      </c>
      <c r="AC79" s="38"/>
    </row>
    <row r="80" spans="1:29" ht="99.95" customHeight="1" x14ac:dyDescent="0.2">
      <c r="A80" s="36" t="s">
        <v>3420</v>
      </c>
      <c r="B80" s="42">
        <v>79</v>
      </c>
      <c r="C80" s="38" t="s">
        <v>2949</v>
      </c>
      <c r="D80" s="38">
        <v>3</v>
      </c>
      <c r="E80" s="39">
        <v>191652</v>
      </c>
      <c r="F80" s="39">
        <f t="shared" si="6"/>
        <v>191652</v>
      </c>
      <c r="G80" s="38">
        <v>2</v>
      </c>
      <c r="H80" s="38" t="s">
        <v>2916</v>
      </c>
      <c r="I80" s="38" t="s">
        <v>2917</v>
      </c>
      <c r="J80" s="38" t="s">
        <v>3438</v>
      </c>
      <c r="K80" s="38" t="s">
        <v>3160</v>
      </c>
      <c r="L80" s="38" t="s">
        <v>3161</v>
      </c>
      <c r="M80" s="38" t="s">
        <v>3162</v>
      </c>
      <c r="N80" s="40" t="s">
        <v>2921</v>
      </c>
      <c r="O80" s="41">
        <v>43647</v>
      </c>
      <c r="P80" s="38">
        <f t="shared" ca="1" si="5"/>
        <v>7</v>
      </c>
      <c r="Q80" s="42">
        <v>287974335</v>
      </c>
      <c r="R80" s="41">
        <v>43647</v>
      </c>
      <c r="S80" s="41">
        <v>44743</v>
      </c>
      <c r="T80" s="38" t="s">
        <v>2940</v>
      </c>
      <c r="U80" s="40"/>
      <c r="V80" s="40" t="s">
        <v>2923</v>
      </c>
      <c r="W80" s="40" t="s">
        <v>2923</v>
      </c>
      <c r="X80" s="40" t="s">
        <v>2923</v>
      </c>
      <c r="Y80" s="82" t="s">
        <v>3402</v>
      </c>
      <c r="Z80" s="40" t="s">
        <v>2923</v>
      </c>
      <c r="AA80" s="40" t="s">
        <v>2923</v>
      </c>
      <c r="AB80" s="79">
        <v>2005665319</v>
      </c>
      <c r="AC80" s="38"/>
    </row>
    <row r="81" spans="1:29" ht="90" customHeight="1" x14ac:dyDescent="0.2">
      <c r="A81" s="36" t="s">
        <v>3421</v>
      </c>
      <c r="B81" s="42">
        <v>80</v>
      </c>
      <c r="C81" s="38" t="s">
        <v>3163</v>
      </c>
      <c r="D81" s="38">
        <v>24</v>
      </c>
      <c r="E81" s="39">
        <v>1129584</v>
      </c>
      <c r="F81" s="39">
        <f t="shared" si="6"/>
        <v>1129584</v>
      </c>
      <c r="G81" s="38">
        <v>1</v>
      </c>
      <c r="H81" s="38" t="s">
        <v>2916</v>
      </c>
      <c r="I81" s="38" t="s">
        <v>2917</v>
      </c>
      <c r="J81" s="38" t="s">
        <v>3436</v>
      </c>
      <c r="K81" s="38" t="s">
        <v>3164</v>
      </c>
      <c r="L81" s="38" t="s">
        <v>3165</v>
      </c>
      <c r="M81" s="38" t="s">
        <v>3127</v>
      </c>
      <c r="N81" s="40" t="s">
        <v>2935</v>
      </c>
      <c r="O81" s="41">
        <v>31866</v>
      </c>
      <c r="P81" s="38">
        <f t="shared" ca="1" si="5"/>
        <v>39</v>
      </c>
      <c r="Q81" s="42">
        <v>279803805</v>
      </c>
      <c r="R81" s="41">
        <v>42992</v>
      </c>
      <c r="S81" s="41">
        <v>45706</v>
      </c>
      <c r="T81" s="38" t="s">
        <v>2940</v>
      </c>
      <c r="U81" s="40" t="s">
        <v>2839</v>
      </c>
      <c r="V81" s="40" t="s">
        <v>2923</v>
      </c>
      <c r="W81" s="40" t="s">
        <v>2923</v>
      </c>
      <c r="X81" s="40" t="s">
        <v>2923</v>
      </c>
      <c r="Y81" s="82" t="s">
        <v>2923</v>
      </c>
      <c r="Z81" s="40" t="s">
        <v>2923</v>
      </c>
      <c r="AA81" s="40" t="s">
        <v>2923</v>
      </c>
      <c r="AB81" s="79">
        <v>2005304007</v>
      </c>
      <c r="AC81" s="38"/>
    </row>
    <row r="82" spans="1:29" ht="90" customHeight="1" x14ac:dyDescent="0.2">
      <c r="A82" s="36" t="s">
        <v>3421</v>
      </c>
      <c r="B82" s="42">
        <v>81</v>
      </c>
      <c r="C82" s="38" t="s">
        <v>3166</v>
      </c>
      <c r="D82" s="38">
        <v>19</v>
      </c>
      <c r="E82" s="39">
        <v>665244</v>
      </c>
      <c r="F82" s="39">
        <f t="shared" si="6"/>
        <v>665244</v>
      </c>
      <c r="G82" s="38">
        <v>1</v>
      </c>
      <c r="H82" s="38" t="s">
        <v>2916</v>
      </c>
      <c r="I82" s="38" t="s">
        <v>2917</v>
      </c>
      <c r="J82" s="38" t="s">
        <v>3436</v>
      </c>
      <c r="K82" s="38"/>
      <c r="L82" s="38"/>
      <c r="M82" s="38"/>
      <c r="N82" s="40"/>
      <c r="O82" s="41"/>
      <c r="P82" s="38"/>
      <c r="Q82" s="42"/>
      <c r="R82" s="41"/>
      <c r="S82" s="41"/>
      <c r="T82" s="38" t="s">
        <v>2940</v>
      </c>
      <c r="U82" s="40"/>
      <c r="V82" s="40" t="s">
        <v>2923</v>
      </c>
      <c r="W82" s="40" t="s">
        <v>2923</v>
      </c>
      <c r="X82" s="40" t="s">
        <v>2923</v>
      </c>
      <c r="Y82" s="82" t="s">
        <v>2923</v>
      </c>
      <c r="Z82" s="40" t="s">
        <v>2923</v>
      </c>
      <c r="AA82" s="40" t="s">
        <v>2923</v>
      </c>
      <c r="AB82" s="40" t="s">
        <v>2923</v>
      </c>
      <c r="AC82" s="38"/>
    </row>
    <row r="83" spans="1:29" ht="90" customHeight="1" x14ac:dyDescent="0.2">
      <c r="A83" s="36" t="s">
        <v>3421</v>
      </c>
      <c r="B83" s="42">
        <v>82</v>
      </c>
      <c r="C83" s="38" t="s">
        <v>3167</v>
      </c>
      <c r="D83" s="38">
        <v>6</v>
      </c>
      <c r="E83" s="39">
        <v>239556</v>
      </c>
      <c r="F83" s="39">
        <f t="shared" si="6"/>
        <v>239556</v>
      </c>
      <c r="G83" s="38">
        <v>8</v>
      </c>
      <c r="H83" s="38" t="s">
        <v>2916</v>
      </c>
      <c r="I83" s="38" t="s">
        <v>2917</v>
      </c>
      <c r="J83" s="38" t="s">
        <v>3439</v>
      </c>
      <c r="K83" s="38" t="s">
        <v>3168</v>
      </c>
      <c r="L83" s="38" t="s">
        <v>3169</v>
      </c>
      <c r="M83" s="38" t="s">
        <v>3170</v>
      </c>
      <c r="N83" s="40" t="s">
        <v>2935</v>
      </c>
      <c r="O83" s="41">
        <v>23805</v>
      </c>
      <c r="P83" s="38">
        <f t="shared" ca="1" si="5"/>
        <v>61</v>
      </c>
      <c r="Q83" s="42">
        <v>166416151</v>
      </c>
      <c r="R83" s="41">
        <v>33623</v>
      </c>
      <c r="S83" s="41">
        <v>33623</v>
      </c>
      <c r="T83" s="38" t="s">
        <v>2940</v>
      </c>
      <c r="U83" s="40" t="s">
        <v>2891</v>
      </c>
      <c r="V83" s="40" t="s">
        <v>2923</v>
      </c>
      <c r="W83" s="40" t="s">
        <v>2923</v>
      </c>
      <c r="X83" s="40" t="s">
        <v>2923</v>
      </c>
      <c r="Y83" s="82" t="s">
        <v>2923</v>
      </c>
      <c r="Z83" s="40" t="s">
        <v>2923</v>
      </c>
      <c r="AA83" s="40" t="s">
        <v>2923</v>
      </c>
      <c r="AB83" s="79">
        <v>2002159415</v>
      </c>
      <c r="AC83" s="38"/>
    </row>
    <row r="84" spans="1:29" ht="90" customHeight="1" x14ac:dyDescent="0.2">
      <c r="A84" s="36" t="s">
        <v>3421</v>
      </c>
      <c r="B84" s="42">
        <v>83</v>
      </c>
      <c r="C84" s="38" t="s">
        <v>2929</v>
      </c>
      <c r="D84" s="38">
        <v>4</v>
      </c>
      <c r="E84" s="39">
        <v>205008</v>
      </c>
      <c r="F84" s="39">
        <f t="shared" si="6"/>
        <v>205008</v>
      </c>
      <c r="G84" s="38">
        <v>3</v>
      </c>
      <c r="H84" s="38" t="s">
        <v>2916</v>
      </c>
      <c r="I84" s="38" t="s">
        <v>2917</v>
      </c>
      <c r="J84" s="38" t="s">
        <v>3438</v>
      </c>
      <c r="K84" s="38" t="s">
        <v>3006</v>
      </c>
      <c r="L84" s="38" t="s">
        <v>3171</v>
      </c>
      <c r="M84" s="38" t="s">
        <v>3172</v>
      </c>
      <c r="N84" s="40" t="s">
        <v>2921</v>
      </c>
      <c r="O84" s="41">
        <v>33205</v>
      </c>
      <c r="P84" s="38">
        <f t="shared" ca="1" si="5"/>
        <v>35</v>
      </c>
      <c r="Q84" s="42">
        <v>486680238</v>
      </c>
      <c r="R84" s="41">
        <v>43522</v>
      </c>
      <c r="S84" s="41">
        <v>43522</v>
      </c>
      <c r="T84" s="38" t="s">
        <v>2940</v>
      </c>
      <c r="U84" s="40" t="s">
        <v>2855</v>
      </c>
      <c r="V84" s="40" t="s">
        <v>2923</v>
      </c>
      <c r="W84" s="40" t="s">
        <v>2923</v>
      </c>
      <c r="X84" s="40" t="s">
        <v>2923</v>
      </c>
      <c r="Y84" s="82" t="s">
        <v>2923</v>
      </c>
      <c r="Z84" s="40" t="s">
        <v>2923</v>
      </c>
      <c r="AA84" s="40" t="s">
        <v>2923</v>
      </c>
      <c r="AB84" s="79">
        <v>2005566910</v>
      </c>
      <c r="AC84" s="38"/>
    </row>
    <row r="85" spans="1:29" ht="90" customHeight="1" x14ac:dyDescent="0.2">
      <c r="A85" s="36" t="s">
        <v>3421</v>
      </c>
      <c r="B85" s="42">
        <v>84</v>
      </c>
      <c r="C85" s="38" t="s">
        <v>2930</v>
      </c>
      <c r="D85" s="38">
        <v>4</v>
      </c>
      <c r="E85" s="39">
        <f>16958*12</f>
        <v>203496</v>
      </c>
      <c r="F85" s="39">
        <f t="shared" si="6"/>
        <v>203496</v>
      </c>
      <c r="G85" s="38">
        <v>1</v>
      </c>
      <c r="H85" s="38" t="s">
        <v>2916</v>
      </c>
      <c r="I85" s="38" t="s">
        <v>2917</v>
      </c>
      <c r="J85" s="38" t="s">
        <v>3439</v>
      </c>
      <c r="K85" s="38" t="s">
        <v>3173</v>
      </c>
      <c r="L85" s="38" t="s">
        <v>3174</v>
      </c>
      <c r="M85" s="38" t="s">
        <v>3175</v>
      </c>
      <c r="N85" s="40" t="s">
        <v>2935</v>
      </c>
      <c r="O85" s="41">
        <v>26597</v>
      </c>
      <c r="P85" s="38">
        <f t="shared" ca="1" si="5"/>
        <v>53</v>
      </c>
      <c r="Q85" s="42">
        <v>258871631</v>
      </c>
      <c r="R85" s="41">
        <v>39142</v>
      </c>
      <c r="S85" s="41">
        <v>44959</v>
      </c>
      <c r="T85" s="38" t="s">
        <v>2940</v>
      </c>
      <c r="U85" s="40"/>
      <c r="V85" s="40" t="s">
        <v>2923</v>
      </c>
      <c r="W85" s="40" t="s">
        <v>2923</v>
      </c>
      <c r="X85" s="40" t="s">
        <v>2923</v>
      </c>
      <c r="Y85" s="82" t="s">
        <v>2923</v>
      </c>
      <c r="Z85" s="40" t="s">
        <v>2923</v>
      </c>
      <c r="AA85" s="40" t="s">
        <v>2923</v>
      </c>
      <c r="AB85" s="79">
        <v>2002159678</v>
      </c>
      <c r="AC85" s="38"/>
    </row>
    <row r="86" spans="1:29" ht="90" customHeight="1" x14ac:dyDescent="0.4">
      <c r="A86" s="83" t="s">
        <v>3422</v>
      </c>
      <c r="B86" s="87">
        <v>85</v>
      </c>
      <c r="C86" s="43" t="s">
        <v>3176</v>
      </c>
      <c r="D86" s="43">
        <v>8</v>
      </c>
      <c r="E86" s="85">
        <v>253152</v>
      </c>
      <c r="F86" s="85">
        <f t="shared" si="6"/>
        <v>253152</v>
      </c>
      <c r="G86" s="43">
        <v>4</v>
      </c>
      <c r="H86" s="43" t="s">
        <v>2916</v>
      </c>
      <c r="I86" s="43" t="s">
        <v>2917</v>
      </c>
      <c r="J86" s="43" t="s">
        <v>3439</v>
      </c>
      <c r="K86" s="43"/>
      <c r="L86" s="43"/>
      <c r="M86" s="43"/>
      <c r="N86" s="89"/>
      <c r="O86" s="44"/>
      <c r="P86" s="43"/>
      <c r="Q86" s="90"/>
      <c r="R86" s="44"/>
      <c r="S86" s="44"/>
      <c r="T86" s="43" t="s">
        <v>2940</v>
      </c>
      <c r="U86" s="89"/>
      <c r="V86" s="86" t="s">
        <v>2923</v>
      </c>
      <c r="W86" s="86" t="s">
        <v>2923</v>
      </c>
      <c r="X86" s="86" t="s">
        <v>2923</v>
      </c>
      <c r="Y86" s="88" t="s">
        <v>2923</v>
      </c>
      <c r="Z86" s="86" t="s">
        <v>2923</v>
      </c>
      <c r="AA86" s="86" t="s">
        <v>2923</v>
      </c>
      <c r="AB86" s="86" t="s">
        <v>2923</v>
      </c>
      <c r="AC86" s="38" t="s">
        <v>3440</v>
      </c>
    </row>
    <row r="87" spans="1:29" ht="90" customHeight="1" x14ac:dyDescent="0.2">
      <c r="A87" s="36" t="s">
        <v>3422</v>
      </c>
      <c r="B87" s="42">
        <v>86</v>
      </c>
      <c r="C87" s="38" t="s">
        <v>2949</v>
      </c>
      <c r="D87" s="38">
        <v>3</v>
      </c>
      <c r="E87" s="39">
        <v>193056</v>
      </c>
      <c r="F87" s="39">
        <f t="shared" si="6"/>
        <v>193056</v>
      </c>
      <c r="G87" s="38">
        <v>3</v>
      </c>
      <c r="H87" s="38" t="s">
        <v>2916</v>
      </c>
      <c r="I87" s="38" t="s">
        <v>2917</v>
      </c>
      <c r="J87" s="38" t="s">
        <v>3439</v>
      </c>
      <c r="K87" s="38" t="s">
        <v>3017</v>
      </c>
      <c r="L87" s="38" t="s">
        <v>3177</v>
      </c>
      <c r="M87" s="38" t="s">
        <v>3178</v>
      </c>
      <c r="N87" s="40" t="s">
        <v>2935</v>
      </c>
      <c r="O87" s="41">
        <v>26642</v>
      </c>
      <c r="P87" s="38">
        <f t="shared" ca="1" si="5"/>
        <v>53</v>
      </c>
      <c r="Q87" s="42">
        <v>499454550</v>
      </c>
      <c r="R87" s="41">
        <v>43528</v>
      </c>
      <c r="S87" s="41">
        <v>43528</v>
      </c>
      <c r="T87" s="38" t="s">
        <v>2940</v>
      </c>
      <c r="U87" s="40"/>
      <c r="V87" s="40" t="s">
        <v>2923</v>
      </c>
      <c r="W87" s="40" t="s">
        <v>2923</v>
      </c>
      <c r="X87" s="40" t="s">
        <v>2923</v>
      </c>
      <c r="Y87" s="82" t="s">
        <v>2923</v>
      </c>
      <c r="Z87" s="40" t="s">
        <v>2923</v>
      </c>
      <c r="AA87" s="40" t="s">
        <v>2923</v>
      </c>
      <c r="AB87" s="79">
        <v>2005591544</v>
      </c>
      <c r="AC87" s="38"/>
    </row>
    <row r="88" spans="1:29" ht="90" customHeight="1" x14ac:dyDescent="0.2">
      <c r="A88" s="36" t="s">
        <v>3422</v>
      </c>
      <c r="B88" s="42">
        <v>87</v>
      </c>
      <c r="C88" s="38" t="s">
        <v>2949</v>
      </c>
      <c r="D88" s="38">
        <v>3</v>
      </c>
      <c r="E88" s="39">
        <v>191652</v>
      </c>
      <c r="F88" s="39">
        <f t="shared" si="6"/>
        <v>191652</v>
      </c>
      <c r="G88" s="38">
        <v>2</v>
      </c>
      <c r="H88" s="38" t="s">
        <v>2916</v>
      </c>
      <c r="I88" s="38" t="s">
        <v>2917</v>
      </c>
      <c r="J88" s="38" t="s">
        <v>3439</v>
      </c>
      <c r="K88" s="38" t="s">
        <v>3179</v>
      </c>
      <c r="L88" s="38" t="s">
        <v>3180</v>
      </c>
      <c r="M88" s="38" t="s">
        <v>3181</v>
      </c>
      <c r="N88" s="40" t="s">
        <v>2935</v>
      </c>
      <c r="O88" s="41">
        <v>33583</v>
      </c>
      <c r="P88" s="38">
        <f t="shared" ca="1" si="5"/>
        <v>34</v>
      </c>
      <c r="Q88" s="42">
        <v>620158764</v>
      </c>
      <c r="R88" s="41">
        <v>44896</v>
      </c>
      <c r="S88" s="41">
        <v>44896</v>
      </c>
      <c r="T88" s="38" t="s">
        <v>2940</v>
      </c>
      <c r="U88" s="40"/>
      <c r="V88" s="40" t="s">
        <v>2923</v>
      </c>
      <c r="W88" s="40" t="s">
        <v>2923</v>
      </c>
      <c r="X88" s="40" t="s">
        <v>2923</v>
      </c>
      <c r="Y88" s="82" t="s">
        <v>2923</v>
      </c>
      <c r="Z88" s="40" t="s">
        <v>2923</v>
      </c>
      <c r="AA88" s="40" t="s">
        <v>2923</v>
      </c>
      <c r="AB88" s="79">
        <v>2006218456</v>
      </c>
      <c r="AC88" s="38"/>
    </row>
    <row r="89" spans="1:29" ht="90" customHeight="1" x14ac:dyDescent="0.2">
      <c r="A89" s="36" t="s">
        <v>3422</v>
      </c>
      <c r="B89" s="42">
        <v>88</v>
      </c>
      <c r="C89" s="38" t="s">
        <v>2949</v>
      </c>
      <c r="D89" s="38">
        <v>3</v>
      </c>
      <c r="E89" s="39">
        <v>200316</v>
      </c>
      <c r="F89" s="39">
        <f t="shared" si="6"/>
        <v>200316</v>
      </c>
      <c r="G89" s="38">
        <v>8</v>
      </c>
      <c r="H89" s="38" t="s">
        <v>2916</v>
      </c>
      <c r="I89" s="38" t="s">
        <v>2917</v>
      </c>
      <c r="J89" s="38" t="s">
        <v>3439</v>
      </c>
      <c r="K89" s="38" t="s">
        <v>3182</v>
      </c>
      <c r="L89" s="38" t="s">
        <v>3183</v>
      </c>
      <c r="M89" s="38" t="s">
        <v>3184</v>
      </c>
      <c r="N89" s="40" t="s">
        <v>2935</v>
      </c>
      <c r="O89" s="41">
        <v>28371</v>
      </c>
      <c r="P89" s="38">
        <f t="shared" ca="1" si="5"/>
        <v>48</v>
      </c>
      <c r="Q89" s="42">
        <v>184644236</v>
      </c>
      <c r="R89" s="41">
        <v>35401</v>
      </c>
      <c r="S89" s="41">
        <v>39448</v>
      </c>
      <c r="T89" s="38" t="s">
        <v>2940</v>
      </c>
      <c r="U89" s="40"/>
      <c r="V89" s="40" t="s">
        <v>2923</v>
      </c>
      <c r="W89" s="40" t="s">
        <v>2923</v>
      </c>
      <c r="X89" s="40" t="s">
        <v>2923</v>
      </c>
      <c r="Y89" s="82" t="s">
        <v>2923</v>
      </c>
      <c r="Z89" s="40" t="s">
        <v>2923</v>
      </c>
      <c r="AA89" s="40" t="s">
        <v>2923</v>
      </c>
      <c r="AB89" s="79">
        <v>2002159371</v>
      </c>
      <c r="AC89" s="38"/>
    </row>
    <row r="90" spans="1:29" ht="90" customHeight="1" x14ac:dyDescent="0.2">
      <c r="A90" s="36" t="s">
        <v>3422</v>
      </c>
      <c r="B90" s="42">
        <v>89</v>
      </c>
      <c r="C90" s="38" t="s">
        <v>3185</v>
      </c>
      <c r="D90" s="38">
        <v>3</v>
      </c>
      <c r="E90" s="39">
        <v>195948</v>
      </c>
      <c r="F90" s="39">
        <f t="shared" si="6"/>
        <v>195948</v>
      </c>
      <c r="G90" s="38">
        <v>5</v>
      </c>
      <c r="H90" s="38" t="s">
        <v>2916</v>
      </c>
      <c r="I90" s="38" t="s">
        <v>2917</v>
      </c>
      <c r="J90" s="38" t="s">
        <v>3439</v>
      </c>
      <c r="K90" s="38" t="s">
        <v>3186</v>
      </c>
      <c r="L90" s="38" t="s">
        <v>3187</v>
      </c>
      <c r="M90" s="38" t="s">
        <v>3188</v>
      </c>
      <c r="N90" s="40" t="s">
        <v>2935</v>
      </c>
      <c r="O90" s="41">
        <v>28790</v>
      </c>
      <c r="P90" s="38">
        <f t="shared" ca="1" si="5"/>
        <v>47</v>
      </c>
      <c r="Q90" s="42">
        <v>286152076</v>
      </c>
      <c r="R90" s="41">
        <v>41290</v>
      </c>
      <c r="S90" s="41">
        <v>41290</v>
      </c>
      <c r="T90" s="38" t="s">
        <v>2940</v>
      </c>
      <c r="U90" s="40"/>
      <c r="V90" s="40" t="s">
        <v>2923</v>
      </c>
      <c r="W90" s="40" t="s">
        <v>2923</v>
      </c>
      <c r="X90" s="40" t="s">
        <v>2923</v>
      </c>
      <c r="Y90" s="82" t="s">
        <v>2923</v>
      </c>
      <c r="Z90" s="40" t="s">
        <v>2923</v>
      </c>
      <c r="AA90" s="40" t="s">
        <v>2923</v>
      </c>
      <c r="AB90" s="79">
        <v>2004292316</v>
      </c>
      <c r="AC90" s="38"/>
    </row>
    <row r="91" spans="1:29" ht="90" customHeight="1" x14ac:dyDescent="0.2">
      <c r="A91" s="36" t="s">
        <v>3422</v>
      </c>
      <c r="B91" s="42">
        <v>90</v>
      </c>
      <c r="C91" s="38" t="s">
        <v>3185</v>
      </c>
      <c r="D91" s="38">
        <v>3</v>
      </c>
      <c r="E91" s="39">
        <v>200316</v>
      </c>
      <c r="F91" s="39">
        <f t="shared" si="6"/>
        <v>200316</v>
      </c>
      <c r="G91" s="38">
        <v>8</v>
      </c>
      <c r="H91" s="38" t="s">
        <v>2916</v>
      </c>
      <c r="I91" s="38" t="s">
        <v>2917</v>
      </c>
      <c r="J91" s="38" t="s">
        <v>3439</v>
      </c>
      <c r="K91" s="38" t="s">
        <v>3189</v>
      </c>
      <c r="L91" s="38" t="s">
        <v>3190</v>
      </c>
      <c r="M91" s="38" t="s">
        <v>3191</v>
      </c>
      <c r="N91" s="40" t="s">
        <v>2935</v>
      </c>
      <c r="O91" s="41">
        <v>23276</v>
      </c>
      <c r="P91" s="38">
        <f t="shared" ca="1" si="5"/>
        <v>62</v>
      </c>
      <c r="Q91" s="42">
        <v>905695254</v>
      </c>
      <c r="R91" s="41">
        <v>35801</v>
      </c>
      <c r="S91" s="41">
        <v>35801</v>
      </c>
      <c r="T91" s="38" t="s">
        <v>2940</v>
      </c>
      <c r="U91" s="40"/>
      <c r="V91" s="40" t="s">
        <v>2923</v>
      </c>
      <c r="W91" s="40" t="s">
        <v>2923</v>
      </c>
      <c r="X91" s="40" t="s">
        <v>2923</v>
      </c>
      <c r="Y91" s="82" t="s">
        <v>2923</v>
      </c>
      <c r="Z91" s="40" t="s">
        <v>2923</v>
      </c>
      <c r="AA91" s="40" t="s">
        <v>2923</v>
      </c>
      <c r="AB91" s="79">
        <v>2002159483</v>
      </c>
      <c r="AC91" s="38"/>
    </row>
    <row r="92" spans="1:29" ht="90" customHeight="1" x14ac:dyDescent="0.2">
      <c r="A92" s="36" t="s">
        <v>3422</v>
      </c>
      <c r="B92" s="42">
        <v>91</v>
      </c>
      <c r="C92" s="38" t="s">
        <v>2949</v>
      </c>
      <c r="D92" s="38">
        <v>3</v>
      </c>
      <c r="E92" s="39">
        <v>191652</v>
      </c>
      <c r="F92" s="39">
        <f>E92</f>
        <v>191652</v>
      </c>
      <c r="G92" s="38">
        <v>2</v>
      </c>
      <c r="H92" s="38" t="s">
        <v>2916</v>
      </c>
      <c r="I92" s="38" t="s">
        <v>2917</v>
      </c>
      <c r="J92" s="38" t="s">
        <v>3439</v>
      </c>
      <c r="K92" s="38" t="s">
        <v>3008</v>
      </c>
      <c r="L92" s="38" t="s">
        <v>3192</v>
      </c>
      <c r="M92" s="38" t="s">
        <v>3193</v>
      </c>
      <c r="N92" s="40" t="s">
        <v>2935</v>
      </c>
      <c r="O92" s="41">
        <v>28919</v>
      </c>
      <c r="P92" s="38">
        <f t="shared" ca="1" si="5"/>
        <v>47</v>
      </c>
      <c r="Q92" s="42">
        <v>728895898</v>
      </c>
      <c r="R92" s="41">
        <v>44291</v>
      </c>
      <c r="S92" s="41">
        <v>44291</v>
      </c>
      <c r="T92" s="38" t="s">
        <v>2940</v>
      </c>
      <c r="U92" s="40"/>
      <c r="V92" s="40" t="s">
        <v>2923</v>
      </c>
      <c r="W92" s="40" t="s">
        <v>2923</v>
      </c>
      <c r="X92" s="40" t="s">
        <v>2923</v>
      </c>
      <c r="Y92" s="82" t="s">
        <v>2923</v>
      </c>
      <c r="Z92" s="40" t="s">
        <v>2923</v>
      </c>
      <c r="AA92" s="40" t="s">
        <v>2923</v>
      </c>
      <c r="AB92" s="79">
        <v>2005915039</v>
      </c>
      <c r="AC92" s="38"/>
    </row>
    <row r="93" spans="1:29" ht="90" customHeight="1" x14ac:dyDescent="0.2">
      <c r="A93" s="36" t="s">
        <v>3422</v>
      </c>
      <c r="B93" s="42">
        <v>92</v>
      </c>
      <c r="C93" s="38" t="s">
        <v>2949</v>
      </c>
      <c r="D93" s="38">
        <v>3</v>
      </c>
      <c r="E93" s="39">
        <v>193056</v>
      </c>
      <c r="F93" s="39">
        <f>E93</f>
        <v>193056</v>
      </c>
      <c r="G93" s="38">
        <v>3</v>
      </c>
      <c r="H93" s="38" t="s">
        <v>2916</v>
      </c>
      <c r="I93" s="38" t="s">
        <v>2917</v>
      </c>
      <c r="J93" s="38" t="s">
        <v>3439</v>
      </c>
      <c r="K93" s="38" t="s">
        <v>3019</v>
      </c>
      <c r="L93" s="38" t="s">
        <v>3194</v>
      </c>
      <c r="M93" s="38" t="s">
        <v>3006</v>
      </c>
      <c r="N93" s="40" t="s">
        <v>2935</v>
      </c>
      <c r="O93" s="41">
        <v>28015</v>
      </c>
      <c r="P93" s="38">
        <f t="shared" ca="1" si="5"/>
        <v>49</v>
      </c>
      <c r="Q93" s="42">
        <v>490732334</v>
      </c>
      <c r="R93" s="41">
        <v>43528</v>
      </c>
      <c r="S93" s="41">
        <v>43528</v>
      </c>
      <c r="T93" s="38" t="s">
        <v>2940</v>
      </c>
      <c r="U93" s="40"/>
      <c r="V93" s="40" t="s">
        <v>2923</v>
      </c>
      <c r="W93" s="40" t="s">
        <v>2923</v>
      </c>
      <c r="X93" s="40" t="s">
        <v>2923</v>
      </c>
      <c r="Y93" s="82" t="s">
        <v>2923</v>
      </c>
      <c r="Z93" s="40" t="s">
        <v>2923</v>
      </c>
      <c r="AA93" s="40" t="s">
        <v>2923</v>
      </c>
      <c r="AB93" s="79">
        <v>2005591547</v>
      </c>
      <c r="AC93" s="38"/>
    </row>
    <row r="94" spans="1:29" ht="90" customHeight="1" x14ac:dyDescent="0.2">
      <c r="A94" s="36" t="s">
        <v>3423</v>
      </c>
      <c r="B94" s="42">
        <v>93</v>
      </c>
      <c r="C94" s="38" t="s">
        <v>2930</v>
      </c>
      <c r="D94" s="38">
        <v>4</v>
      </c>
      <c r="E94" s="39">
        <v>211128</v>
      </c>
      <c r="F94" s="39">
        <f t="shared" ref="F94:F106" si="7">E94</f>
        <v>211128</v>
      </c>
      <c r="G94" s="38">
        <v>7</v>
      </c>
      <c r="H94" s="38" t="s">
        <v>2916</v>
      </c>
      <c r="I94" s="38" t="s">
        <v>2917</v>
      </c>
      <c r="J94" s="38" t="s">
        <v>3439</v>
      </c>
      <c r="K94" s="38" t="s">
        <v>2978</v>
      </c>
      <c r="L94" s="38" t="s">
        <v>3195</v>
      </c>
      <c r="M94" s="38" t="s">
        <v>3034</v>
      </c>
      <c r="N94" s="40" t="s">
        <v>2935</v>
      </c>
      <c r="O94" s="41">
        <v>27614</v>
      </c>
      <c r="P94" s="38">
        <f t="shared" ca="1" si="5"/>
        <v>50</v>
      </c>
      <c r="Q94" s="42">
        <v>907720441</v>
      </c>
      <c r="R94" s="41">
        <v>39142</v>
      </c>
      <c r="S94" s="41">
        <v>39142</v>
      </c>
      <c r="T94" s="38" t="s">
        <v>2940</v>
      </c>
      <c r="U94" s="40"/>
      <c r="V94" s="40" t="s">
        <v>2923</v>
      </c>
      <c r="W94" s="40" t="s">
        <v>2923</v>
      </c>
      <c r="X94" s="40" t="s">
        <v>2923</v>
      </c>
      <c r="Y94" s="82" t="s">
        <v>2923</v>
      </c>
      <c r="Z94" s="40" t="s">
        <v>2923</v>
      </c>
      <c r="AA94" s="40" t="s">
        <v>2923</v>
      </c>
      <c r="AB94" s="79">
        <v>2002159101</v>
      </c>
      <c r="AC94" s="38"/>
    </row>
    <row r="95" spans="1:29" ht="90" customHeight="1" x14ac:dyDescent="0.2">
      <c r="A95" s="36" t="s">
        <v>3423</v>
      </c>
      <c r="B95" s="42">
        <v>94</v>
      </c>
      <c r="C95" s="38" t="s">
        <v>2949</v>
      </c>
      <c r="D95" s="38">
        <v>3</v>
      </c>
      <c r="E95" s="39">
        <v>198852</v>
      </c>
      <c r="F95" s="39">
        <f t="shared" si="7"/>
        <v>198852</v>
      </c>
      <c r="G95" s="38">
        <v>7</v>
      </c>
      <c r="H95" s="38" t="s">
        <v>2916</v>
      </c>
      <c r="I95" s="38" t="s">
        <v>2917</v>
      </c>
      <c r="J95" s="38" t="s">
        <v>3439</v>
      </c>
      <c r="K95" s="38" t="s">
        <v>3196</v>
      </c>
      <c r="L95" s="38" t="s">
        <v>3197</v>
      </c>
      <c r="M95" s="38" t="s">
        <v>3053</v>
      </c>
      <c r="N95" s="40" t="s">
        <v>2935</v>
      </c>
      <c r="O95" s="41">
        <v>25594</v>
      </c>
      <c r="P95" s="38">
        <f t="shared" ca="1" si="5"/>
        <v>56</v>
      </c>
      <c r="Q95" s="42">
        <v>257743337</v>
      </c>
      <c r="R95" s="41">
        <v>39142</v>
      </c>
      <c r="S95" s="41">
        <v>39264</v>
      </c>
      <c r="T95" s="38" t="s">
        <v>2940</v>
      </c>
      <c r="U95" s="40"/>
      <c r="V95" s="40" t="s">
        <v>2923</v>
      </c>
      <c r="W95" s="40" t="s">
        <v>2923</v>
      </c>
      <c r="X95" s="40" t="s">
        <v>2923</v>
      </c>
      <c r="Y95" s="82" t="s">
        <v>2923</v>
      </c>
      <c r="Z95" s="40" t="s">
        <v>2923</v>
      </c>
      <c r="AA95" s="40" t="s">
        <v>2923</v>
      </c>
      <c r="AB95" s="79">
        <v>2002159398</v>
      </c>
      <c r="AC95" s="38"/>
    </row>
    <row r="96" spans="1:29" ht="90" customHeight="1" x14ac:dyDescent="0.2">
      <c r="A96" s="36" t="s">
        <v>3423</v>
      </c>
      <c r="B96" s="42">
        <v>95</v>
      </c>
      <c r="C96" s="38" t="s">
        <v>2949</v>
      </c>
      <c r="D96" s="38">
        <v>3</v>
      </c>
      <c r="E96" s="39">
        <v>198852</v>
      </c>
      <c r="F96" s="39">
        <f t="shared" si="7"/>
        <v>198852</v>
      </c>
      <c r="G96" s="38">
        <v>7</v>
      </c>
      <c r="H96" s="38" t="s">
        <v>2916</v>
      </c>
      <c r="I96" s="38" t="s">
        <v>2917</v>
      </c>
      <c r="J96" s="38" t="s">
        <v>3439</v>
      </c>
      <c r="K96" s="38" t="s">
        <v>3198</v>
      </c>
      <c r="L96" s="38" t="s">
        <v>3199</v>
      </c>
      <c r="M96" s="38" t="s">
        <v>3200</v>
      </c>
      <c r="N96" s="40" t="s">
        <v>2935</v>
      </c>
      <c r="O96" s="41">
        <v>27322</v>
      </c>
      <c r="P96" s="38">
        <f t="shared" ca="1" si="5"/>
        <v>51</v>
      </c>
      <c r="Q96" s="42">
        <v>251763464</v>
      </c>
      <c r="R96" s="41">
        <v>39157</v>
      </c>
      <c r="S96" s="41">
        <v>39264</v>
      </c>
      <c r="T96" s="38" t="s">
        <v>2940</v>
      </c>
      <c r="U96" s="40"/>
      <c r="V96" s="40" t="s">
        <v>2923</v>
      </c>
      <c r="W96" s="40" t="s">
        <v>2923</v>
      </c>
      <c r="X96" s="40" t="s">
        <v>2923</v>
      </c>
      <c r="Y96" s="82" t="s">
        <v>2923</v>
      </c>
      <c r="Z96" s="40" t="s">
        <v>2923</v>
      </c>
      <c r="AA96" s="40" t="s">
        <v>2923</v>
      </c>
      <c r="AB96" s="79">
        <v>2002159444</v>
      </c>
      <c r="AC96" s="38"/>
    </row>
    <row r="97" spans="1:29" ht="90" customHeight="1" x14ac:dyDescent="0.2">
      <c r="A97" s="36" t="s">
        <v>3423</v>
      </c>
      <c r="B97" s="42">
        <v>96</v>
      </c>
      <c r="C97" s="38" t="s">
        <v>2949</v>
      </c>
      <c r="D97" s="38">
        <v>3</v>
      </c>
      <c r="E97" s="39">
        <v>197376</v>
      </c>
      <c r="F97" s="39">
        <f t="shared" si="7"/>
        <v>197376</v>
      </c>
      <c r="G97" s="38">
        <v>6</v>
      </c>
      <c r="H97" s="38" t="s">
        <v>2916</v>
      </c>
      <c r="I97" s="38" t="s">
        <v>2917</v>
      </c>
      <c r="J97" s="38" t="s">
        <v>3439</v>
      </c>
      <c r="K97" s="38" t="s">
        <v>3201</v>
      </c>
      <c r="L97" s="38" t="s">
        <v>3202</v>
      </c>
      <c r="M97" s="38" t="s">
        <v>3203</v>
      </c>
      <c r="N97" s="40" t="s">
        <v>2935</v>
      </c>
      <c r="O97" s="41">
        <v>24408</v>
      </c>
      <c r="P97" s="38">
        <f t="shared" ca="1" si="5"/>
        <v>59</v>
      </c>
      <c r="Q97" s="42">
        <v>188178855</v>
      </c>
      <c r="R97" s="41">
        <v>40254</v>
      </c>
      <c r="S97" s="41">
        <v>40254</v>
      </c>
      <c r="T97" s="38" t="s">
        <v>2940</v>
      </c>
      <c r="U97" s="40"/>
      <c r="V97" s="40" t="s">
        <v>2923</v>
      </c>
      <c r="W97" s="40" t="s">
        <v>2923</v>
      </c>
      <c r="X97" s="40" t="s">
        <v>2923</v>
      </c>
      <c r="Y97" s="82" t="s">
        <v>2923</v>
      </c>
      <c r="Z97" s="40" t="s">
        <v>2923</v>
      </c>
      <c r="AA97" s="40" t="s">
        <v>2923</v>
      </c>
      <c r="AB97" s="79">
        <v>2003975604</v>
      </c>
      <c r="AC97" s="38"/>
    </row>
    <row r="98" spans="1:29" ht="90" customHeight="1" x14ac:dyDescent="0.2">
      <c r="A98" s="36" t="s">
        <v>3424</v>
      </c>
      <c r="B98" s="42">
        <v>97</v>
      </c>
      <c r="C98" s="38" t="s">
        <v>3204</v>
      </c>
      <c r="D98" s="38">
        <v>4</v>
      </c>
      <c r="E98" s="39">
        <v>205008</v>
      </c>
      <c r="F98" s="39">
        <f t="shared" si="7"/>
        <v>205008</v>
      </c>
      <c r="G98" s="38">
        <v>3</v>
      </c>
      <c r="H98" s="38" t="s">
        <v>2916</v>
      </c>
      <c r="I98" s="38" t="s">
        <v>2917</v>
      </c>
      <c r="J98" s="38" t="s">
        <v>3439</v>
      </c>
      <c r="K98" s="38" t="s">
        <v>3186</v>
      </c>
      <c r="L98" s="38" t="s">
        <v>3205</v>
      </c>
      <c r="M98" s="38" t="s">
        <v>3067</v>
      </c>
      <c r="N98" s="40" t="s">
        <v>2935</v>
      </c>
      <c r="O98" s="41">
        <v>26058</v>
      </c>
      <c r="P98" s="38">
        <f t="shared" ca="1" si="5"/>
        <v>55</v>
      </c>
      <c r="Q98" s="42">
        <v>293449026</v>
      </c>
      <c r="R98" s="41">
        <v>43522</v>
      </c>
      <c r="S98" s="41">
        <v>43522</v>
      </c>
      <c r="T98" s="38" t="s">
        <v>2940</v>
      </c>
      <c r="U98" s="40"/>
      <c r="V98" s="40" t="s">
        <v>2923</v>
      </c>
      <c r="W98" s="40" t="s">
        <v>2923</v>
      </c>
      <c r="X98" s="40" t="s">
        <v>2923</v>
      </c>
      <c r="Y98" s="82" t="s">
        <v>2923</v>
      </c>
      <c r="Z98" s="40" t="s">
        <v>2923</v>
      </c>
      <c r="AA98" s="40" t="s">
        <v>2923</v>
      </c>
      <c r="AB98" s="79">
        <v>2005566921</v>
      </c>
      <c r="AC98" s="38"/>
    </row>
    <row r="99" spans="1:29" ht="90" customHeight="1" x14ac:dyDescent="0.2">
      <c r="A99" s="36" t="s">
        <v>3424</v>
      </c>
      <c r="B99" s="42">
        <v>98</v>
      </c>
      <c r="C99" s="38" t="s">
        <v>2949</v>
      </c>
      <c r="D99" s="38">
        <v>3</v>
      </c>
      <c r="E99" s="39">
        <f>15971*12</f>
        <v>191652</v>
      </c>
      <c r="F99" s="39">
        <f t="shared" si="7"/>
        <v>191652</v>
      </c>
      <c r="G99" s="38">
        <v>2</v>
      </c>
      <c r="H99" s="38" t="s">
        <v>2916</v>
      </c>
      <c r="I99" s="38" t="s">
        <v>2917</v>
      </c>
      <c r="J99" s="38" t="s">
        <v>3439</v>
      </c>
      <c r="K99" s="38" t="s">
        <v>3206</v>
      </c>
      <c r="L99" s="38" t="s">
        <v>3207</v>
      </c>
      <c r="M99" s="38" t="s">
        <v>3067</v>
      </c>
      <c r="N99" s="40" t="s">
        <v>2935</v>
      </c>
      <c r="O99" s="41">
        <v>26950</v>
      </c>
      <c r="P99" s="38">
        <f t="shared" ca="1" si="5"/>
        <v>52</v>
      </c>
      <c r="Q99" s="42">
        <v>438779827</v>
      </c>
      <c r="R99" s="41">
        <v>44805</v>
      </c>
      <c r="S99" s="41">
        <v>44805</v>
      </c>
      <c r="T99" s="38" t="s">
        <v>2940</v>
      </c>
      <c r="U99" s="40"/>
      <c r="V99" s="40" t="s">
        <v>2923</v>
      </c>
      <c r="W99" s="40" t="s">
        <v>2923</v>
      </c>
      <c r="X99" s="40" t="s">
        <v>2923</v>
      </c>
      <c r="Y99" s="82" t="s">
        <v>2923</v>
      </c>
      <c r="Z99" s="40" t="s">
        <v>2923</v>
      </c>
      <c r="AA99" s="40" t="s">
        <v>2923</v>
      </c>
      <c r="AB99" s="79">
        <v>2006284644</v>
      </c>
      <c r="AC99" s="38"/>
    </row>
    <row r="100" spans="1:29" ht="90" customHeight="1" x14ac:dyDescent="0.2">
      <c r="A100" s="36" t="s">
        <v>3425</v>
      </c>
      <c r="B100" s="42">
        <v>99</v>
      </c>
      <c r="C100" s="38" t="s">
        <v>3176</v>
      </c>
      <c r="D100" s="38">
        <v>8</v>
      </c>
      <c r="E100" s="39">
        <v>257376</v>
      </c>
      <c r="F100" s="39">
        <f>E100</f>
        <v>257376</v>
      </c>
      <c r="G100" s="38">
        <v>1</v>
      </c>
      <c r="H100" s="38" t="s">
        <v>2916</v>
      </c>
      <c r="I100" s="38" t="s">
        <v>2917</v>
      </c>
      <c r="J100" s="38" t="s">
        <v>3439</v>
      </c>
      <c r="K100" s="38" t="s">
        <v>3208</v>
      </c>
      <c r="L100" s="38" t="s">
        <v>3209</v>
      </c>
      <c r="M100" s="38" t="s">
        <v>2948</v>
      </c>
      <c r="N100" s="40" t="s">
        <v>2935</v>
      </c>
      <c r="O100" s="41">
        <v>33740</v>
      </c>
      <c r="P100" s="38">
        <f t="shared" ca="1" si="5"/>
        <v>34</v>
      </c>
      <c r="Q100" s="42">
        <v>741286458</v>
      </c>
      <c r="R100" s="41">
        <v>43647</v>
      </c>
      <c r="S100" s="41">
        <v>45609</v>
      </c>
      <c r="T100" s="38" t="s">
        <v>2940</v>
      </c>
      <c r="U100" s="40"/>
      <c r="V100" s="40" t="s">
        <v>2923</v>
      </c>
      <c r="W100" s="40" t="s">
        <v>2923</v>
      </c>
      <c r="X100" s="40" t="s">
        <v>2923</v>
      </c>
      <c r="Y100" s="82" t="s">
        <v>2923</v>
      </c>
      <c r="Z100" s="40" t="s">
        <v>2923</v>
      </c>
      <c r="AA100" s="40" t="s">
        <v>2923</v>
      </c>
      <c r="AB100" s="79">
        <v>2005665332</v>
      </c>
      <c r="AC100" s="38"/>
    </row>
    <row r="101" spans="1:29" ht="90" customHeight="1" x14ac:dyDescent="0.2">
      <c r="A101" s="36" t="s">
        <v>3425</v>
      </c>
      <c r="B101" s="42">
        <v>100</v>
      </c>
      <c r="C101" s="38" t="s">
        <v>2949</v>
      </c>
      <c r="D101" s="38">
        <v>3</v>
      </c>
      <c r="E101" s="39">
        <v>191652</v>
      </c>
      <c r="F101" s="39">
        <f t="shared" si="7"/>
        <v>191652</v>
      </c>
      <c r="G101" s="38">
        <v>2</v>
      </c>
      <c r="H101" s="38" t="s">
        <v>2916</v>
      </c>
      <c r="I101" s="38" t="s">
        <v>2917</v>
      </c>
      <c r="J101" s="38" t="s">
        <v>3439</v>
      </c>
      <c r="K101" s="38" t="s">
        <v>3210</v>
      </c>
      <c r="L101" s="38" t="s">
        <v>2999</v>
      </c>
      <c r="M101" s="38" t="s">
        <v>3211</v>
      </c>
      <c r="N101" s="40" t="s">
        <v>2935</v>
      </c>
      <c r="O101" s="41">
        <v>26950</v>
      </c>
      <c r="P101" s="38">
        <f t="shared" ca="1" si="5"/>
        <v>52</v>
      </c>
      <c r="Q101" s="42">
        <v>614334633</v>
      </c>
      <c r="R101" s="41">
        <v>44805</v>
      </c>
      <c r="S101" s="41">
        <v>44805</v>
      </c>
      <c r="T101" s="38" t="s">
        <v>2940</v>
      </c>
      <c r="U101" s="40"/>
      <c r="V101" s="40" t="s">
        <v>2923</v>
      </c>
      <c r="W101" s="40" t="s">
        <v>2923</v>
      </c>
      <c r="X101" s="40" t="s">
        <v>2923</v>
      </c>
      <c r="Y101" s="82" t="s">
        <v>2923</v>
      </c>
      <c r="Z101" s="40" t="s">
        <v>2923</v>
      </c>
      <c r="AA101" s="40" t="s">
        <v>2923</v>
      </c>
      <c r="AB101" s="79">
        <v>2006218458</v>
      </c>
      <c r="AC101" s="38"/>
    </row>
    <row r="102" spans="1:29" ht="90" customHeight="1" x14ac:dyDescent="0.2">
      <c r="A102" s="36" t="s">
        <v>3425</v>
      </c>
      <c r="B102" s="42">
        <v>101</v>
      </c>
      <c r="C102" s="38" t="s">
        <v>2949</v>
      </c>
      <c r="D102" s="38">
        <v>3</v>
      </c>
      <c r="E102" s="39">
        <v>195948</v>
      </c>
      <c r="F102" s="39">
        <f t="shared" si="7"/>
        <v>195948</v>
      </c>
      <c r="G102" s="38">
        <v>5</v>
      </c>
      <c r="H102" s="38" t="s">
        <v>2916</v>
      </c>
      <c r="I102" s="38" t="s">
        <v>2917</v>
      </c>
      <c r="J102" s="38" t="s">
        <v>3439</v>
      </c>
      <c r="K102" s="38" t="s">
        <v>3212</v>
      </c>
      <c r="L102" s="38" t="s">
        <v>3213</v>
      </c>
      <c r="M102" s="38" t="s">
        <v>3214</v>
      </c>
      <c r="N102" s="40" t="s">
        <v>2935</v>
      </c>
      <c r="O102" s="41">
        <v>22974</v>
      </c>
      <c r="P102" s="38">
        <f t="shared" ca="1" si="5"/>
        <v>63</v>
      </c>
      <c r="Q102" s="42">
        <v>112880354</v>
      </c>
      <c r="R102" s="41">
        <v>35478</v>
      </c>
      <c r="S102" s="41">
        <v>41290</v>
      </c>
      <c r="T102" s="38" t="s">
        <v>2940</v>
      </c>
      <c r="U102" s="40"/>
      <c r="V102" s="40" t="s">
        <v>2923</v>
      </c>
      <c r="W102" s="40" t="s">
        <v>2923</v>
      </c>
      <c r="X102" s="40" t="s">
        <v>2923</v>
      </c>
      <c r="Y102" s="82" t="s">
        <v>2923</v>
      </c>
      <c r="Z102" s="40" t="s">
        <v>2923</v>
      </c>
      <c r="AA102" s="40" t="s">
        <v>2923</v>
      </c>
      <c r="AB102" s="79">
        <v>2002159058</v>
      </c>
      <c r="AC102" s="38"/>
    </row>
    <row r="103" spans="1:29" ht="90" customHeight="1" x14ac:dyDescent="0.2">
      <c r="A103" s="36" t="s">
        <v>3425</v>
      </c>
      <c r="B103" s="42">
        <v>102</v>
      </c>
      <c r="C103" s="38" t="s">
        <v>2949</v>
      </c>
      <c r="D103" s="38">
        <v>3</v>
      </c>
      <c r="E103" s="39">
        <v>197376</v>
      </c>
      <c r="F103" s="39">
        <f>E103</f>
        <v>197376</v>
      </c>
      <c r="G103" s="38">
        <v>6</v>
      </c>
      <c r="H103" s="38" t="s">
        <v>2916</v>
      </c>
      <c r="I103" s="38" t="s">
        <v>2917</v>
      </c>
      <c r="J103" s="38" t="s">
        <v>3439</v>
      </c>
      <c r="K103" s="38" t="s">
        <v>3127</v>
      </c>
      <c r="L103" s="38" t="s">
        <v>3215</v>
      </c>
      <c r="M103" s="38" t="s">
        <v>3129</v>
      </c>
      <c r="N103" s="40" t="s">
        <v>2935</v>
      </c>
      <c r="O103" s="41">
        <v>27260</v>
      </c>
      <c r="P103" s="38">
        <f t="shared" ca="1" si="5"/>
        <v>51</v>
      </c>
      <c r="Q103" s="42">
        <v>292576842</v>
      </c>
      <c r="R103" s="41">
        <v>40254</v>
      </c>
      <c r="S103" s="41">
        <v>40254</v>
      </c>
      <c r="T103" s="38" t="s">
        <v>2940</v>
      </c>
      <c r="U103" s="40"/>
      <c r="V103" s="40" t="s">
        <v>2923</v>
      </c>
      <c r="W103" s="40" t="s">
        <v>2923</v>
      </c>
      <c r="X103" s="40" t="s">
        <v>2923</v>
      </c>
      <c r="Y103" s="82" t="s">
        <v>2923</v>
      </c>
      <c r="Z103" s="40" t="s">
        <v>2923</v>
      </c>
      <c r="AA103" s="40" t="s">
        <v>2923</v>
      </c>
      <c r="AB103" s="79">
        <v>2003975608</v>
      </c>
      <c r="AC103" s="38"/>
    </row>
    <row r="104" spans="1:29" ht="90" customHeight="1" x14ac:dyDescent="0.2">
      <c r="A104" s="36" t="s">
        <v>3425</v>
      </c>
      <c r="B104" s="87">
        <v>103</v>
      </c>
      <c r="C104" s="43" t="s">
        <v>2949</v>
      </c>
      <c r="D104" s="43">
        <v>3</v>
      </c>
      <c r="E104" s="85">
        <v>188892</v>
      </c>
      <c r="F104" s="85">
        <f t="shared" si="7"/>
        <v>188892</v>
      </c>
      <c r="G104" s="43">
        <v>1</v>
      </c>
      <c r="H104" s="43" t="s">
        <v>2916</v>
      </c>
      <c r="I104" s="43" t="s">
        <v>2917</v>
      </c>
      <c r="J104" s="43" t="s">
        <v>3439</v>
      </c>
      <c r="K104" s="43"/>
      <c r="L104" s="43"/>
      <c r="M104" s="43"/>
      <c r="N104" s="86"/>
      <c r="O104" s="44"/>
      <c r="P104" s="43"/>
      <c r="Q104" s="87"/>
      <c r="R104" s="44"/>
      <c r="S104" s="44"/>
      <c r="T104" s="43" t="s">
        <v>2940</v>
      </c>
      <c r="U104" s="86"/>
      <c r="V104" s="86" t="s">
        <v>2923</v>
      </c>
      <c r="W104" s="86" t="s">
        <v>2923</v>
      </c>
      <c r="X104" s="86" t="s">
        <v>2923</v>
      </c>
      <c r="Y104" s="88" t="s">
        <v>2923</v>
      </c>
      <c r="Z104" s="86" t="s">
        <v>2923</v>
      </c>
      <c r="AA104" s="86" t="s">
        <v>2923</v>
      </c>
      <c r="AB104" s="88" t="s">
        <v>2923</v>
      </c>
      <c r="AC104" s="38" t="s">
        <v>3440</v>
      </c>
    </row>
    <row r="105" spans="1:29" ht="90" customHeight="1" x14ac:dyDescent="0.2">
      <c r="A105" s="36" t="s">
        <v>3425</v>
      </c>
      <c r="B105" s="42">
        <v>104</v>
      </c>
      <c r="C105" s="38" t="s">
        <v>2949</v>
      </c>
      <c r="D105" s="38">
        <v>3</v>
      </c>
      <c r="E105" s="39">
        <v>190224</v>
      </c>
      <c r="F105" s="39">
        <f t="shared" si="7"/>
        <v>190224</v>
      </c>
      <c r="G105" s="38">
        <v>1</v>
      </c>
      <c r="H105" s="38" t="s">
        <v>2916</v>
      </c>
      <c r="I105" s="38" t="s">
        <v>2917</v>
      </c>
      <c r="J105" s="38" t="s">
        <v>3439</v>
      </c>
      <c r="K105" s="38" t="s">
        <v>2970</v>
      </c>
      <c r="L105" s="38" t="s">
        <v>3216</v>
      </c>
      <c r="M105" s="38" t="s">
        <v>3217</v>
      </c>
      <c r="N105" s="40" t="s">
        <v>2935</v>
      </c>
      <c r="O105" s="41">
        <v>34161</v>
      </c>
      <c r="P105" s="38">
        <f t="shared" ca="1" si="5"/>
        <v>33</v>
      </c>
      <c r="Q105" s="42">
        <v>739526178</v>
      </c>
      <c r="R105" s="41">
        <v>45020</v>
      </c>
      <c r="S105" s="41">
        <v>45020</v>
      </c>
      <c r="T105" s="38" t="s">
        <v>2940</v>
      </c>
      <c r="U105" s="49"/>
      <c r="V105" s="40" t="s">
        <v>2923</v>
      </c>
      <c r="W105" s="40" t="s">
        <v>2923</v>
      </c>
      <c r="X105" s="40" t="s">
        <v>2923</v>
      </c>
      <c r="Y105" s="82" t="s">
        <v>2923</v>
      </c>
      <c r="Z105" s="40" t="s">
        <v>2923</v>
      </c>
      <c r="AA105" s="40" t="s">
        <v>2923</v>
      </c>
      <c r="AB105" s="79">
        <v>2006336515</v>
      </c>
      <c r="AC105" s="38"/>
    </row>
    <row r="106" spans="1:29" ht="90" customHeight="1" x14ac:dyDescent="0.2">
      <c r="A106" s="36" t="s">
        <v>3426</v>
      </c>
      <c r="B106" s="42">
        <v>105</v>
      </c>
      <c r="C106" s="38" t="s">
        <v>3218</v>
      </c>
      <c r="D106" s="38">
        <v>11</v>
      </c>
      <c r="E106" s="39">
        <v>360288</v>
      </c>
      <c r="F106" s="39">
        <f t="shared" si="7"/>
        <v>360288</v>
      </c>
      <c r="G106" s="38">
        <v>1</v>
      </c>
      <c r="H106" s="38" t="s">
        <v>2916</v>
      </c>
      <c r="I106" s="38" t="s">
        <v>2917</v>
      </c>
      <c r="J106" s="38" t="s">
        <v>3436</v>
      </c>
      <c r="K106" s="38" t="s">
        <v>3219</v>
      </c>
      <c r="L106" s="38" t="s">
        <v>3220</v>
      </c>
      <c r="M106" s="38" t="s">
        <v>3221</v>
      </c>
      <c r="N106" s="40" t="s">
        <v>2935</v>
      </c>
      <c r="O106" s="41">
        <v>30285</v>
      </c>
      <c r="P106" s="38">
        <f t="shared" ca="1" si="5"/>
        <v>43</v>
      </c>
      <c r="Q106" s="42">
        <v>926337686</v>
      </c>
      <c r="R106" s="41">
        <v>43041</v>
      </c>
      <c r="S106" s="41">
        <v>45352</v>
      </c>
      <c r="T106" s="38" t="s">
        <v>2940</v>
      </c>
      <c r="U106" s="40"/>
      <c r="V106" s="40" t="s">
        <v>2923</v>
      </c>
      <c r="W106" s="40" t="s">
        <v>2923</v>
      </c>
      <c r="X106" s="40" t="s">
        <v>2923</v>
      </c>
      <c r="Y106" s="82" t="s">
        <v>2923</v>
      </c>
      <c r="Z106" s="40" t="s">
        <v>2923</v>
      </c>
      <c r="AA106" s="40" t="s">
        <v>2923</v>
      </c>
      <c r="AB106" s="79">
        <v>2005327664</v>
      </c>
      <c r="AC106" s="38"/>
    </row>
    <row r="107" spans="1:29" ht="90" customHeight="1" x14ac:dyDescent="0.2">
      <c r="A107" s="36" t="s">
        <v>3426</v>
      </c>
      <c r="B107" s="42">
        <v>106</v>
      </c>
      <c r="C107" s="38" t="s">
        <v>2930</v>
      </c>
      <c r="D107" s="38">
        <v>4</v>
      </c>
      <c r="E107" s="39">
        <v>209568</v>
      </c>
      <c r="F107" s="39">
        <f>E107</f>
        <v>209568</v>
      </c>
      <c r="G107" s="38">
        <v>6</v>
      </c>
      <c r="H107" s="38" t="s">
        <v>2916</v>
      </c>
      <c r="I107" s="38" t="s">
        <v>2917</v>
      </c>
      <c r="J107" s="38" t="s">
        <v>3439</v>
      </c>
      <c r="K107" s="38" t="s">
        <v>3145</v>
      </c>
      <c r="L107" s="38" t="s">
        <v>3222</v>
      </c>
      <c r="M107" s="38" t="s">
        <v>3223</v>
      </c>
      <c r="N107" s="40" t="s">
        <v>2935</v>
      </c>
      <c r="O107" s="41">
        <v>25490</v>
      </c>
      <c r="P107" s="38">
        <f t="shared" ca="1" si="5"/>
        <v>56</v>
      </c>
      <c r="Q107" s="42">
        <v>926336809</v>
      </c>
      <c r="R107" s="41">
        <v>40254</v>
      </c>
      <c r="S107" s="41">
        <v>40254</v>
      </c>
      <c r="T107" s="38" t="s">
        <v>2940</v>
      </c>
      <c r="U107" s="40"/>
      <c r="V107" s="40" t="s">
        <v>2923</v>
      </c>
      <c r="W107" s="40" t="s">
        <v>2923</v>
      </c>
      <c r="X107" s="40" t="s">
        <v>2923</v>
      </c>
      <c r="Y107" s="82" t="s">
        <v>2923</v>
      </c>
      <c r="Z107" s="40" t="s">
        <v>2923</v>
      </c>
      <c r="AA107" s="40" t="s">
        <v>2923</v>
      </c>
      <c r="AB107" s="79">
        <v>2003975606</v>
      </c>
      <c r="AC107" s="38"/>
    </row>
    <row r="108" spans="1:29" ht="90" customHeight="1" x14ac:dyDescent="0.2">
      <c r="A108" s="36" t="s">
        <v>3426</v>
      </c>
      <c r="B108" s="42">
        <v>107</v>
      </c>
      <c r="C108" s="38" t="s">
        <v>3224</v>
      </c>
      <c r="D108" s="38">
        <v>5</v>
      </c>
      <c r="E108" s="39">
        <v>222456</v>
      </c>
      <c r="F108" s="39">
        <f>E108</f>
        <v>222456</v>
      </c>
      <c r="G108" s="38">
        <v>6</v>
      </c>
      <c r="H108" s="38" t="s">
        <v>2916</v>
      </c>
      <c r="I108" s="38" t="s">
        <v>2917</v>
      </c>
      <c r="J108" s="38" t="s">
        <v>3439</v>
      </c>
      <c r="K108" s="38" t="s">
        <v>3225</v>
      </c>
      <c r="L108" s="38" t="s">
        <v>3226</v>
      </c>
      <c r="M108" s="38" t="s">
        <v>3227</v>
      </c>
      <c r="N108" s="40" t="s">
        <v>2935</v>
      </c>
      <c r="O108" s="41">
        <v>24840</v>
      </c>
      <c r="P108" s="38">
        <f t="shared" ca="1" si="5"/>
        <v>58</v>
      </c>
      <c r="Q108" s="42">
        <v>905695246</v>
      </c>
      <c r="R108" s="41">
        <v>35800</v>
      </c>
      <c r="S108" s="41">
        <v>39264</v>
      </c>
      <c r="T108" s="38" t="s">
        <v>2940</v>
      </c>
      <c r="U108" s="40"/>
      <c r="V108" s="40" t="s">
        <v>2923</v>
      </c>
      <c r="W108" s="40" t="s">
        <v>2923</v>
      </c>
      <c r="X108" s="40" t="s">
        <v>2923</v>
      </c>
      <c r="Y108" s="82" t="s">
        <v>2923</v>
      </c>
      <c r="Z108" s="40" t="s">
        <v>2923</v>
      </c>
      <c r="AA108" s="40" t="s">
        <v>2923</v>
      </c>
      <c r="AB108" s="79">
        <v>2002159256</v>
      </c>
      <c r="AC108" s="38"/>
    </row>
    <row r="109" spans="1:29" ht="90" customHeight="1" x14ac:dyDescent="0.2">
      <c r="A109" s="36" t="s">
        <v>3426</v>
      </c>
      <c r="B109" s="42">
        <v>108</v>
      </c>
      <c r="C109" s="38" t="s">
        <v>3228</v>
      </c>
      <c r="D109" s="38">
        <v>5</v>
      </c>
      <c r="E109" s="39">
        <v>216000</v>
      </c>
      <c r="F109" s="39">
        <f>E109</f>
        <v>216000</v>
      </c>
      <c r="G109" s="38">
        <v>2</v>
      </c>
      <c r="H109" s="38" t="s">
        <v>2916</v>
      </c>
      <c r="I109" s="38" t="s">
        <v>2917</v>
      </c>
      <c r="J109" s="38" t="s">
        <v>3439</v>
      </c>
      <c r="K109" s="38" t="s">
        <v>3229</v>
      </c>
      <c r="L109" s="38" t="s">
        <v>3230</v>
      </c>
      <c r="M109" s="38" t="s">
        <v>3231</v>
      </c>
      <c r="N109" s="40" t="s">
        <v>2935</v>
      </c>
      <c r="O109" s="41">
        <v>32259</v>
      </c>
      <c r="P109" s="38">
        <f t="shared" ca="1" si="5"/>
        <v>38</v>
      </c>
      <c r="Q109" s="42">
        <v>499456099</v>
      </c>
      <c r="R109" s="41">
        <v>44105</v>
      </c>
      <c r="S109" s="41">
        <v>44105</v>
      </c>
      <c r="T109" s="38" t="s">
        <v>2940</v>
      </c>
      <c r="U109" s="40"/>
      <c r="V109" s="40" t="s">
        <v>2923</v>
      </c>
      <c r="W109" s="40" t="s">
        <v>2923</v>
      </c>
      <c r="X109" s="40" t="s">
        <v>2923</v>
      </c>
      <c r="Y109" s="82" t="s">
        <v>2923</v>
      </c>
      <c r="Z109" s="40" t="s">
        <v>2923</v>
      </c>
      <c r="AA109" s="40" t="s">
        <v>2923</v>
      </c>
      <c r="AB109" s="79">
        <v>2005829510</v>
      </c>
      <c r="AC109" s="38"/>
    </row>
    <row r="110" spans="1:29" ht="90" customHeight="1" x14ac:dyDescent="0.2">
      <c r="A110" s="36" t="s">
        <v>3426</v>
      </c>
      <c r="B110" s="42">
        <v>109</v>
      </c>
      <c r="C110" s="38" t="s">
        <v>2949</v>
      </c>
      <c r="D110" s="38">
        <v>3</v>
      </c>
      <c r="E110" s="39">
        <v>190224</v>
      </c>
      <c r="F110" s="39">
        <f t="shared" ref="F110:F112" si="8">E110</f>
        <v>190224</v>
      </c>
      <c r="G110" s="38">
        <v>1</v>
      </c>
      <c r="H110" s="38" t="s">
        <v>2916</v>
      </c>
      <c r="I110" s="38" t="s">
        <v>2917</v>
      </c>
      <c r="J110" s="38" t="s">
        <v>3439</v>
      </c>
      <c r="K110" s="38" t="s">
        <v>3232</v>
      </c>
      <c r="L110" s="38" t="s">
        <v>3233</v>
      </c>
      <c r="M110" s="38" t="s">
        <v>3234</v>
      </c>
      <c r="N110" s="40" t="s">
        <v>2935</v>
      </c>
      <c r="O110" s="41">
        <v>30365</v>
      </c>
      <c r="P110" s="38">
        <f t="shared" ca="1" si="5"/>
        <v>43</v>
      </c>
      <c r="Q110" s="42">
        <v>750799080</v>
      </c>
      <c r="R110" s="41">
        <v>45432</v>
      </c>
      <c r="S110" s="41">
        <v>45432</v>
      </c>
      <c r="T110" s="38" t="s">
        <v>2940</v>
      </c>
      <c r="U110" s="40"/>
      <c r="V110" s="40" t="s">
        <v>2923</v>
      </c>
      <c r="W110" s="40" t="s">
        <v>2923</v>
      </c>
      <c r="X110" s="40" t="s">
        <v>2923</v>
      </c>
      <c r="Y110" s="82" t="s">
        <v>2923</v>
      </c>
      <c r="Z110" s="40" t="s">
        <v>2923</v>
      </c>
      <c r="AA110" s="40" t="s">
        <v>2923</v>
      </c>
      <c r="AB110" s="79">
        <v>2006484216</v>
      </c>
      <c r="AC110" s="38"/>
    </row>
    <row r="111" spans="1:29" ht="90" customHeight="1" x14ac:dyDescent="0.2">
      <c r="A111" s="36" t="s">
        <v>3426</v>
      </c>
      <c r="B111" s="42">
        <v>110</v>
      </c>
      <c r="C111" s="38" t="s">
        <v>2949</v>
      </c>
      <c r="D111" s="38">
        <v>3</v>
      </c>
      <c r="E111" s="39">
        <v>200316</v>
      </c>
      <c r="F111" s="39">
        <f t="shared" si="8"/>
        <v>200316</v>
      </c>
      <c r="G111" s="38">
        <v>8</v>
      </c>
      <c r="H111" s="38" t="s">
        <v>2916</v>
      </c>
      <c r="I111" s="38" t="s">
        <v>2917</v>
      </c>
      <c r="J111" s="38" t="s">
        <v>3439</v>
      </c>
      <c r="K111" s="38" t="s">
        <v>3122</v>
      </c>
      <c r="L111" s="38" t="s">
        <v>3235</v>
      </c>
      <c r="M111" s="38" t="s">
        <v>3236</v>
      </c>
      <c r="N111" s="40" t="s">
        <v>2935</v>
      </c>
      <c r="O111" s="41">
        <v>25246</v>
      </c>
      <c r="P111" s="38">
        <f t="shared" ca="1" si="5"/>
        <v>57</v>
      </c>
      <c r="Q111" s="42">
        <v>166416232</v>
      </c>
      <c r="R111" s="41">
        <v>33973</v>
      </c>
      <c r="S111" s="41">
        <v>39814</v>
      </c>
      <c r="T111" s="38" t="s">
        <v>2940</v>
      </c>
      <c r="U111" s="40"/>
      <c r="V111" s="40" t="s">
        <v>2923</v>
      </c>
      <c r="W111" s="40" t="s">
        <v>2923</v>
      </c>
      <c r="X111" s="40" t="s">
        <v>2923</v>
      </c>
      <c r="Y111" s="82" t="s">
        <v>2923</v>
      </c>
      <c r="Z111" s="40" t="s">
        <v>2923</v>
      </c>
      <c r="AA111" s="40" t="s">
        <v>2923</v>
      </c>
      <c r="AB111" s="79">
        <v>2002159395</v>
      </c>
      <c r="AC111" s="38"/>
    </row>
    <row r="112" spans="1:29" ht="90" customHeight="1" x14ac:dyDescent="0.2">
      <c r="A112" s="83" t="s">
        <v>3426</v>
      </c>
      <c r="B112" s="87">
        <v>111</v>
      </c>
      <c r="C112" s="43" t="s">
        <v>2949</v>
      </c>
      <c r="D112" s="43">
        <v>3</v>
      </c>
      <c r="E112" s="85">
        <f>15852*12</f>
        <v>190224</v>
      </c>
      <c r="F112" s="85">
        <f t="shared" si="8"/>
        <v>190224</v>
      </c>
      <c r="G112" s="43">
        <v>1</v>
      </c>
      <c r="H112" s="43" t="s">
        <v>2916</v>
      </c>
      <c r="I112" s="43" t="s">
        <v>2917</v>
      </c>
      <c r="J112" s="43" t="s">
        <v>3439</v>
      </c>
      <c r="K112" s="43"/>
      <c r="L112" s="43"/>
      <c r="M112" s="43"/>
      <c r="N112" s="86"/>
      <c r="O112" s="44"/>
      <c r="P112" s="43"/>
      <c r="Q112" s="87"/>
      <c r="R112" s="44"/>
      <c r="S112" s="44"/>
      <c r="T112" s="43" t="s">
        <v>2940</v>
      </c>
      <c r="U112" s="86"/>
      <c r="V112" s="86" t="s">
        <v>2923</v>
      </c>
      <c r="W112" s="86" t="s">
        <v>2923</v>
      </c>
      <c r="X112" s="86" t="s">
        <v>2923</v>
      </c>
      <c r="Y112" s="88" t="s">
        <v>2923</v>
      </c>
      <c r="Z112" s="86" t="s">
        <v>2923</v>
      </c>
      <c r="AA112" s="86" t="s">
        <v>2923</v>
      </c>
      <c r="AB112" s="86" t="s">
        <v>2923</v>
      </c>
      <c r="AC112" s="38" t="s">
        <v>3440</v>
      </c>
    </row>
    <row r="113" spans="1:29" ht="90" customHeight="1" x14ac:dyDescent="0.2">
      <c r="A113" s="36" t="s">
        <v>3426</v>
      </c>
      <c r="B113" s="42">
        <v>112</v>
      </c>
      <c r="C113" s="38" t="s">
        <v>2949</v>
      </c>
      <c r="D113" s="38">
        <v>3</v>
      </c>
      <c r="E113" s="39">
        <v>200316</v>
      </c>
      <c r="F113" s="39">
        <f>+E113</f>
        <v>200316</v>
      </c>
      <c r="G113" s="38">
        <v>8</v>
      </c>
      <c r="H113" s="38" t="s">
        <v>2916</v>
      </c>
      <c r="I113" s="38" t="s">
        <v>2917</v>
      </c>
      <c r="J113" s="38" t="s">
        <v>3439</v>
      </c>
      <c r="K113" s="38" t="s">
        <v>3051</v>
      </c>
      <c r="L113" s="38" t="s">
        <v>3237</v>
      </c>
      <c r="M113" s="38" t="s">
        <v>2952</v>
      </c>
      <c r="N113" s="40" t="s">
        <v>2935</v>
      </c>
      <c r="O113" s="41">
        <v>25787</v>
      </c>
      <c r="P113" s="38">
        <f t="shared" ca="1" si="5"/>
        <v>55</v>
      </c>
      <c r="Q113" s="42">
        <v>166419677</v>
      </c>
      <c r="R113" s="41">
        <v>34731</v>
      </c>
      <c r="S113" s="41">
        <v>39264</v>
      </c>
      <c r="T113" s="38" t="s">
        <v>2940</v>
      </c>
      <c r="U113" s="40"/>
      <c r="V113" s="40" t="s">
        <v>2923</v>
      </c>
      <c r="W113" s="40" t="s">
        <v>2923</v>
      </c>
      <c r="X113" s="40" t="s">
        <v>2923</v>
      </c>
      <c r="Y113" s="82" t="s">
        <v>2923</v>
      </c>
      <c r="Z113" s="40" t="s">
        <v>2923</v>
      </c>
      <c r="AA113" s="40" t="s">
        <v>2923</v>
      </c>
      <c r="AB113" s="79">
        <v>2002159087</v>
      </c>
      <c r="AC113" s="38"/>
    </row>
    <row r="114" spans="1:29" ht="90" customHeight="1" x14ac:dyDescent="0.2">
      <c r="A114" s="36" t="s">
        <v>3427</v>
      </c>
      <c r="B114" s="42">
        <v>113</v>
      </c>
      <c r="C114" s="38" t="s">
        <v>3238</v>
      </c>
      <c r="D114" s="38">
        <v>6</v>
      </c>
      <c r="E114" s="39">
        <v>236040</v>
      </c>
      <c r="F114" s="39">
        <f t="shared" ref="F114:F121" si="9">+E114</f>
        <v>236040</v>
      </c>
      <c r="G114" s="38">
        <v>6</v>
      </c>
      <c r="H114" s="38" t="s">
        <v>2916</v>
      </c>
      <c r="I114" s="38" t="s">
        <v>2917</v>
      </c>
      <c r="J114" s="38" t="s">
        <v>3439</v>
      </c>
      <c r="K114" s="38" t="s">
        <v>3239</v>
      </c>
      <c r="L114" s="38" t="s">
        <v>3240</v>
      </c>
      <c r="M114" s="38" t="s">
        <v>3071</v>
      </c>
      <c r="N114" s="40" t="s">
        <v>2935</v>
      </c>
      <c r="O114" s="41">
        <v>25943</v>
      </c>
      <c r="P114" s="38">
        <f t="shared" ca="1" si="5"/>
        <v>55</v>
      </c>
      <c r="Q114" s="42">
        <v>133665658</v>
      </c>
      <c r="R114" s="41">
        <v>40254</v>
      </c>
      <c r="S114" s="41">
        <v>42370</v>
      </c>
      <c r="T114" s="38" t="s">
        <v>2940</v>
      </c>
      <c r="U114" s="40"/>
      <c r="V114" s="40" t="s">
        <v>2923</v>
      </c>
      <c r="W114" s="40" t="s">
        <v>2923</v>
      </c>
      <c r="X114" s="40" t="s">
        <v>2923</v>
      </c>
      <c r="Y114" s="82" t="s">
        <v>2923</v>
      </c>
      <c r="Z114" s="40" t="s">
        <v>2923</v>
      </c>
      <c r="AA114" s="40" t="s">
        <v>2923</v>
      </c>
      <c r="AB114" s="79">
        <v>2003975605</v>
      </c>
      <c r="AC114" s="38"/>
    </row>
    <row r="115" spans="1:29" ht="90" customHeight="1" x14ac:dyDescent="0.2">
      <c r="A115" s="83" t="s">
        <v>3427</v>
      </c>
      <c r="B115" s="87">
        <v>114</v>
      </c>
      <c r="C115" s="43" t="s">
        <v>3238</v>
      </c>
      <c r="D115" s="43">
        <v>6</v>
      </c>
      <c r="E115" s="85">
        <f>18957*12</f>
        <v>227484</v>
      </c>
      <c r="F115" s="85">
        <f t="shared" si="9"/>
        <v>227484</v>
      </c>
      <c r="G115" s="43">
        <v>1</v>
      </c>
      <c r="H115" s="43" t="s">
        <v>2916</v>
      </c>
      <c r="I115" s="43" t="s">
        <v>2917</v>
      </c>
      <c r="J115" s="43" t="s">
        <v>3439</v>
      </c>
      <c r="K115" s="43"/>
      <c r="L115" s="43"/>
      <c r="M115" s="43"/>
      <c r="N115" s="86"/>
      <c r="O115" s="44"/>
      <c r="P115" s="43"/>
      <c r="Q115" s="87"/>
      <c r="R115" s="44"/>
      <c r="S115" s="44"/>
      <c r="T115" s="43" t="s">
        <v>2940</v>
      </c>
      <c r="U115" s="86"/>
      <c r="V115" s="86" t="s">
        <v>2923</v>
      </c>
      <c r="W115" s="86" t="s">
        <v>2923</v>
      </c>
      <c r="X115" s="86" t="s">
        <v>2923</v>
      </c>
      <c r="Y115" s="88" t="s">
        <v>2923</v>
      </c>
      <c r="Z115" s="86" t="s">
        <v>2923</v>
      </c>
      <c r="AA115" s="86" t="s">
        <v>2923</v>
      </c>
      <c r="AB115" s="86" t="s">
        <v>2923</v>
      </c>
      <c r="AC115" s="38" t="s">
        <v>3441</v>
      </c>
    </row>
    <row r="116" spans="1:29" ht="90" customHeight="1" x14ac:dyDescent="0.2">
      <c r="A116" s="83" t="s">
        <v>3427</v>
      </c>
      <c r="B116" s="87">
        <v>115</v>
      </c>
      <c r="C116" s="43" t="s">
        <v>3238</v>
      </c>
      <c r="D116" s="43">
        <v>6</v>
      </c>
      <c r="E116" s="85">
        <f>18957*12</f>
        <v>227484</v>
      </c>
      <c r="F116" s="85">
        <f t="shared" si="9"/>
        <v>227484</v>
      </c>
      <c r="G116" s="43">
        <v>1</v>
      </c>
      <c r="H116" s="43" t="s">
        <v>2916</v>
      </c>
      <c r="I116" s="43" t="s">
        <v>2917</v>
      </c>
      <c r="J116" s="43" t="s">
        <v>3439</v>
      </c>
      <c r="K116" s="43"/>
      <c r="L116" s="43"/>
      <c r="M116" s="43"/>
      <c r="N116" s="86"/>
      <c r="O116" s="44"/>
      <c r="P116" s="43"/>
      <c r="Q116" s="87"/>
      <c r="R116" s="44"/>
      <c r="S116" s="44"/>
      <c r="T116" s="43" t="s">
        <v>2940</v>
      </c>
      <c r="U116" s="86"/>
      <c r="V116" s="86" t="s">
        <v>2923</v>
      </c>
      <c r="W116" s="86" t="s">
        <v>2923</v>
      </c>
      <c r="X116" s="86" t="s">
        <v>2923</v>
      </c>
      <c r="Y116" s="88" t="s">
        <v>2923</v>
      </c>
      <c r="Z116" s="86" t="s">
        <v>2923</v>
      </c>
      <c r="AA116" s="86" t="s">
        <v>2923</v>
      </c>
      <c r="AB116" s="86" t="s">
        <v>2923</v>
      </c>
      <c r="AC116" s="38" t="s">
        <v>3441</v>
      </c>
    </row>
    <row r="117" spans="1:29" ht="90" customHeight="1" x14ac:dyDescent="0.2">
      <c r="A117" s="83" t="s">
        <v>3427</v>
      </c>
      <c r="B117" s="87">
        <v>116</v>
      </c>
      <c r="C117" s="43" t="s">
        <v>3241</v>
      </c>
      <c r="D117" s="43">
        <v>5</v>
      </c>
      <c r="E117" s="85">
        <f>17866*12</f>
        <v>214392</v>
      </c>
      <c r="F117" s="85">
        <f t="shared" si="9"/>
        <v>214392</v>
      </c>
      <c r="G117" s="43">
        <v>1</v>
      </c>
      <c r="H117" s="43" t="s">
        <v>2916</v>
      </c>
      <c r="I117" s="43" t="s">
        <v>2917</v>
      </c>
      <c r="J117" s="43" t="s">
        <v>3439</v>
      </c>
      <c r="K117" s="43"/>
      <c r="L117" s="43"/>
      <c r="M117" s="43"/>
      <c r="N117" s="86"/>
      <c r="O117" s="44"/>
      <c r="P117" s="43"/>
      <c r="Q117" s="87"/>
      <c r="R117" s="44"/>
      <c r="S117" s="44"/>
      <c r="T117" s="43" t="s">
        <v>2940</v>
      </c>
      <c r="U117" s="86"/>
      <c r="V117" s="86" t="s">
        <v>2923</v>
      </c>
      <c r="W117" s="86" t="s">
        <v>2923</v>
      </c>
      <c r="X117" s="86" t="s">
        <v>2923</v>
      </c>
      <c r="Y117" s="88" t="s">
        <v>2923</v>
      </c>
      <c r="Z117" s="86" t="s">
        <v>2923</v>
      </c>
      <c r="AA117" s="86" t="s">
        <v>2923</v>
      </c>
      <c r="AB117" s="86" t="s">
        <v>2923</v>
      </c>
      <c r="AC117" s="38" t="s">
        <v>3441</v>
      </c>
    </row>
    <row r="118" spans="1:29" ht="90" customHeight="1" x14ac:dyDescent="0.2">
      <c r="A118" s="83" t="s">
        <v>3427</v>
      </c>
      <c r="B118" s="87">
        <v>117</v>
      </c>
      <c r="C118" s="43" t="s">
        <v>3241</v>
      </c>
      <c r="D118" s="43">
        <v>5</v>
      </c>
      <c r="E118" s="85">
        <f>17866*12</f>
        <v>214392</v>
      </c>
      <c r="F118" s="85">
        <f t="shared" si="9"/>
        <v>214392</v>
      </c>
      <c r="G118" s="43">
        <v>1</v>
      </c>
      <c r="H118" s="43" t="s">
        <v>2916</v>
      </c>
      <c r="I118" s="43" t="s">
        <v>2917</v>
      </c>
      <c r="J118" s="43" t="s">
        <v>3439</v>
      </c>
      <c r="K118" s="43"/>
      <c r="L118" s="43"/>
      <c r="M118" s="43"/>
      <c r="N118" s="86"/>
      <c r="O118" s="44"/>
      <c r="P118" s="43"/>
      <c r="Q118" s="87"/>
      <c r="R118" s="44"/>
      <c r="S118" s="44"/>
      <c r="T118" s="43" t="s">
        <v>2940</v>
      </c>
      <c r="U118" s="86"/>
      <c r="V118" s="86" t="s">
        <v>2923</v>
      </c>
      <c r="W118" s="86" t="s">
        <v>2923</v>
      </c>
      <c r="X118" s="86" t="s">
        <v>2923</v>
      </c>
      <c r="Y118" s="88" t="s">
        <v>2923</v>
      </c>
      <c r="Z118" s="86" t="s">
        <v>2923</v>
      </c>
      <c r="AA118" s="86" t="s">
        <v>2923</v>
      </c>
      <c r="AB118" s="86" t="s">
        <v>2923</v>
      </c>
      <c r="AC118" s="38" t="s">
        <v>3441</v>
      </c>
    </row>
    <row r="119" spans="1:29" ht="90" customHeight="1" x14ac:dyDescent="0.2">
      <c r="A119" s="36" t="s">
        <v>3427</v>
      </c>
      <c r="B119" s="42">
        <v>118</v>
      </c>
      <c r="C119" s="38" t="s">
        <v>2949</v>
      </c>
      <c r="D119" s="38">
        <v>3</v>
      </c>
      <c r="E119" s="39">
        <v>200316</v>
      </c>
      <c r="F119" s="39">
        <f t="shared" si="9"/>
        <v>200316</v>
      </c>
      <c r="G119" s="38">
        <v>8</v>
      </c>
      <c r="H119" s="38" t="s">
        <v>2916</v>
      </c>
      <c r="I119" s="38" t="s">
        <v>2917</v>
      </c>
      <c r="J119" s="38" t="s">
        <v>3439</v>
      </c>
      <c r="K119" s="38" t="s">
        <v>3101</v>
      </c>
      <c r="L119" s="38" t="s">
        <v>3242</v>
      </c>
      <c r="M119" s="38" t="s">
        <v>3028</v>
      </c>
      <c r="N119" s="40" t="s">
        <v>2935</v>
      </c>
      <c r="O119" s="41">
        <v>24027</v>
      </c>
      <c r="P119" s="38">
        <f t="shared" ca="1" si="5"/>
        <v>60</v>
      </c>
      <c r="Q119" s="42">
        <v>905698303</v>
      </c>
      <c r="R119" s="41">
        <v>33977</v>
      </c>
      <c r="S119" s="41">
        <v>39264</v>
      </c>
      <c r="T119" s="38" t="s">
        <v>2940</v>
      </c>
      <c r="U119" s="40"/>
      <c r="V119" s="40" t="s">
        <v>2923</v>
      </c>
      <c r="W119" s="40" t="s">
        <v>2923</v>
      </c>
      <c r="X119" s="40" t="s">
        <v>2923</v>
      </c>
      <c r="Y119" s="82" t="s">
        <v>2923</v>
      </c>
      <c r="Z119" s="40" t="s">
        <v>2923</v>
      </c>
      <c r="AA119" s="40" t="s">
        <v>2923</v>
      </c>
      <c r="AB119" s="79">
        <v>2002159080</v>
      </c>
      <c r="AC119" s="38"/>
    </row>
    <row r="120" spans="1:29" ht="90" customHeight="1" x14ac:dyDescent="0.2">
      <c r="A120" s="36" t="s">
        <v>3427</v>
      </c>
      <c r="B120" s="42">
        <v>119</v>
      </c>
      <c r="C120" s="38" t="s">
        <v>3243</v>
      </c>
      <c r="D120" s="38">
        <v>4</v>
      </c>
      <c r="E120" s="39">
        <v>208044</v>
      </c>
      <c r="F120" s="39">
        <f t="shared" si="9"/>
        <v>208044</v>
      </c>
      <c r="G120" s="38">
        <v>5</v>
      </c>
      <c r="H120" s="38" t="s">
        <v>2916</v>
      </c>
      <c r="I120" s="38" t="s">
        <v>2917</v>
      </c>
      <c r="J120" s="38" t="s">
        <v>3439</v>
      </c>
      <c r="K120" s="38" t="s">
        <v>2937</v>
      </c>
      <c r="L120" s="38" t="s">
        <v>3202</v>
      </c>
      <c r="M120" s="38" t="s">
        <v>3244</v>
      </c>
      <c r="N120" s="40" t="s">
        <v>2935</v>
      </c>
      <c r="O120" s="41">
        <v>25466</v>
      </c>
      <c r="P120" s="38">
        <f t="shared" ca="1" si="5"/>
        <v>56</v>
      </c>
      <c r="Q120" s="42">
        <v>935826968</v>
      </c>
      <c r="R120" s="41">
        <v>40777</v>
      </c>
      <c r="S120" s="41">
        <v>40777</v>
      </c>
      <c r="T120" s="38" t="s">
        <v>2940</v>
      </c>
      <c r="U120" s="40"/>
      <c r="V120" s="40" t="s">
        <v>2923</v>
      </c>
      <c r="W120" s="40" t="s">
        <v>2923</v>
      </c>
      <c r="X120" s="40" t="s">
        <v>2923</v>
      </c>
      <c r="Y120" s="82" t="s">
        <v>2923</v>
      </c>
      <c r="Z120" s="40" t="s">
        <v>2923</v>
      </c>
      <c r="AA120" s="40" t="s">
        <v>2923</v>
      </c>
      <c r="AB120" s="79">
        <v>2004137635</v>
      </c>
      <c r="AC120" s="38"/>
    </row>
    <row r="121" spans="1:29" ht="90" customHeight="1" x14ac:dyDescent="0.2">
      <c r="A121" s="36" t="s">
        <v>3428</v>
      </c>
      <c r="B121" s="42">
        <v>120</v>
      </c>
      <c r="C121" s="38" t="s">
        <v>3245</v>
      </c>
      <c r="D121" s="38">
        <v>24</v>
      </c>
      <c r="E121" s="39">
        <v>1196652</v>
      </c>
      <c r="F121" s="39">
        <f t="shared" si="9"/>
        <v>1196652</v>
      </c>
      <c r="G121" s="38">
        <v>2</v>
      </c>
      <c r="H121" s="38" t="s">
        <v>2916</v>
      </c>
      <c r="I121" s="38" t="s">
        <v>2917</v>
      </c>
      <c r="J121" s="38" t="s">
        <v>3436</v>
      </c>
      <c r="K121" s="38" t="s">
        <v>3246</v>
      </c>
      <c r="L121" s="38" t="s">
        <v>3247</v>
      </c>
      <c r="M121" s="38" t="s">
        <v>3248</v>
      </c>
      <c r="N121" s="40" t="s">
        <v>2921</v>
      </c>
      <c r="O121" s="41">
        <v>29596</v>
      </c>
      <c r="P121" s="38">
        <f t="shared" ca="1" si="5"/>
        <v>45</v>
      </c>
      <c r="Q121" s="42">
        <v>430569944</v>
      </c>
      <c r="R121" s="41">
        <v>44781</v>
      </c>
      <c r="S121" s="41">
        <v>44781</v>
      </c>
      <c r="T121" s="38" t="s">
        <v>2940</v>
      </c>
      <c r="U121" s="40" t="s">
        <v>2839</v>
      </c>
      <c r="V121" s="40" t="s">
        <v>2923</v>
      </c>
      <c r="W121" s="40" t="s">
        <v>2923</v>
      </c>
      <c r="X121" s="40" t="s">
        <v>2923</v>
      </c>
      <c r="Y121" s="82" t="s">
        <v>2923</v>
      </c>
      <c r="Z121" s="40" t="s">
        <v>2923</v>
      </c>
      <c r="AA121" s="40" t="s">
        <v>2923</v>
      </c>
      <c r="AB121" s="79">
        <v>2004316396</v>
      </c>
      <c r="AC121" s="38"/>
    </row>
    <row r="122" spans="1:29" ht="90" customHeight="1" x14ac:dyDescent="0.2">
      <c r="A122" s="36" t="s">
        <v>3428</v>
      </c>
      <c r="B122" s="42">
        <v>121</v>
      </c>
      <c r="C122" s="38" t="s">
        <v>3249</v>
      </c>
      <c r="D122" s="38">
        <v>24</v>
      </c>
      <c r="E122" s="39">
        <v>1196652</v>
      </c>
      <c r="F122" s="39">
        <f>+E122</f>
        <v>1196652</v>
      </c>
      <c r="G122" s="38">
        <v>2</v>
      </c>
      <c r="H122" s="38" t="s">
        <v>2916</v>
      </c>
      <c r="I122" s="38" t="s">
        <v>2917</v>
      </c>
      <c r="J122" s="38" t="s">
        <v>3436</v>
      </c>
      <c r="K122" s="38" t="s">
        <v>3250</v>
      </c>
      <c r="L122" s="38" t="s">
        <v>3251</v>
      </c>
      <c r="M122" s="38" t="s">
        <v>3252</v>
      </c>
      <c r="N122" s="40" t="s">
        <v>2921</v>
      </c>
      <c r="O122" s="41">
        <v>31618</v>
      </c>
      <c r="P122" s="38">
        <f t="shared" ca="1" si="5"/>
        <v>40</v>
      </c>
      <c r="Q122" s="42">
        <v>275033194</v>
      </c>
      <c r="R122" s="41">
        <v>44747</v>
      </c>
      <c r="S122" s="41">
        <v>44747</v>
      </c>
      <c r="T122" s="38" t="s">
        <v>2940</v>
      </c>
      <c r="U122" s="40" t="s">
        <v>2839</v>
      </c>
      <c r="V122" s="40" t="s">
        <v>2923</v>
      </c>
      <c r="W122" s="40" t="s">
        <v>2923</v>
      </c>
      <c r="X122" s="40" t="s">
        <v>2923</v>
      </c>
      <c r="Y122" s="82" t="s">
        <v>2923</v>
      </c>
      <c r="Z122" s="40" t="s">
        <v>2923</v>
      </c>
      <c r="AA122" s="40" t="s">
        <v>2923</v>
      </c>
      <c r="AB122" s="79">
        <v>2003429727</v>
      </c>
      <c r="AC122" s="38"/>
    </row>
    <row r="123" spans="1:29" ht="90" customHeight="1" x14ac:dyDescent="0.2">
      <c r="A123" s="36" t="s">
        <v>3428</v>
      </c>
      <c r="B123" s="42">
        <v>122</v>
      </c>
      <c r="C123" s="38" t="s">
        <v>3253</v>
      </c>
      <c r="D123" s="38">
        <v>17</v>
      </c>
      <c r="E123" s="39">
        <v>608820</v>
      </c>
      <c r="F123" s="39">
        <f>E123</f>
        <v>608820</v>
      </c>
      <c r="G123" s="38">
        <v>8</v>
      </c>
      <c r="H123" s="38" t="s">
        <v>2916</v>
      </c>
      <c r="I123" s="38" t="s">
        <v>2917</v>
      </c>
      <c r="J123" s="38" t="s">
        <v>3439</v>
      </c>
      <c r="K123" s="38" t="s">
        <v>3107</v>
      </c>
      <c r="L123" s="38" t="s">
        <v>3254</v>
      </c>
      <c r="M123" s="38" t="s">
        <v>3255</v>
      </c>
      <c r="N123" s="40" t="s">
        <v>2921</v>
      </c>
      <c r="O123" s="41">
        <v>23809</v>
      </c>
      <c r="P123" s="38">
        <f t="shared" ca="1" si="5"/>
        <v>61</v>
      </c>
      <c r="Q123" s="42">
        <v>184637840</v>
      </c>
      <c r="R123" s="41">
        <v>35401</v>
      </c>
      <c r="S123" s="41">
        <v>35401</v>
      </c>
      <c r="T123" s="38" t="s">
        <v>2940</v>
      </c>
      <c r="U123" s="40" t="s">
        <v>2839</v>
      </c>
      <c r="V123" s="40" t="s">
        <v>2923</v>
      </c>
      <c r="W123" s="40" t="s">
        <v>3391</v>
      </c>
      <c r="X123" s="40" t="s">
        <v>2923</v>
      </c>
      <c r="Y123" s="82" t="s">
        <v>2923</v>
      </c>
      <c r="Z123" s="40" t="s">
        <v>2923</v>
      </c>
      <c r="AA123" s="40" t="s">
        <v>2923</v>
      </c>
      <c r="AB123" s="79">
        <v>2002158934</v>
      </c>
      <c r="AC123" s="38"/>
    </row>
    <row r="124" spans="1:29" ht="90" customHeight="1" x14ac:dyDescent="0.2">
      <c r="A124" s="36" t="s">
        <v>3428</v>
      </c>
      <c r="B124" s="42">
        <v>123</v>
      </c>
      <c r="C124" s="38" t="s">
        <v>3256</v>
      </c>
      <c r="D124" s="38">
        <v>15</v>
      </c>
      <c r="E124" s="39">
        <f>43996*12</f>
        <v>527952</v>
      </c>
      <c r="F124" s="39">
        <f>E124</f>
        <v>527952</v>
      </c>
      <c r="G124" s="38">
        <v>2</v>
      </c>
      <c r="H124" s="38" t="s">
        <v>2916</v>
      </c>
      <c r="I124" s="38" t="s">
        <v>2917</v>
      </c>
      <c r="J124" s="38" t="s">
        <v>3439</v>
      </c>
      <c r="K124" s="38" t="s">
        <v>3257</v>
      </c>
      <c r="L124" s="38" t="s">
        <v>3258</v>
      </c>
      <c r="M124" s="38" t="s">
        <v>3259</v>
      </c>
      <c r="N124" s="40" t="s">
        <v>2921</v>
      </c>
      <c r="O124" s="41">
        <v>31927</v>
      </c>
      <c r="P124" s="38">
        <f t="shared" ca="1" si="5"/>
        <v>39</v>
      </c>
      <c r="Q124" s="42">
        <v>730802019</v>
      </c>
      <c r="R124" s="41">
        <v>44958</v>
      </c>
      <c r="S124" s="41">
        <v>44958</v>
      </c>
      <c r="T124" s="38" t="s">
        <v>2940</v>
      </c>
      <c r="U124" s="40" t="s">
        <v>2839</v>
      </c>
      <c r="V124" s="40" t="s">
        <v>2923</v>
      </c>
      <c r="W124" s="40" t="s">
        <v>2923</v>
      </c>
      <c r="X124" s="40" t="s">
        <v>2923</v>
      </c>
      <c r="Y124" s="82" t="s">
        <v>2923</v>
      </c>
      <c r="Z124" s="40" t="s">
        <v>2923</v>
      </c>
      <c r="AA124" s="40" t="s">
        <v>2923</v>
      </c>
      <c r="AB124" s="79">
        <v>2006284619</v>
      </c>
      <c r="AC124" s="38"/>
    </row>
    <row r="125" spans="1:29" ht="90" customHeight="1" x14ac:dyDescent="0.2">
      <c r="A125" s="36" t="s">
        <v>3428</v>
      </c>
      <c r="B125" s="42">
        <v>124</v>
      </c>
      <c r="C125" s="38" t="s">
        <v>3256</v>
      </c>
      <c r="D125" s="38">
        <v>15</v>
      </c>
      <c r="E125" s="39">
        <v>538620</v>
      </c>
      <c r="F125" s="39">
        <f>E125</f>
        <v>538620</v>
      </c>
      <c r="G125" s="38">
        <v>4</v>
      </c>
      <c r="H125" s="38" t="s">
        <v>2916</v>
      </c>
      <c r="I125" s="38" t="s">
        <v>2917</v>
      </c>
      <c r="J125" s="38" t="s">
        <v>3439</v>
      </c>
      <c r="K125" s="38" t="s">
        <v>3260</v>
      </c>
      <c r="L125" s="38" t="s">
        <v>3261</v>
      </c>
      <c r="M125" s="38" t="s">
        <v>3262</v>
      </c>
      <c r="N125" s="40" t="s">
        <v>2935</v>
      </c>
      <c r="O125" s="41">
        <v>33092</v>
      </c>
      <c r="P125" s="38">
        <f t="shared" ca="1" si="5"/>
        <v>35</v>
      </c>
      <c r="Q125" s="42">
        <v>317292429</v>
      </c>
      <c r="R125" s="41">
        <v>41804</v>
      </c>
      <c r="S125" s="41">
        <v>41804</v>
      </c>
      <c r="T125" s="38" t="s">
        <v>2940</v>
      </c>
      <c r="U125" s="40" t="s">
        <v>2839</v>
      </c>
      <c r="V125" s="40" t="s">
        <v>2923</v>
      </c>
      <c r="W125" s="40" t="s">
        <v>2923</v>
      </c>
      <c r="X125" s="40" t="s">
        <v>2923</v>
      </c>
      <c r="Y125" s="82" t="s">
        <v>2923</v>
      </c>
      <c r="Z125" s="40" t="s">
        <v>2923</v>
      </c>
      <c r="AA125" s="40" t="s">
        <v>2923</v>
      </c>
      <c r="AB125" s="79">
        <v>2003424158</v>
      </c>
      <c r="AC125" s="38"/>
    </row>
    <row r="126" spans="1:29" ht="90" customHeight="1" x14ac:dyDescent="0.2">
      <c r="A126" s="36" t="s">
        <v>3428</v>
      </c>
      <c r="B126" s="42">
        <v>125</v>
      </c>
      <c r="C126" s="38" t="s">
        <v>3256</v>
      </c>
      <c r="D126" s="38">
        <v>15</v>
      </c>
      <c r="E126" s="39">
        <v>533256</v>
      </c>
      <c r="F126" s="39">
        <f>E126</f>
        <v>533256</v>
      </c>
      <c r="G126" s="38">
        <v>3</v>
      </c>
      <c r="H126" s="38" t="s">
        <v>2916</v>
      </c>
      <c r="I126" s="38" t="s">
        <v>2917</v>
      </c>
      <c r="J126" s="38" t="s">
        <v>3439</v>
      </c>
      <c r="K126" s="38" t="s">
        <v>3263</v>
      </c>
      <c r="L126" s="38" t="s">
        <v>3264</v>
      </c>
      <c r="M126" s="38" t="s">
        <v>3265</v>
      </c>
      <c r="N126" s="40" t="s">
        <v>2921</v>
      </c>
      <c r="O126" s="41">
        <v>34619</v>
      </c>
      <c r="P126" s="38">
        <f t="shared" ca="1" si="5"/>
        <v>31</v>
      </c>
      <c r="Q126" s="42">
        <v>326888248</v>
      </c>
      <c r="R126" s="41">
        <v>43206</v>
      </c>
      <c r="S126" s="41">
        <v>43206</v>
      </c>
      <c r="T126" s="38" t="s">
        <v>2940</v>
      </c>
      <c r="U126" s="40" t="s">
        <v>2839</v>
      </c>
      <c r="V126" s="40" t="s">
        <v>2923</v>
      </c>
      <c r="W126" s="40" t="s">
        <v>3391</v>
      </c>
      <c r="X126" s="40" t="s">
        <v>2923</v>
      </c>
      <c r="Y126" s="82" t="s">
        <v>2923</v>
      </c>
      <c r="Z126" s="40" t="s">
        <v>2923</v>
      </c>
      <c r="AA126" s="40" t="s">
        <v>2923</v>
      </c>
      <c r="AB126" s="79">
        <v>2005451713</v>
      </c>
      <c r="AC126" s="38"/>
    </row>
    <row r="127" spans="1:29" ht="90" customHeight="1" x14ac:dyDescent="0.2">
      <c r="A127" s="36" t="s">
        <v>3428</v>
      </c>
      <c r="B127" s="42">
        <v>126</v>
      </c>
      <c r="C127" s="38" t="s">
        <v>3266</v>
      </c>
      <c r="D127" s="38">
        <v>15</v>
      </c>
      <c r="E127" s="39">
        <v>517080</v>
      </c>
      <c r="F127" s="39">
        <f>E127</f>
        <v>517080</v>
      </c>
      <c r="G127" s="38">
        <v>8</v>
      </c>
      <c r="H127" s="38" t="s">
        <v>2916</v>
      </c>
      <c r="I127" s="38" t="s">
        <v>2917</v>
      </c>
      <c r="J127" s="38" t="s">
        <v>3436</v>
      </c>
      <c r="K127" s="38" t="s">
        <v>3267</v>
      </c>
      <c r="L127" s="38" t="s">
        <v>3268</v>
      </c>
      <c r="M127" s="38" t="s">
        <v>3269</v>
      </c>
      <c r="N127" s="40" t="s">
        <v>2921</v>
      </c>
      <c r="O127" s="41">
        <v>23508</v>
      </c>
      <c r="P127" s="38">
        <f t="shared" ca="1" si="5"/>
        <v>62</v>
      </c>
      <c r="Q127" s="42">
        <v>104694552</v>
      </c>
      <c r="R127" s="41">
        <v>37229</v>
      </c>
      <c r="S127" s="41">
        <v>37229</v>
      </c>
      <c r="T127" s="38" t="s">
        <v>2940</v>
      </c>
      <c r="U127" s="40" t="s">
        <v>2839</v>
      </c>
      <c r="V127" s="40" t="s">
        <v>2923</v>
      </c>
      <c r="W127" s="40" t="s">
        <v>2923</v>
      </c>
      <c r="X127" s="40" t="s">
        <v>2923</v>
      </c>
      <c r="Y127" s="82" t="s">
        <v>2923</v>
      </c>
      <c r="Z127" s="40" t="s">
        <v>2923</v>
      </c>
      <c r="AA127" s="40" t="s">
        <v>2923</v>
      </c>
      <c r="AB127" s="79">
        <v>2002159605</v>
      </c>
      <c r="AC127" s="38"/>
    </row>
    <row r="128" spans="1:29" ht="90" customHeight="1" x14ac:dyDescent="0.2">
      <c r="A128" s="36" t="s">
        <v>3428</v>
      </c>
      <c r="B128" s="42">
        <v>127</v>
      </c>
      <c r="C128" s="38" t="s">
        <v>3270</v>
      </c>
      <c r="D128" s="38">
        <v>13</v>
      </c>
      <c r="E128" s="39">
        <v>416796</v>
      </c>
      <c r="F128" s="39">
        <f t="shared" ref="F128:F132" si="10">E128</f>
        <v>416796</v>
      </c>
      <c r="G128" s="38">
        <v>2</v>
      </c>
      <c r="H128" s="38" t="s">
        <v>2916</v>
      </c>
      <c r="I128" s="38" t="s">
        <v>2917</v>
      </c>
      <c r="J128" s="38" t="s">
        <v>3439</v>
      </c>
      <c r="K128" s="38" t="s">
        <v>3271</v>
      </c>
      <c r="L128" s="38" t="s">
        <v>3272</v>
      </c>
      <c r="M128" s="38" t="s">
        <v>3273</v>
      </c>
      <c r="N128" s="40" t="s">
        <v>2921</v>
      </c>
      <c r="O128" s="41">
        <v>31393</v>
      </c>
      <c r="P128" s="38">
        <f t="shared" ca="1" si="5"/>
        <v>40</v>
      </c>
      <c r="Q128" s="42">
        <v>271588883</v>
      </c>
      <c r="R128" s="41">
        <v>40529</v>
      </c>
      <c r="S128" s="41">
        <v>44470</v>
      </c>
      <c r="T128" s="38" t="s">
        <v>2940</v>
      </c>
      <c r="U128" s="40" t="s">
        <v>2839</v>
      </c>
      <c r="V128" s="40" t="s">
        <v>2923</v>
      </c>
      <c r="W128" s="40" t="s">
        <v>2923</v>
      </c>
      <c r="X128" s="40" t="s">
        <v>2923</v>
      </c>
      <c r="Y128" s="82" t="s">
        <v>2923</v>
      </c>
      <c r="Z128" s="40" t="s">
        <v>2923</v>
      </c>
      <c r="AA128" s="40" t="s">
        <v>2923</v>
      </c>
      <c r="AB128" s="79">
        <v>2004066269</v>
      </c>
      <c r="AC128" s="38"/>
    </row>
    <row r="129" spans="1:29" ht="90" customHeight="1" x14ac:dyDescent="0.2">
      <c r="A129" s="36" t="s">
        <v>3428</v>
      </c>
      <c r="B129" s="42">
        <v>128</v>
      </c>
      <c r="C129" s="38" t="s">
        <v>3270</v>
      </c>
      <c r="D129" s="38">
        <v>13</v>
      </c>
      <c r="E129" s="39">
        <v>416796</v>
      </c>
      <c r="F129" s="39">
        <f t="shared" si="10"/>
        <v>416796</v>
      </c>
      <c r="G129" s="38">
        <v>2</v>
      </c>
      <c r="H129" s="38" t="s">
        <v>2916</v>
      </c>
      <c r="I129" s="38" t="s">
        <v>2917</v>
      </c>
      <c r="J129" s="38" t="s">
        <v>3439</v>
      </c>
      <c r="K129" s="38" t="s">
        <v>3265</v>
      </c>
      <c r="L129" s="38" t="s">
        <v>3274</v>
      </c>
      <c r="M129" s="38" t="s">
        <v>3275</v>
      </c>
      <c r="N129" s="40" t="s">
        <v>2921</v>
      </c>
      <c r="O129" s="41">
        <v>27030</v>
      </c>
      <c r="P129" s="38">
        <f t="shared" ca="1" si="5"/>
        <v>52</v>
      </c>
      <c r="Q129" s="42">
        <v>184635201</v>
      </c>
      <c r="R129" s="41">
        <v>35262</v>
      </c>
      <c r="S129" s="41">
        <v>44470</v>
      </c>
      <c r="T129" s="38" t="s">
        <v>2940</v>
      </c>
      <c r="U129" s="40" t="s">
        <v>2839</v>
      </c>
      <c r="V129" s="40" t="s">
        <v>2923</v>
      </c>
      <c r="W129" s="40" t="s">
        <v>3391</v>
      </c>
      <c r="X129" s="40" t="s">
        <v>2923</v>
      </c>
      <c r="Y129" s="82" t="s">
        <v>2923</v>
      </c>
      <c r="Z129" s="40" t="s">
        <v>2923</v>
      </c>
      <c r="AA129" s="40" t="s">
        <v>2923</v>
      </c>
      <c r="AB129" s="79">
        <v>2002158931</v>
      </c>
      <c r="AC129" s="38"/>
    </row>
    <row r="130" spans="1:29" ht="90" customHeight="1" x14ac:dyDescent="0.2">
      <c r="A130" s="36" t="s">
        <v>3428</v>
      </c>
      <c r="B130" s="42">
        <v>129</v>
      </c>
      <c r="C130" s="38" t="s">
        <v>3276</v>
      </c>
      <c r="D130" s="38">
        <v>11</v>
      </c>
      <c r="E130" s="39">
        <v>370668</v>
      </c>
      <c r="F130" s="39">
        <f t="shared" si="10"/>
        <v>370668</v>
      </c>
      <c r="G130" s="38">
        <v>4</v>
      </c>
      <c r="H130" s="38" t="s">
        <v>2916</v>
      </c>
      <c r="I130" s="38" t="s">
        <v>2917</v>
      </c>
      <c r="J130" s="38" t="s">
        <v>3439</v>
      </c>
      <c r="K130" s="38" t="s">
        <v>3277</v>
      </c>
      <c r="L130" s="38" t="s">
        <v>3278</v>
      </c>
      <c r="M130" s="38" t="s">
        <v>3279</v>
      </c>
      <c r="N130" s="40" t="s">
        <v>2921</v>
      </c>
      <c r="O130" s="41">
        <v>29035</v>
      </c>
      <c r="P130" s="38">
        <f t="shared" ca="1" si="5"/>
        <v>47</v>
      </c>
      <c r="Q130" s="42">
        <v>289772123</v>
      </c>
      <c r="R130" s="41">
        <v>42402</v>
      </c>
      <c r="S130" s="41">
        <v>42402</v>
      </c>
      <c r="T130" s="38" t="s">
        <v>2940</v>
      </c>
      <c r="U130" s="40" t="s">
        <v>2839</v>
      </c>
      <c r="V130" s="40" t="s">
        <v>2923</v>
      </c>
      <c r="W130" s="40" t="s">
        <v>2923</v>
      </c>
      <c r="X130" s="40" t="s">
        <v>2923</v>
      </c>
      <c r="Y130" s="82" t="s">
        <v>2923</v>
      </c>
      <c r="Z130" s="40" t="s">
        <v>2923</v>
      </c>
      <c r="AA130" s="40" t="s">
        <v>2923</v>
      </c>
      <c r="AB130" s="79">
        <v>2004052728</v>
      </c>
      <c r="AC130" s="38"/>
    </row>
    <row r="131" spans="1:29" ht="90" customHeight="1" x14ac:dyDescent="0.2">
      <c r="A131" s="36" t="s">
        <v>3428</v>
      </c>
      <c r="B131" s="42">
        <v>130</v>
      </c>
      <c r="C131" s="38" t="s">
        <v>3276</v>
      </c>
      <c r="D131" s="38">
        <v>11</v>
      </c>
      <c r="E131" s="39">
        <v>360288</v>
      </c>
      <c r="F131" s="39">
        <f t="shared" si="10"/>
        <v>360288</v>
      </c>
      <c r="G131" s="38">
        <v>1</v>
      </c>
      <c r="H131" s="38" t="s">
        <v>2916</v>
      </c>
      <c r="I131" s="38" t="s">
        <v>2917</v>
      </c>
      <c r="J131" s="38" t="s">
        <v>3439</v>
      </c>
      <c r="K131" s="38" t="s">
        <v>3063</v>
      </c>
      <c r="L131" s="38" t="s">
        <v>3280</v>
      </c>
      <c r="M131" s="38" t="s">
        <v>2920</v>
      </c>
      <c r="N131" s="40" t="s">
        <v>2921</v>
      </c>
      <c r="O131" s="41">
        <v>32330</v>
      </c>
      <c r="P131" s="38">
        <f t="shared" ref="P131:P173" ca="1" si="11">DATEDIF(O131,TODAY(),"Y")</f>
        <v>38</v>
      </c>
      <c r="Q131" s="42">
        <v>328496621</v>
      </c>
      <c r="R131" s="41">
        <v>45078</v>
      </c>
      <c r="S131" s="41">
        <v>45078</v>
      </c>
      <c r="T131" s="38" t="s">
        <v>2940</v>
      </c>
      <c r="U131" s="40" t="s">
        <v>2839</v>
      </c>
      <c r="V131" s="40" t="s">
        <v>2923</v>
      </c>
      <c r="W131" s="40" t="s">
        <v>2923</v>
      </c>
      <c r="X131" s="40" t="s">
        <v>2923</v>
      </c>
      <c r="Y131" s="82" t="s">
        <v>2923</v>
      </c>
      <c r="Z131" s="40" t="s">
        <v>2923</v>
      </c>
      <c r="AA131" s="40" t="s">
        <v>2923</v>
      </c>
      <c r="AB131" s="79">
        <v>2005710890</v>
      </c>
      <c r="AC131" s="38"/>
    </row>
    <row r="132" spans="1:29" ht="90" customHeight="1" x14ac:dyDescent="0.2">
      <c r="A132" s="36" t="s">
        <v>3428</v>
      </c>
      <c r="B132" s="42">
        <v>131</v>
      </c>
      <c r="C132" s="38" t="s">
        <v>3276</v>
      </c>
      <c r="D132" s="38">
        <v>11</v>
      </c>
      <c r="E132" s="39">
        <v>367164</v>
      </c>
      <c r="F132" s="39">
        <f t="shared" si="10"/>
        <v>367164</v>
      </c>
      <c r="G132" s="38">
        <v>3</v>
      </c>
      <c r="H132" s="38" t="s">
        <v>2916</v>
      </c>
      <c r="I132" s="38" t="s">
        <v>2917</v>
      </c>
      <c r="J132" s="38" t="s">
        <v>3439</v>
      </c>
      <c r="K132" s="38" t="s">
        <v>3281</v>
      </c>
      <c r="L132" s="38" t="s">
        <v>3282</v>
      </c>
      <c r="M132" s="38" t="s">
        <v>3283</v>
      </c>
      <c r="N132" s="40" t="s">
        <v>2921</v>
      </c>
      <c r="O132" s="41">
        <v>33544</v>
      </c>
      <c r="P132" s="38">
        <f t="shared" ca="1" si="11"/>
        <v>34</v>
      </c>
      <c r="Q132" s="42">
        <v>320721025</v>
      </c>
      <c r="R132" s="41">
        <v>43313</v>
      </c>
      <c r="S132" s="41">
        <v>43313</v>
      </c>
      <c r="T132" s="38" t="s">
        <v>2940</v>
      </c>
      <c r="U132" s="40" t="s">
        <v>2839</v>
      </c>
      <c r="V132" s="40" t="s">
        <v>2923</v>
      </c>
      <c r="W132" s="40" t="s">
        <v>2923</v>
      </c>
      <c r="X132" s="40" t="s">
        <v>2923</v>
      </c>
      <c r="Y132" s="82" t="s">
        <v>2923</v>
      </c>
      <c r="Z132" s="40" t="s">
        <v>2923</v>
      </c>
      <c r="AA132" s="40" t="s">
        <v>2923</v>
      </c>
      <c r="AB132" s="79">
        <v>2005451711</v>
      </c>
      <c r="AC132" s="38"/>
    </row>
    <row r="133" spans="1:29" ht="90" customHeight="1" x14ac:dyDescent="0.2">
      <c r="A133" s="36" t="s">
        <v>3428</v>
      </c>
      <c r="B133" s="42">
        <v>132</v>
      </c>
      <c r="C133" s="38" t="s">
        <v>3276</v>
      </c>
      <c r="D133" s="38">
        <v>11</v>
      </c>
      <c r="E133" s="39">
        <v>363696</v>
      </c>
      <c r="F133" s="39">
        <f t="shared" ref="F133:F139" si="12">E133</f>
        <v>363696</v>
      </c>
      <c r="G133" s="38">
        <v>2</v>
      </c>
      <c r="H133" s="38" t="s">
        <v>2916</v>
      </c>
      <c r="I133" s="38" t="s">
        <v>2917</v>
      </c>
      <c r="J133" s="38" t="s">
        <v>3439</v>
      </c>
      <c r="K133" s="38" t="s">
        <v>3284</v>
      </c>
      <c r="L133" s="38" t="s">
        <v>3285</v>
      </c>
      <c r="M133" s="38" t="s">
        <v>3286</v>
      </c>
      <c r="N133" s="40" t="s">
        <v>2921</v>
      </c>
      <c r="O133" s="41">
        <v>32197</v>
      </c>
      <c r="P133" s="38">
        <f t="shared" ca="1" si="11"/>
        <v>38</v>
      </c>
      <c r="Q133" s="42">
        <v>262246015</v>
      </c>
      <c r="R133" s="41">
        <v>44743</v>
      </c>
      <c r="S133" s="41">
        <v>44743</v>
      </c>
      <c r="T133" s="38" t="s">
        <v>2940</v>
      </c>
      <c r="U133" s="40" t="s">
        <v>2839</v>
      </c>
      <c r="V133" s="40" t="s">
        <v>2923</v>
      </c>
      <c r="W133" s="40" t="s">
        <v>2923</v>
      </c>
      <c r="X133" s="40" t="s">
        <v>2923</v>
      </c>
      <c r="Y133" s="82" t="s">
        <v>2923</v>
      </c>
      <c r="Z133" s="40" t="s">
        <v>2923</v>
      </c>
      <c r="AA133" s="40" t="s">
        <v>2923</v>
      </c>
      <c r="AB133" s="79">
        <v>2005710867</v>
      </c>
      <c r="AC133" s="38"/>
    </row>
    <row r="134" spans="1:29" ht="90" customHeight="1" x14ac:dyDescent="0.2">
      <c r="A134" s="36" t="s">
        <v>3428</v>
      </c>
      <c r="B134" s="42">
        <v>133</v>
      </c>
      <c r="C134" s="38" t="s">
        <v>3276</v>
      </c>
      <c r="D134" s="38">
        <v>11</v>
      </c>
      <c r="E134" s="39">
        <v>363696</v>
      </c>
      <c r="F134" s="39">
        <f t="shared" si="12"/>
        <v>363696</v>
      </c>
      <c r="G134" s="38">
        <v>2</v>
      </c>
      <c r="H134" s="38" t="s">
        <v>2916</v>
      </c>
      <c r="I134" s="38" t="s">
        <v>2917</v>
      </c>
      <c r="J134" s="38" t="s">
        <v>3439</v>
      </c>
      <c r="K134" s="38" t="s">
        <v>3287</v>
      </c>
      <c r="L134" s="38" t="s">
        <v>3288</v>
      </c>
      <c r="M134" s="38" t="s">
        <v>3289</v>
      </c>
      <c r="N134" s="40" t="s">
        <v>2921</v>
      </c>
      <c r="O134" s="41">
        <v>31539</v>
      </c>
      <c r="P134" s="38">
        <f t="shared" ca="1" si="11"/>
        <v>40</v>
      </c>
      <c r="Q134" s="42">
        <v>308995380</v>
      </c>
      <c r="R134" s="41">
        <v>44743</v>
      </c>
      <c r="S134" s="41">
        <v>44743</v>
      </c>
      <c r="T134" s="38" t="s">
        <v>2940</v>
      </c>
      <c r="U134" s="40" t="s">
        <v>2839</v>
      </c>
      <c r="V134" s="40" t="s">
        <v>2923</v>
      </c>
      <c r="W134" s="40" t="s">
        <v>2923</v>
      </c>
      <c r="X134" s="40" t="s">
        <v>2923</v>
      </c>
      <c r="Y134" s="82" t="s">
        <v>2923</v>
      </c>
      <c r="Z134" s="40" t="s">
        <v>2923</v>
      </c>
      <c r="AA134" s="40" t="s">
        <v>2923</v>
      </c>
      <c r="AB134" s="79">
        <v>2005710652</v>
      </c>
      <c r="AC134" s="38"/>
    </row>
    <row r="135" spans="1:29" ht="90" customHeight="1" x14ac:dyDescent="0.2">
      <c r="A135" s="36" t="s">
        <v>3428</v>
      </c>
      <c r="B135" s="42">
        <v>134</v>
      </c>
      <c r="C135" s="38" t="s">
        <v>3276</v>
      </c>
      <c r="D135" s="38">
        <v>11</v>
      </c>
      <c r="E135" s="39">
        <v>367164</v>
      </c>
      <c r="F135" s="39">
        <f t="shared" si="12"/>
        <v>367164</v>
      </c>
      <c r="G135" s="38">
        <v>3</v>
      </c>
      <c r="H135" s="38" t="s">
        <v>2916</v>
      </c>
      <c r="I135" s="38" t="s">
        <v>2917</v>
      </c>
      <c r="J135" s="38" t="s">
        <v>3439</v>
      </c>
      <c r="K135" s="38" t="s">
        <v>3290</v>
      </c>
      <c r="L135" s="38" t="s">
        <v>3291</v>
      </c>
      <c r="M135" s="38" t="s">
        <v>3292</v>
      </c>
      <c r="N135" s="40" t="s">
        <v>2921</v>
      </c>
      <c r="O135" s="41">
        <v>32603</v>
      </c>
      <c r="P135" s="38">
        <f t="shared" ca="1" si="11"/>
        <v>37</v>
      </c>
      <c r="Q135" s="42">
        <v>702294365</v>
      </c>
      <c r="R135" s="41">
        <v>43313</v>
      </c>
      <c r="S135" s="41">
        <v>43313</v>
      </c>
      <c r="T135" s="38" t="s">
        <v>2940</v>
      </c>
      <c r="U135" s="40" t="s">
        <v>2891</v>
      </c>
      <c r="V135" s="40" t="s">
        <v>2923</v>
      </c>
      <c r="W135" s="40" t="s">
        <v>2923</v>
      </c>
      <c r="X135" s="40" t="s">
        <v>2923</v>
      </c>
      <c r="Y135" s="82" t="s">
        <v>2923</v>
      </c>
      <c r="Z135" s="40" t="s">
        <v>2923</v>
      </c>
      <c r="AA135" s="40" t="s">
        <v>2923</v>
      </c>
      <c r="AB135" s="79">
        <v>2005451599</v>
      </c>
      <c r="AC135" s="38"/>
    </row>
    <row r="136" spans="1:29" ht="90" customHeight="1" x14ac:dyDescent="0.2">
      <c r="A136" s="36" t="s">
        <v>3428</v>
      </c>
      <c r="B136" s="42">
        <v>135</v>
      </c>
      <c r="C136" s="38" t="s">
        <v>3293</v>
      </c>
      <c r="D136" s="38">
        <v>6</v>
      </c>
      <c r="E136" s="39">
        <v>239556</v>
      </c>
      <c r="F136" s="39">
        <f t="shared" si="12"/>
        <v>239556</v>
      </c>
      <c r="G136" s="38">
        <v>8</v>
      </c>
      <c r="H136" s="38" t="s">
        <v>2916</v>
      </c>
      <c r="I136" s="38" t="s">
        <v>2917</v>
      </c>
      <c r="J136" s="38" t="s">
        <v>3439</v>
      </c>
      <c r="K136" s="38" t="s">
        <v>3051</v>
      </c>
      <c r="L136" s="38" t="s">
        <v>3294</v>
      </c>
      <c r="M136" s="38" t="s">
        <v>3295</v>
      </c>
      <c r="N136" s="40" t="s">
        <v>2921</v>
      </c>
      <c r="O136" s="41">
        <v>25918</v>
      </c>
      <c r="P136" s="38">
        <f t="shared" ca="1" si="11"/>
        <v>55</v>
      </c>
      <c r="Q136" s="42">
        <v>166416281</v>
      </c>
      <c r="R136" s="41">
        <v>34075</v>
      </c>
      <c r="S136" s="41">
        <v>34075</v>
      </c>
      <c r="T136" s="38" t="s">
        <v>2940</v>
      </c>
      <c r="U136" s="40" t="s">
        <v>2839</v>
      </c>
      <c r="V136" s="40" t="s">
        <v>2923</v>
      </c>
      <c r="W136" s="40" t="s">
        <v>2923</v>
      </c>
      <c r="X136" s="40" t="s">
        <v>2923</v>
      </c>
      <c r="Y136" s="82" t="s">
        <v>2923</v>
      </c>
      <c r="Z136" s="40" t="s">
        <v>2923</v>
      </c>
      <c r="AA136" s="40" t="s">
        <v>2923</v>
      </c>
      <c r="AB136" s="79">
        <v>2002159584</v>
      </c>
      <c r="AC136" s="38"/>
    </row>
    <row r="137" spans="1:29" ht="90" customHeight="1" x14ac:dyDescent="0.2">
      <c r="A137" s="36" t="s">
        <v>3428</v>
      </c>
      <c r="B137" s="42">
        <v>136</v>
      </c>
      <c r="C137" s="38" t="s">
        <v>3293</v>
      </c>
      <c r="D137" s="38">
        <v>6</v>
      </c>
      <c r="E137" s="39">
        <v>227484</v>
      </c>
      <c r="F137" s="39">
        <f t="shared" si="12"/>
        <v>227484</v>
      </c>
      <c r="G137" s="38">
        <v>1</v>
      </c>
      <c r="H137" s="38" t="s">
        <v>2916</v>
      </c>
      <c r="I137" s="38" t="s">
        <v>2917</v>
      </c>
      <c r="J137" s="38" t="s">
        <v>3439</v>
      </c>
      <c r="K137" s="38" t="s">
        <v>3296</v>
      </c>
      <c r="L137" s="38" t="s">
        <v>3297</v>
      </c>
      <c r="M137" s="38" t="s">
        <v>3159</v>
      </c>
      <c r="N137" s="40" t="s">
        <v>2921</v>
      </c>
      <c r="O137" s="41">
        <v>29013</v>
      </c>
      <c r="P137" s="38">
        <f t="shared" ca="1" si="11"/>
        <v>47</v>
      </c>
      <c r="Q137" s="42">
        <v>926335033</v>
      </c>
      <c r="R137" s="41">
        <v>45323</v>
      </c>
      <c r="S137" s="41">
        <v>45323</v>
      </c>
      <c r="T137" s="38" t="s">
        <v>2940</v>
      </c>
      <c r="U137" s="40" t="s">
        <v>2855</v>
      </c>
      <c r="V137" s="40" t="s">
        <v>2923</v>
      </c>
      <c r="W137" s="40" t="s">
        <v>2923</v>
      </c>
      <c r="X137" s="40" t="s">
        <v>2923</v>
      </c>
      <c r="Y137" s="82" t="s">
        <v>2923</v>
      </c>
      <c r="Z137" s="40" t="s">
        <v>2923</v>
      </c>
      <c r="AA137" s="40" t="s">
        <v>2923</v>
      </c>
      <c r="AB137" s="79">
        <v>2003517112</v>
      </c>
      <c r="AC137" s="38"/>
    </row>
    <row r="138" spans="1:29" ht="90" customHeight="1" x14ac:dyDescent="0.2">
      <c r="A138" s="36" t="s">
        <v>3428</v>
      </c>
      <c r="B138" s="42">
        <v>137</v>
      </c>
      <c r="C138" s="38" t="s">
        <v>3298</v>
      </c>
      <c r="D138" s="38">
        <v>4</v>
      </c>
      <c r="E138" s="39">
        <v>206508</v>
      </c>
      <c r="F138" s="39">
        <f t="shared" si="12"/>
        <v>206508</v>
      </c>
      <c r="G138" s="38">
        <v>4</v>
      </c>
      <c r="H138" s="38" t="s">
        <v>2916</v>
      </c>
      <c r="I138" s="38" t="s">
        <v>2917</v>
      </c>
      <c r="J138" s="38" t="s">
        <v>3439</v>
      </c>
      <c r="K138" s="38" t="s">
        <v>3299</v>
      </c>
      <c r="L138" s="38" t="s">
        <v>3300</v>
      </c>
      <c r="M138" s="38" t="s">
        <v>3227</v>
      </c>
      <c r="N138" s="40" t="s">
        <v>2921</v>
      </c>
      <c r="O138" s="41">
        <v>29400</v>
      </c>
      <c r="P138" s="38">
        <f t="shared" ca="1" si="11"/>
        <v>46</v>
      </c>
      <c r="Q138" s="42">
        <v>916203144</v>
      </c>
      <c r="R138" s="41">
        <v>39038</v>
      </c>
      <c r="S138" s="41">
        <v>41852</v>
      </c>
      <c r="T138" s="38" t="s">
        <v>2940</v>
      </c>
      <c r="U138" s="40" t="s">
        <v>2891</v>
      </c>
      <c r="V138" s="40" t="s">
        <v>2923</v>
      </c>
      <c r="W138" s="40" t="s">
        <v>2923</v>
      </c>
      <c r="X138" s="40" t="s">
        <v>2923</v>
      </c>
      <c r="Y138" s="82" t="s">
        <v>2923</v>
      </c>
      <c r="Z138" s="40" t="s">
        <v>2923</v>
      </c>
      <c r="AA138" s="40" t="s">
        <v>2923</v>
      </c>
      <c r="AB138" s="79">
        <v>2002159589</v>
      </c>
      <c r="AC138" s="38"/>
    </row>
    <row r="139" spans="1:29" ht="90" customHeight="1" x14ac:dyDescent="0.2">
      <c r="A139" s="36" t="s">
        <v>3428</v>
      </c>
      <c r="B139" s="42">
        <v>138</v>
      </c>
      <c r="C139" s="38" t="s">
        <v>3270</v>
      </c>
      <c r="D139" s="38">
        <v>13</v>
      </c>
      <c r="E139" s="39">
        <v>416796</v>
      </c>
      <c r="F139" s="39">
        <f t="shared" si="12"/>
        <v>416796</v>
      </c>
      <c r="G139" s="38">
        <v>1</v>
      </c>
      <c r="H139" s="38" t="s">
        <v>2916</v>
      </c>
      <c r="I139" s="38" t="s">
        <v>2917</v>
      </c>
      <c r="J139" s="38" t="s">
        <v>3439</v>
      </c>
      <c r="K139" s="38" t="s">
        <v>3301</v>
      </c>
      <c r="L139" s="38" t="s">
        <v>3302</v>
      </c>
      <c r="M139" s="38" t="s">
        <v>3303</v>
      </c>
      <c r="N139" s="40" t="s">
        <v>2921</v>
      </c>
      <c r="O139" s="41">
        <v>33736</v>
      </c>
      <c r="P139" s="38">
        <f t="shared" ca="1" si="11"/>
        <v>34</v>
      </c>
      <c r="Q139" s="42">
        <v>320721234</v>
      </c>
      <c r="R139" s="41">
        <v>42402</v>
      </c>
      <c r="S139" s="41">
        <v>44743</v>
      </c>
      <c r="T139" s="38" t="s">
        <v>2940</v>
      </c>
      <c r="U139" s="40" t="s">
        <v>2891</v>
      </c>
      <c r="V139" s="40" t="s">
        <v>2923</v>
      </c>
      <c r="W139" s="40" t="s">
        <v>2923</v>
      </c>
      <c r="X139" s="40" t="s">
        <v>2923</v>
      </c>
      <c r="Y139" s="82" t="s">
        <v>2923</v>
      </c>
      <c r="Z139" s="40" t="s">
        <v>2923</v>
      </c>
      <c r="AA139" s="40" t="s">
        <v>2923</v>
      </c>
      <c r="AB139" s="79">
        <v>2004911637</v>
      </c>
      <c r="AC139" s="38"/>
    </row>
    <row r="140" spans="1:29" ht="90" customHeight="1" x14ac:dyDescent="0.2">
      <c r="A140" s="36" t="s">
        <v>3428</v>
      </c>
      <c r="B140" s="42">
        <v>139</v>
      </c>
      <c r="C140" s="38" t="s">
        <v>3304</v>
      </c>
      <c r="D140" s="38">
        <v>4</v>
      </c>
      <c r="E140" s="39">
        <v>203496</v>
      </c>
      <c r="F140" s="39">
        <f t="shared" ref="F140:F143" si="13">E140</f>
        <v>203496</v>
      </c>
      <c r="G140" s="38">
        <v>2</v>
      </c>
      <c r="H140" s="38" t="s">
        <v>2916</v>
      </c>
      <c r="I140" s="38" t="s">
        <v>2917</v>
      </c>
      <c r="J140" s="38" t="s">
        <v>3439</v>
      </c>
      <c r="K140" s="38" t="s">
        <v>3015</v>
      </c>
      <c r="L140" s="38" t="s">
        <v>3305</v>
      </c>
      <c r="M140" s="38" t="s">
        <v>3306</v>
      </c>
      <c r="N140" s="40" t="s">
        <v>2935</v>
      </c>
      <c r="O140" s="41">
        <v>33106</v>
      </c>
      <c r="P140" s="38">
        <f t="shared" ca="1" si="11"/>
        <v>35</v>
      </c>
      <c r="Q140" s="42">
        <v>314024542</v>
      </c>
      <c r="R140" s="41">
        <v>44781</v>
      </c>
      <c r="S140" s="41">
        <v>44781</v>
      </c>
      <c r="T140" s="38" t="s">
        <v>2940</v>
      </c>
      <c r="U140" s="40" t="s">
        <v>2839</v>
      </c>
      <c r="V140" s="40" t="s">
        <v>2923</v>
      </c>
      <c r="W140" s="40" t="s">
        <v>2923</v>
      </c>
      <c r="X140" s="40" t="s">
        <v>2923</v>
      </c>
      <c r="Y140" s="82" t="s">
        <v>2923</v>
      </c>
      <c r="Z140" s="40" t="s">
        <v>2923</v>
      </c>
      <c r="AA140" s="40" t="s">
        <v>2923</v>
      </c>
      <c r="AB140" s="79">
        <v>2006203749</v>
      </c>
      <c r="AC140" s="38"/>
    </row>
    <row r="141" spans="1:29" ht="90" customHeight="1" x14ac:dyDescent="0.2">
      <c r="A141" s="36" t="s">
        <v>3428</v>
      </c>
      <c r="B141" s="42">
        <v>140</v>
      </c>
      <c r="C141" s="38" t="s">
        <v>2930</v>
      </c>
      <c r="D141" s="38">
        <v>4</v>
      </c>
      <c r="E141" s="39">
        <v>205008</v>
      </c>
      <c r="F141" s="39">
        <f t="shared" si="13"/>
        <v>205008</v>
      </c>
      <c r="G141" s="38">
        <v>3</v>
      </c>
      <c r="H141" s="38" t="s">
        <v>2916</v>
      </c>
      <c r="I141" s="38" t="s">
        <v>2917</v>
      </c>
      <c r="J141" s="38" t="s">
        <v>3439</v>
      </c>
      <c r="K141" s="38" t="s">
        <v>3307</v>
      </c>
      <c r="L141" s="38" t="s">
        <v>3308</v>
      </c>
      <c r="M141" s="38" t="s">
        <v>3057</v>
      </c>
      <c r="N141" s="40" t="s">
        <v>2935</v>
      </c>
      <c r="O141" s="41">
        <v>27794</v>
      </c>
      <c r="P141" s="38">
        <f t="shared" ca="1" si="11"/>
        <v>50</v>
      </c>
      <c r="Q141" s="42">
        <v>246642175</v>
      </c>
      <c r="R141" s="41">
        <v>40637</v>
      </c>
      <c r="S141" s="41">
        <v>43222</v>
      </c>
      <c r="T141" s="38" t="s">
        <v>2940</v>
      </c>
      <c r="U141" s="40" t="s">
        <v>2839</v>
      </c>
      <c r="V141" s="40" t="s">
        <v>2923</v>
      </c>
      <c r="W141" s="40" t="s">
        <v>2923</v>
      </c>
      <c r="X141" s="40" t="s">
        <v>2923</v>
      </c>
      <c r="Y141" s="82" t="s">
        <v>2923</v>
      </c>
      <c r="Z141" s="40" t="s">
        <v>2923</v>
      </c>
      <c r="AA141" s="40" t="s">
        <v>2923</v>
      </c>
      <c r="AB141" s="79">
        <v>2004102261</v>
      </c>
      <c r="AC141" s="38"/>
    </row>
    <row r="142" spans="1:29" ht="90" customHeight="1" x14ac:dyDescent="0.2">
      <c r="A142" s="36" t="s">
        <v>3428</v>
      </c>
      <c r="B142" s="42">
        <v>141</v>
      </c>
      <c r="C142" s="38" t="s">
        <v>3309</v>
      </c>
      <c r="D142" s="38">
        <v>15</v>
      </c>
      <c r="E142" s="39">
        <v>511944</v>
      </c>
      <c r="F142" s="39">
        <f t="shared" si="13"/>
        <v>511944</v>
      </c>
      <c r="G142" s="38">
        <v>7</v>
      </c>
      <c r="H142" s="38" t="s">
        <v>2916</v>
      </c>
      <c r="I142" s="38" t="s">
        <v>2917</v>
      </c>
      <c r="J142" s="38" t="s">
        <v>3439</v>
      </c>
      <c r="K142" s="38" t="s">
        <v>3310</v>
      </c>
      <c r="L142" s="38" t="s">
        <v>3311</v>
      </c>
      <c r="M142" s="38" t="s">
        <v>3312</v>
      </c>
      <c r="N142" s="40" t="s">
        <v>2921</v>
      </c>
      <c r="O142" s="41">
        <v>28516</v>
      </c>
      <c r="P142" s="38">
        <f t="shared" ca="1" si="11"/>
        <v>48</v>
      </c>
      <c r="Q142" s="42">
        <v>914034419</v>
      </c>
      <c r="R142" s="41">
        <v>39142</v>
      </c>
      <c r="S142" s="41">
        <v>39142</v>
      </c>
      <c r="T142" s="38" t="s">
        <v>2940</v>
      </c>
      <c r="U142" s="40" t="s">
        <v>2839</v>
      </c>
      <c r="V142" s="40" t="s">
        <v>2923</v>
      </c>
      <c r="W142" s="40" t="s">
        <v>2923</v>
      </c>
      <c r="X142" s="40" t="s">
        <v>2923</v>
      </c>
      <c r="Y142" s="82" t="s">
        <v>2923</v>
      </c>
      <c r="Z142" s="40" t="s">
        <v>2923</v>
      </c>
      <c r="AA142" s="40" t="s">
        <v>2923</v>
      </c>
      <c r="AB142" s="79">
        <v>2002159585</v>
      </c>
      <c r="AC142" s="38"/>
    </row>
    <row r="143" spans="1:29" ht="90" customHeight="1" x14ac:dyDescent="0.2">
      <c r="A143" s="36" t="s">
        <v>3428</v>
      </c>
      <c r="B143" s="42">
        <v>142</v>
      </c>
      <c r="C143" s="38" t="s">
        <v>2983</v>
      </c>
      <c r="D143" s="38">
        <v>6</v>
      </c>
      <c r="E143" s="39">
        <v>237792</v>
      </c>
      <c r="F143" s="39">
        <f t="shared" si="13"/>
        <v>237792</v>
      </c>
      <c r="G143" s="38">
        <v>7</v>
      </c>
      <c r="H143" s="38" t="s">
        <v>2916</v>
      </c>
      <c r="I143" s="38" t="s">
        <v>2917</v>
      </c>
      <c r="J143" s="38" t="s">
        <v>3439</v>
      </c>
      <c r="K143" s="38" t="s">
        <v>3313</v>
      </c>
      <c r="L143" s="38" t="s">
        <v>3314</v>
      </c>
      <c r="M143" s="38" t="s">
        <v>3315</v>
      </c>
      <c r="N143" s="40" t="s">
        <v>2921</v>
      </c>
      <c r="O143" s="41">
        <v>24889</v>
      </c>
      <c r="P143" s="38">
        <f t="shared" ca="1" si="11"/>
        <v>58</v>
      </c>
      <c r="Q143" s="42">
        <v>935094921</v>
      </c>
      <c r="R143" s="41">
        <v>39142</v>
      </c>
      <c r="S143" s="41">
        <v>39142</v>
      </c>
      <c r="T143" s="38" t="s">
        <v>2940</v>
      </c>
      <c r="U143" s="40" t="s">
        <v>2839</v>
      </c>
      <c r="V143" s="40" t="s">
        <v>2923</v>
      </c>
      <c r="W143" s="40" t="s">
        <v>3391</v>
      </c>
      <c r="X143" s="40" t="s">
        <v>2923</v>
      </c>
      <c r="Y143" s="82" t="s">
        <v>2923</v>
      </c>
      <c r="Z143" s="40" t="s">
        <v>2923</v>
      </c>
      <c r="AA143" s="40" t="s">
        <v>2923</v>
      </c>
      <c r="AB143" s="79">
        <v>2002158935</v>
      </c>
      <c r="AC143" s="38"/>
    </row>
    <row r="144" spans="1:29" ht="90" customHeight="1" x14ac:dyDescent="0.2">
      <c r="A144" s="36" t="s">
        <v>3429</v>
      </c>
      <c r="B144" s="42">
        <v>143</v>
      </c>
      <c r="C144" s="38" t="s">
        <v>3316</v>
      </c>
      <c r="D144" s="38">
        <v>14</v>
      </c>
      <c r="E144" s="39">
        <v>452988</v>
      </c>
      <c r="F144" s="39">
        <f>E144</f>
        <v>452988</v>
      </c>
      <c r="G144" s="38">
        <v>3</v>
      </c>
      <c r="H144" s="38" t="s">
        <v>2916</v>
      </c>
      <c r="I144" s="38" t="s">
        <v>2917</v>
      </c>
      <c r="J144" s="38" t="s">
        <v>3439</v>
      </c>
      <c r="K144" s="38" t="s">
        <v>3206</v>
      </c>
      <c r="L144" s="38" t="s">
        <v>3317</v>
      </c>
      <c r="M144" s="38" t="s">
        <v>3318</v>
      </c>
      <c r="N144" s="40" t="s">
        <v>2921</v>
      </c>
      <c r="O144" s="41">
        <v>31372</v>
      </c>
      <c r="P144" s="38">
        <f t="shared" ca="1" si="11"/>
        <v>40</v>
      </c>
      <c r="Q144" s="42">
        <v>146154157</v>
      </c>
      <c r="R144" s="41">
        <v>43362</v>
      </c>
      <c r="S144" s="41">
        <v>43362</v>
      </c>
      <c r="T144" s="38" t="s">
        <v>2940</v>
      </c>
      <c r="U144" s="40" t="s">
        <v>2839</v>
      </c>
      <c r="V144" s="40" t="s">
        <v>2923</v>
      </c>
      <c r="W144" s="40" t="s">
        <v>2923</v>
      </c>
      <c r="X144" s="40" t="s">
        <v>2923</v>
      </c>
      <c r="Y144" s="82" t="s">
        <v>2923</v>
      </c>
      <c r="Z144" s="40" t="s">
        <v>2923</v>
      </c>
      <c r="AA144" s="40" t="s">
        <v>2923</v>
      </c>
      <c r="AB144" s="79">
        <v>2003428644</v>
      </c>
      <c r="AC144" s="38"/>
    </row>
    <row r="145" spans="1:29" ht="90" customHeight="1" x14ac:dyDescent="0.2">
      <c r="A145" s="36" t="s">
        <v>3429</v>
      </c>
      <c r="B145" s="42">
        <v>144</v>
      </c>
      <c r="C145" s="38" t="s">
        <v>3304</v>
      </c>
      <c r="D145" s="38">
        <v>4</v>
      </c>
      <c r="E145" s="39">
        <v>206508</v>
      </c>
      <c r="F145" s="39">
        <f t="shared" ref="F145:F156" si="14">E145</f>
        <v>206508</v>
      </c>
      <c r="G145" s="38">
        <v>4</v>
      </c>
      <c r="H145" s="38" t="s">
        <v>2916</v>
      </c>
      <c r="I145" s="38" t="s">
        <v>2917</v>
      </c>
      <c r="J145" s="38" t="s">
        <v>3439</v>
      </c>
      <c r="K145" s="38" t="s">
        <v>2978</v>
      </c>
      <c r="L145" s="38" t="s">
        <v>3319</v>
      </c>
      <c r="M145" s="38" t="s">
        <v>3320</v>
      </c>
      <c r="N145" s="40" t="s">
        <v>2921</v>
      </c>
      <c r="O145" s="41">
        <v>28631</v>
      </c>
      <c r="P145" s="38">
        <f t="shared" ca="1" si="11"/>
        <v>48</v>
      </c>
      <c r="Q145" s="42">
        <v>404778307</v>
      </c>
      <c r="R145" s="41">
        <v>41913</v>
      </c>
      <c r="S145" s="41">
        <v>41913</v>
      </c>
      <c r="T145" s="38" t="s">
        <v>2940</v>
      </c>
      <c r="U145" s="40" t="s">
        <v>2839</v>
      </c>
      <c r="V145" s="40" t="s">
        <v>2923</v>
      </c>
      <c r="W145" s="40" t="s">
        <v>2923</v>
      </c>
      <c r="X145" s="40" t="s">
        <v>2923</v>
      </c>
      <c r="Y145" s="82" t="s">
        <v>2923</v>
      </c>
      <c r="Z145" s="40" t="s">
        <v>2923</v>
      </c>
      <c r="AA145" s="40" t="s">
        <v>2923</v>
      </c>
      <c r="AB145" s="79">
        <v>2004069879</v>
      </c>
      <c r="AC145" s="38"/>
    </row>
    <row r="146" spans="1:29" ht="90" customHeight="1" x14ac:dyDescent="0.2">
      <c r="A146" s="36" t="s">
        <v>3430</v>
      </c>
      <c r="B146" s="42">
        <v>145</v>
      </c>
      <c r="C146" s="38" t="s">
        <v>3321</v>
      </c>
      <c r="D146" s="38">
        <v>24</v>
      </c>
      <c r="E146" s="39">
        <v>1178220</v>
      </c>
      <c r="F146" s="39">
        <f t="shared" si="14"/>
        <v>1178220</v>
      </c>
      <c r="G146" s="38">
        <v>1</v>
      </c>
      <c r="H146" s="38" t="s">
        <v>2916</v>
      </c>
      <c r="I146" s="38" t="s">
        <v>2917</v>
      </c>
      <c r="J146" s="38" t="s">
        <v>3436</v>
      </c>
      <c r="K146" s="38" t="s">
        <v>3322</v>
      </c>
      <c r="L146" s="38" t="s">
        <v>3323</v>
      </c>
      <c r="M146" s="38" t="s">
        <v>3006</v>
      </c>
      <c r="N146" s="40" t="s">
        <v>2921</v>
      </c>
      <c r="O146" s="41">
        <v>29396</v>
      </c>
      <c r="P146" s="38">
        <f t="shared" ca="1" si="11"/>
        <v>46</v>
      </c>
      <c r="Q146" s="42">
        <v>234277255</v>
      </c>
      <c r="R146" s="41">
        <v>42552</v>
      </c>
      <c r="S146" s="41">
        <v>45839</v>
      </c>
      <c r="T146" s="38" t="s">
        <v>2940</v>
      </c>
      <c r="U146" s="40" t="s">
        <v>2839</v>
      </c>
      <c r="V146" s="40" t="s">
        <v>2923</v>
      </c>
      <c r="W146" s="40" t="s">
        <v>2923</v>
      </c>
      <c r="X146" s="40" t="s">
        <v>2923</v>
      </c>
      <c r="Y146" s="82" t="s">
        <v>2923</v>
      </c>
      <c r="Z146" s="40" t="s">
        <v>2923</v>
      </c>
      <c r="AA146" s="40" t="s">
        <v>2923</v>
      </c>
      <c r="AB146" s="79">
        <v>2005106251</v>
      </c>
      <c r="AC146" s="38"/>
    </row>
    <row r="147" spans="1:29" ht="90" customHeight="1" x14ac:dyDescent="0.2">
      <c r="A147" s="36" t="s">
        <v>3430</v>
      </c>
      <c r="B147" s="42">
        <v>146</v>
      </c>
      <c r="C147" s="38" t="s">
        <v>3324</v>
      </c>
      <c r="D147" s="38">
        <v>14</v>
      </c>
      <c r="E147" s="50">
        <v>448608</v>
      </c>
      <c r="F147" s="39">
        <f t="shared" si="14"/>
        <v>448608</v>
      </c>
      <c r="G147" s="38">
        <v>2</v>
      </c>
      <c r="H147" s="38" t="s">
        <v>2916</v>
      </c>
      <c r="I147" s="38" t="s">
        <v>2917</v>
      </c>
      <c r="J147" s="38" t="s">
        <v>3439</v>
      </c>
      <c r="K147" s="38" t="s">
        <v>3140</v>
      </c>
      <c r="L147" s="38" t="s">
        <v>3325</v>
      </c>
      <c r="M147" s="38" t="s">
        <v>3326</v>
      </c>
      <c r="N147" s="40" t="s">
        <v>2921</v>
      </c>
      <c r="O147" s="41">
        <v>26040</v>
      </c>
      <c r="P147" s="38">
        <f t="shared" ca="1" si="11"/>
        <v>55</v>
      </c>
      <c r="Q147" s="42">
        <v>166416428</v>
      </c>
      <c r="R147" s="41">
        <v>34408</v>
      </c>
      <c r="S147" s="41">
        <v>44105</v>
      </c>
      <c r="T147" s="45" t="s">
        <v>2940</v>
      </c>
      <c r="U147" s="40" t="s">
        <v>2839</v>
      </c>
      <c r="V147" s="40" t="s">
        <v>2923</v>
      </c>
      <c r="W147" s="40" t="s">
        <v>2923</v>
      </c>
      <c r="X147" s="40" t="s">
        <v>2923</v>
      </c>
      <c r="Y147" s="82" t="s">
        <v>3394</v>
      </c>
      <c r="Z147" s="40" t="s">
        <v>2923</v>
      </c>
      <c r="AA147" s="40" t="s">
        <v>2923</v>
      </c>
      <c r="AB147" s="79">
        <v>2002158981</v>
      </c>
      <c r="AC147" s="38"/>
    </row>
    <row r="148" spans="1:29" ht="90" customHeight="1" x14ac:dyDescent="0.2">
      <c r="A148" s="36" t="s">
        <v>3430</v>
      </c>
      <c r="B148" s="42">
        <v>147</v>
      </c>
      <c r="C148" s="38" t="s">
        <v>3327</v>
      </c>
      <c r="D148" s="38">
        <v>8</v>
      </c>
      <c r="E148" s="39">
        <v>257376</v>
      </c>
      <c r="F148" s="39">
        <f t="shared" si="14"/>
        <v>257376</v>
      </c>
      <c r="G148" s="38">
        <v>1</v>
      </c>
      <c r="H148" s="38" t="s">
        <v>2916</v>
      </c>
      <c r="I148" s="38" t="s">
        <v>2917</v>
      </c>
      <c r="J148" s="38" t="s">
        <v>3439</v>
      </c>
      <c r="K148" s="38" t="s">
        <v>3328</v>
      </c>
      <c r="L148" s="38" t="s">
        <v>3329</v>
      </c>
      <c r="M148" s="38" t="s">
        <v>3330</v>
      </c>
      <c r="N148" s="40" t="s">
        <v>2921</v>
      </c>
      <c r="O148" s="41">
        <v>34380</v>
      </c>
      <c r="P148" s="38">
        <f t="shared" ca="1" si="11"/>
        <v>32</v>
      </c>
      <c r="Q148" s="42">
        <v>331013323</v>
      </c>
      <c r="R148" s="41">
        <v>45692</v>
      </c>
      <c r="S148" s="41">
        <v>45692</v>
      </c>
      <c r="T148" s="45" t="s">
        <v>2940</v>
      </c>
      <c r="U148" s="40" t="s">
        <v>2891</v>
      </c>
      <c r="V148" s="40" t="s">
        <v>2923</v>
      </c>
      <c r="W148" s="40" t="s">
        <v>2923</v>
      </c>
      <c r="X148" s="40" t="s">
        <v>2923</v>
      </c>
      <c r="Y148" s="82" t="s">
        <v>2923</v>
      </c>
      <c r="Z148" s="40" t="s">
        <v>2923</v>
      </c>
      <c r="AA148" s="40" t="s">
        <v>2923</v>
      </c>
      <c r="AB148" s="79">
        <v>2006627420</v>
      </c>
      <c r="AC148" s="38"/>
    </row>
    <row r="149" spans="1:29" ht="90" customHeight="1" x14ac:dyDescent="0.2">
      <c r="A149" s="36" t="s">
        <v>3431</v>
      </c>
      <c r="B149" s="42">
        <v>148</v>
      </c>
      <c r="C149" s="38" t="s">
        <v>3331</v>
      </c>
      <c r="D149" s="38">
        <v>20</v>
      </c>
      <c r="E149" s="39">
        <v>809748</v>
      </c>
      <c r="F149" s="39">
        <f t="shared" si="14"/>
        <v>809748</v>
      </c>
      <c r="G149" s="38">
        <v>6</v>
      </c>
      <c r="H149" s="38" t="s">
        <v>2916</v>
      </c>
      <c r="I149" s="38" t="s">
        <v>2917</v>
      </c>
      <c r="J149" s="38" t="s">
        <v>3436</v>
      </c>
      <c r="K149" s="38" t="s">
        <v>3300</v>
      </c>
      <c r="L149" s="38" t="s">
        <v>3332</v>
      </c>
      <c r="M149" s="38" t="s">
        <v>3116</v>
      </c>
      <c r="N149" s="40" t="s">
        <v>2921</v>
      </c>
      <c r="O149" s="41">
        <v>25012</v>
      </c>
      <c r="P149" s="38">
        <f t="shared" ca="1" si="11"/>
        <v>58</v>
      </c>
      <c r="Q149" s="42">
        <v>133497832</v>
      </c>
      <c r="R149" s="41">
        <v>34781</v>
      </c>
      <c r="S149" s="41">
        <v>40259</v>
      </c>
      <c r="T149" s="38" t="s">
        <v>2940</v>
      </c>
      <c r="U149" s="40" t="s">
        <v>2839</v>
      </c>
      <c r="V149" s="40" t="s">
        <v>2923</v>
      </c>
      <c r="W149" s="40" t="s">
        <v>2923</v>
      </c>
      <c r="X149" s="40" t="s">
        <v>2923</v>
      </c>
      <c r="Y149" s="82" t="s">
        <v>2923</v>
      </c>
      <c r="Z149" s="40" t="s">
        <v>2923</v>
      </c>
      <c r="AA149" s="40" t="s">
        <v>2923</v>
      </c>
      <c r="AB149" s="79">
        <v>2002158919</v>
      </c>
      <c r="AC149" s="38"/>
    </row>
    <row r="150" spans="1:29" ht="90" customHeight="1" x14ac:dyDescent="0.2">
      <c r="A150" s="36" t="s">
        <v>3431</v>
      </c>
      <c r="B150" s="42">
        <v>149</v>
      </c>
      <c r="C150" s="38" t="s">
        <v>3333</v>
      </c>
      <c r="D150" s="38">
        <v>10</v>
      </c>
      <c r="E150" s="39">
        <v>316944</v>
      </c>
      <c r="F150" s="39">
        <f t="shared" si="14"/>
        <v>316944</v>
      </c>
      <c r="G150" s="38">
        <v>5</v>
      </c>
      <c r="H150" s="38" t="s">
        <v>2916</v>
      </c>
      <c r="I150" s="38" t="s">
        <v>2917</v>
      </c>
      <c r="J150" s="38" t="s">
        <v>3439</v>
      </c>
      <c r="K150" s="38" t="s">
        <v>3334</v>
      </c>
      <c r="L150" s="38" t="s">
        <v>3335</v>
      </c>
      <c r="M150" s="38" t="s">
        <v>3336</v>
      </c>
      <c r="N150" s="40" t="s">
        <v>2935</v>
      </c>
      <c r="O150" s="41">
        <v>32277</v>
      </c>
      <c r="P150" s="38">
        <f t="shared" ca="1" si="11"/>
        <v>38</v>
      </c>
      <c r="Q150" s="42">
        <v>412576277</v>
      </c>
      <c r="R150" s="41">
        <v>40777</v>
      </c>
      <c r="S150" s="41">
        <v>40777</v>
      </c>
      <c r="T150" s="38" t="s">
        <v>2940</v>
      </c>
      <c r="U150" s="40" t="s">
        <v>2839</v>
      </c>
      <c r="V150" s="40" t="s">
        <v>2923</v>
      </c>
      <c r="W150" s="40" t="s">
        <v>2923</v>
      </c>
      <c r="X150" s="40" t="s">
        <v>2923</v>
      </c>
      <c r="Y150" s="82" t="s">
        <v>2923</v>
      </c>
      <c r="Z150" s="40" t="s">
        <v>2923</v>
      </c>
      <c r="AA150" s="40" t="s">
        <v>2923</v>
      </c>
      <c r="AB150" s="79">
        <v>2004137884</v>
      </c>
      <c r="AC150" s="38"/>
    </row>
    <row r="151" spans="1:29" ht="90" customHeight="1" x14ac:dyDescent="0.2">
      <c r="A151" s="36" t="s">
        <v>3431</v>
      </c>
      <c r="B151" s="42">
        <v>150</v>
      </c>
      <c r="C151" s="38" t="s">
        <v>3333</v>
      </c>
      <c r="D151" s="38">
        <v>10</v>
      </c>
      <c r="E151" s="39">
        <v>319476</v>
      </c>
      <c r="F151" s="39">
        <f t="shared" si="14"/>
        <v>319476</v>
      </c>
      <c r="G151" s="38">
        <v>6</v>
      </c>
      <c r="H151" s="38" t="s">
        <v>2916</v>
      </c>
      <c r="I151" s="38" t="s">
        <v>2917</v>
      </c>
      <c r="J151" s="38" t="s">
        <v>3439</v>
      </c>
      <c r="K151" s="38" t="s">
        <v>3337</v>
      </c>
      <c r="L151" s="38" t="s">
        <v>3338</v>
      </c>
      <c r="M151" s="38" t="s">
        <v>3339</v>
      </c>
      <c r="N151" s="40" t="s">
        <v>2921</v>
      </c>
      <c r="O151" s="41">
        <v>30617</v>
      </c>
      <c r="P151" s="38">
        <f t="shared" ca="1" si="11"/>
        <v>42</v>
      </c>
      <c r="Q151" s="42">
        <v>301181372</v>
      </c>
      <c r="R151" s="41">
        <v>40490</v>
      </c>
      <c r="S151" s="41">
        <v>40500</v>
      </c>
      <c r="T151" s="38" t="s">
        <v>2940</v>
      </c>
      <c r="U151" s="40" t="s">
        <v>2839</v>
      </c>
      <c r="V151" s="40" t="s">
        <v>2923</v>
      </c>
      <c r="W151" s="40" t="s">
        <v>2923</v>
      </c>
      <c r="X151" s="40" t="s">
        <v>2923</v>
      </c>
      <c r="Y151" s="82" t="s">
        <v>2923</v>
      </c>
      <c r="Z151" s="40" t="s">
        <v>2923</v>
      </c>
      <c r="AA151" s="40" t="s">
        <v>2923</v>
      </c>
      <c r="AB151" s="79">
        <v>2004055827</v>
      </c>
      <c r="AC151" s="38"/>
    </row>
    <row r="152" spans="1:29" ht="90" customHeight="1" x14ac:dyDescent="0.2">
      <c r="A152" s="36" t="s">
        <v>3431</v>
      </c>
      <c r="B152" s="42">
        <v>151</v>
      </c>
      <c r="C152" s="38" t="s">
        <v>3333</v>
      </c>
      <c r="D152" s="38">
        <v>10</v>
      </c>
      <c r="E152" s="39">
        <v>324600</v>
      </c>
      <c r="F152" s="39">
        <f>E152</f>
        <v>324600</v>
      </c>
      <c r="G152" s="38">
        <v>8</v>
      </c>
      <c r="H152" s="38" t="s">
        <v>2916</v>
      </c>
      <c r="I152" s="38" t="s">
        <v>2917</v>
      </c>
      <c r="J152" s="38" t="s">
        <v>3439</v>
      </c>
      <c r="K152" s="38" t="s">
        <v>3340</v>
      </c>
      <c r="L152" s="38" t="s">
        <v>3341</v>
      </c>
      <c r="M152" s="38" t="s">
        <v>3342</v>
      </c>
      <c r="N152" s="40" t="s">
        <v>2921</v>
      </c>
      <c r="O152" s="41">
        <v>27829</v>
      </c>
      <c r="P152" s="38">
        <f t="shared" ca="1" si="11"/>
        <v>50</v>
      </c>
      <c r="Q152" s="42">
        <v>926337451</v>
      </c>
      <c r="R152" s="41">
        <v>37606</v>
      </c>
      <c r="S152" s="41">
        <v>37606</v>
      </c>
      <c r="T152" s="38" t="s">
        <v>2940</v>
      </c>
      <c r="U152" s="40" t="s">
        <v>2839</v>
      </c>
      <c r="V152" s="40" t="s">
        <v>2923</v>
      </c>
      <c r="W152" s="40" t="s">
        <v>2923</v>
      </c>
      <c r="X152" s="40" t="s">
        <v>2923</v>
      </c>
      <c r="Y152" s="82" t="s">
        <v>2923</v>
      </c>
      <c r="Z152" s="40" t="s">
        <v>2923</v>
      </c>
      <c r="AA152" s="40" t="s">
        <v>2923</v>
      </c>
      <c r="AB152" s="79">
        <v>2002159706</v>
      </c>
      <c r="AC152" s="38"/>
    </row>
    <row r="153" spans="1:29" ht="90" customHeight="1" x14ac:dyDescent="0.2">
      <c r="A153" s="36" t="s">
        <v>3431</v>
      </c>
      <c r="B153" s="87">
        <v>152</v>
      </c>
      <c r="C153" s="43" t="s">
        <v>3333</v>
      </c>
      <c r="D153" s="43">
        <v>10</v>
      </c>
      <c r="E153" s="85">
        <f>25586*12</f>
        <v>307032</v>
      </c>
      <c r="F153" s="85">
        <f>E153</f>
        <v>307032</v>
      </c>
      <c r="G153" s="43">
        <v>1</v>
      </c>
      <c r="H153" s="43" t="s">
        <v>2916</v>
      </c>
      <c r="I153" s="43" t="s">
        <v>2917</v>
      </c>
      <c r="J153" s="43" t="s">
        <v>3439</v>
      </c>
      <c r="K153" s="43"/>
      <c r="L153" s="43"/>
      <c r="M153" s="43"/>
      <c r="N153" s="86"/>
      <c r="O153" s="44"/>
      <c r="P153" s="43"/>
      <c r="Q153" s="87"/>
      <c r="R153" s="44"/>
      <c r="S153" s="44"/>
      <c r="T153" s="43" t="s">
        <v>2940</v>
      </c>
      <c r="U153" s="86"/>
      <c r="V153" s="86" t="s">
        <v>2923</v>
      </c>
      <c r="W153" s="86" t="s">
        <v>2923</v>
      </c>
      <c r="X153" s="86" t="s">
        <v>2923</v>
      </c>
      <c r="Y153" s="88" t="s">
        <v>2923</v>
      </c>
      <c r="Z153" s="86" t="s">
        <v>2923</v>
      </c>
      <c r="AA153" s="86" t="s">
        <v>2923</v>
      </c>
      <c r="AB153" s="86" t="s">
        <v>2923</v>
      </c>
      <c r="AC153" s="38" t="s">
        <v>3440</v>
      </c>
    </row>
    <row r="154" spans="1:29" ht="90" customHeight="1" x14ac:dyDescent="0.2">
      <c r="A154" s="36" t="s">
        <v>3432</v>
      </c>
      <c r="B154" s="42">
        <v>153</v>
      </c>
      <c r="C154" s="38" t="s">
        <v>3343</v>
      </c>
      <c r="D154" s="38">
        <v>24</v>
      </c>
      <c r="E154" s="47">
        <v>1178220</v>
      </c>
      <c r="F154" s="47">
        <f>E154</f>
        <v>1178220</v>
      </c>
      <c r="G154" s="38">
        <v>1</v>
      </c>
      <c r="H154" s="38" t="s">
        <v>2916</v>
      </c>
      <c r="I154" s="38" t="s">
        <v>2917</v>
      </c>
      <c r="J154" s="38" t="s">
        <v>3436</v>
      </c>
      <c r="K154" s="38" t="s">
        <v>3306</v>
      </c>
      <c r="L154" s="38" t="s">
        <v>3344</v>
      </c>
      <c r="M154" s="38" t="s">
        <v>3345</v>
      </c>
      <c r="N154" s="40" t="s">
        <v>2921</v>
      </c>
      <c r="O154" s="41">
        <v>29812</v>
      </c>
      <c r="P154" s="38">
        <f t="shared" ca="1" si="11"/>
        <v>44</v>
      </c>
      <c r="Q154" s="42">
        <v>9293178421</v>
      </c>
      <c r="R154" s="41">
        <v>37585</v>
      </c>
      <c r="S154" s="41">
        <v>45177</v>
      </c>
      <c r="T154" s="38" t="s">
        <v>2940</v>
      </c>
      <c r="U154" s="40" t="s">
        <v>2839</v>
      </c>
      <c r="V154" s="40" t="s">
        <v>2923</v>
      </c>
      <c r="W154" s="40" t="s">
        <v>2923</v>
      </c>
      <c r="X154" s="40" t="s">
        <v>2923</v>
      </c>
      <c r="Y154" s="82" t="s">
        <v>2923</v>
      </c>
      <c r="Z154" s="40" t="s">
        <v>2923</v>
      </c>
      <c r="AA154" s="40" t="s">
        <v>2923</v>
      </c>
      <c r="AB154" s="79">
        <v>2002160199</v>
      </c>
      <c r="AC154" s="38"/>
    </row>
    <row r="155" spans="1:29" ht="90" customHeight="1" x14ac:dyDescent="0.2">
      <c r="A155" s="36" t="s">
        <v>3432</v>
      </c>
      <c r="B155" s="42">
        <v>154</v>
      </c>
      <c r="C155" s="38" t="s">
        <v>3346</v>
      </c>
      <c r="D155" s="38">
        <v>18</v>
      </c>
      <c r="E155" s="39">
        <v>615648</v>
      </c>
      <c r="F155" s="39">
        <f t="shared" si="14"/>
        <v>615648</v>
      </c>
      <c r="G155" s="38">
        <v>1</v>
      </c>
      <c r="H155" s="38" t="s">
        <v>2916</v>
      </c>
      <c r="I155" s="38" t="s">
        <v>2917</v>
      </c>
      <c r="J155" s="38" t="s">
        <v>3439</v>
      </c>
      <c r="K155" s="38" t="s">
        <v>2991</v>
      </c>
      <c r="L155" s="38" t="s">
        <v>3347</v>
      </c>
      <c r="M155" s="38" t="s">
        <v>3348</v>
      </c>
      <c r="N155" s="40" t="s">
        <v>2935</v>
      </c>
      <c r="O155" s="41">
        <v>34313</v>
      </c>
      <c r="P155" s="38">
        <f t="shared" ca="1" si="11"/>
        <v>32</v>
      </c>
      <c r="Q155" s="42">
        <v>326769433</v>
      </c>
      <c r="R155" s="41">
        <v>42402</v>
      </c>
      <c r="S155" s="41">
        <v>45398</v>
      </c>
      <c r="T155" s="38" t="s">
        <v>2940</v>
      </c>
      <c r="U155" s="40" t="s">
        <v>2839</v>
      </c>
      <c r="V155" s="40" t="s">
        <v>2923</v>
      </c>
      <c r="W155" s="40" t="s">
        <v>3391</v>
      </c>
      <c r="X155" s="40" t="s">
        <v>2923</v>
      </c>
      <c r="Y155" s="82" t="s">
        <v>3393</v>
      </c>
      <c r="Z155" s="40" t="s">
        <v>2923</v>
      </c>
      <c r="AA155" s="40" t="s">
        <v>2923</v>
      </c>
      <c r="AB155" s="79">
        <v>2004872148</v>
      </c>
      <c r="AC155" s="38"/>
    </row>
    <row r="156" spans="1:29" ht="90" customHeight="1" x14ac:dyDescent="0.2">
      <c r="A156" s="36" t="s">
        <v>3432</v>
      </c>
      <c r="B156" s="42">
        <v>155</v>
      </c>
      <c r="C156" s="38" t="s">
        <v>3349</v>
      </c>
      <c r="D156" s="38">
        <v>8</v>
      </c>
      <c r="E156" s="39">
        <f>21448*12</f>
        <v>257376</v>
      </c>
      <c r="F156" s="39">
        <f t="shared" si="14"/>
        <v>257376</v>
      </c>
      <c r="G156" s="38">
        <v>1</v>
      </c>
      <c r="H156" s="38" t="s">
        <v>2916</v>
      </c>
      <c r="I156" s="38" t="s">
        <v>2917</v>
      </c>
      <c r="J156" s="43" t="s">
        <v>3439</v>
      </c>
      <c r="K156" s="38" t="s">
        <v>3405</v>
      </c>
      <c r="L156" s="38" t="s">
        <v>3404</v>
      </c>
      <c r="M156" s="38" t="s">
        <v>3188</v>
      </c>
      <c r="N156" s="40" t="s">
        <v>2921</v>
      </c>
      <c r="O156" s="41">
        <v>35358</v>
      </c>
      <c r="P156" s="38">
        <f t="shared" ca="1" si="11"/>
        <v>29</v>
      </c>
      <c r="Q156" s="42">
        <v>727931721</v>
      </c>
      <c r="R156" s="41">
        <v>46076</v>
      </c>
      <c r="S156" s="41">
        <v>46079</v>
      </c>
      <c r="T156" s="38" t="s">
        <v>2940</v>
      </c>
      <c r="U156" s="40" t="s">
        <v>2839</v>
      </c>
      <c r="V156" s="40" t="s">
        <v>2923</v>
      </c>
      <c r="W156" s="40" t="s">
        <v>2923</v>
      </c>
      <c r="X156" s="40" t="s">
        <v>2923</v>
      </c>
      <c r="Y156" s="82" t="s">
        <v>2923</v>
      </c>
      <c r="Z156" s="40" t="s">
        <v>2923</v>
      </c>
      <c r="AA156" s="40" t="s">
        <v>2923</v>
      </c>
      <c r="AB156" s="79" t="s">
        <v>2923</v>
      </c>
      <c r="AC156" s="38"/>
    </row>
    <row r="157" spans="1:29" ht="90" customHeight="1" x14ac:dyDescent="0.2">
      <c r="A157" s="36" t="s">
        <v>3433</v>
      </c>
      <c r="B157" s="42">
        <v>156</v>
      </c>
      <c r="C157" s="38" t="s">
        <v>3350</v>
      </c>
      <c r="D157" s="38">
        <v>18</v>
      </c>
      <c r="E157" s="39">
        <v>615648</v>
      </c>
      <c r="F157" s="39">
        <f>+E157</f>
        <v>615648</v>
      </c>
      <c r="G157" s="38">
        <v>1</v>
      </c>
      <c r="H157" s="38" t="s">
        <v>2916</v>
      </c>
      <c r="I157" s="38" t="s">
        <v>2917</v>
      </c>
      <c r="J157" s="38" t="s">
        <v>3436</v>
      </c>
      <c r="K157" s="38" t="s">
        <v>3040</v>
      </c>
      <c r="L157" s="38" t="s">
        <v>3351</v>
      </c>
      <c r="M157" s="38" t="s">
        <v>2939</v>
      </c>
      <c r="N157" s="40"/>
      <c r="O157" s="41">
        <v>34260</v>
      </c>
      <c r="P157" s="38">
        <f t="shared" ca="1" si="11"/>
        <v>32</v>
      </c>
      <c r="Q157" s="42">
        <v>486541719</v>
      </c>
      <c r="R157" s="41">
        <v>44566</v>
      </c>
      <c r="S157" s="41">
        <v>44566</v>
      </c>
      <c r="T157" s="38" t="s">
        <v>2940</v>
      </c>
      <c r="U157" s="40" t="s">
        <v>2865</v>
      </c>
      <c r="V157" s="40" t="s">
        <v>2923</v>
      </c>
      <c r="W157" s="40" t="s">
        <v>2923</v>
      </c>
      <c r="X157" s="40" t="s">
        <v>2923</v>
      </c>
      <c r="Y157" s="82" t="s">
        <v>2923</v>
      </c>
      <c r="Z157" s="40" t="s">
        <v>2923</v>
      </c>
      <c r="AA157" s="40" t="s">
        <v>2923</v>
      </c>
      <c r="AB157" s="79">
        <v>2006006226</v>
      </c>
      <c r="AC157" s="38"/>
    </row>
    <row r="158" spans="1:29" ht="90" customHeight="1" x14ac:dyDescent="0.2">
      <c r="A158" s="36" t="s">
        <v>3433</v>
      </c>
      <c r="B158" s="42">
        <v>157</v>
      </c>
      <c r="C158" s="38" t="s">
        <v>3352</v>
      </c>
      <c r="D158" s="38">
        <v>11</v>
      </c>
      <c r="E158" s="39">
        <v>367164</v>
      </c>
      <c r="F158" s="39">
        <f>+E158</f>
        <v>367164</v>
      </c>
      <c r="G158" s="38">
        <v>3</v>
      </c>
      <c r="H158" s="38" t="s">
        <v>2916</v>
      </c>
      <c r="I158" s="38" t="s">
        <v>2917</v>
      </c>
      <c r="J158" s="38" t="s">
        <v>3438</v>
      </c>
      <c r="K158" s="38" t="s">
        <v>2950</v>
      </c>
      <c r="L158" s="38" t="s">
        <v>3353</v>
      </c>
      <c r="M158" s="38" t="s">
        <v>3342</v>
      </c>
      <c r="N158" s="40" t="s">
        <v>2921</v>
      </c>
      <c r="O158" s="41">
        <v>31824</v>
      </c>
      <c r="P158" s="38">
        <f t="shared" ca="1" si="11"/>
        <v>39</v>
      </c>
      <c r="Q158" s="42">
        <v>261408815</v>
      </c>
      <c r="R158" s="41">
        <v>40777</v>
      </c>
      <c r="S158" s="41">
        <v>43041</v>
      </c>
      <c r="T158" s="38" t="s">
        <v>2940</v>
      </c>
      <c r="U158" s="40" t="s">
        <v>2839</v>
      </c>
      <c r="V158" s="40" t="s">
        <v>2923</v>
      </c>
      <c r="W158" s="40" t="s">
        <v>2923</v>
      </c>
      <c r="X158" s="40" t="s">
        <v>2923</v>
      </c>
      <c r="Y158" s="82" t="s">
        <v>2923</v>
      </c>
      <c r="Z158" s="40" t="s">
        <v>2923</v>
      </c>
      <c r="AA158" s="40" t="s">
        <v>2923</v>
      </c>
      <c r="AB158" s="79">
        <v>2004140574</v>
      </c>
      <c r="AC158" s="38"/>
    </row>
    <row r="159" spans="1:29" ht="90" customHeight="1" x14ac:dyDescent="0.2">
      <c r="A159" s="36" t="s">
        <v>3433</v>
      </c>
      <c r="B159" s="42">
        <v>158</v>
      </c>
      <c r="C159" s="38" t="s">
        <v>3354</v>
      </c>
      <c r="D159" s="38">
        <v>11</v>
      </c>
      <c r="E159" s="39">
        <f>30024*12</f>
        <v>360288</v>
      </c>
      <c r="F159" s="39">
        <f>+E159</f>
        <v>360288</v>
      </c>
      <c r="G159" s="38">
        <v>1</v>
      </c>
      <c r="H159" s="38" t="s">
        <v>2916</v>
      </c>
      <c r="I159" s="38" t="s">
        <v>2917</v>
      </c>
      <c r="J159" s="43" t="s">
        <v>3438</v>
      </c>
      <c r="K159" s="38" t="s">
        <v>3406</v>
      </c>
      <c r="L159" s="38" t="s">
        <v>3407</v>
      </c>
      <c r="M159" s="38" t="s">
        <v>3408</v>
      </c>
      <c r="N159" s="40" t="s">
        <v>2935</v>
      </c>
      <c r="O159" s="41">
        <v>33983</v>
      </c>
      <c r="P159" s="38">
        <f t="shared" ca="1" si="11"/>
        <v>33</v>
      </c>
      <c r="Q159" s="42">
        <v>434659524</v>
      </c>
      <c r="R159" s="41">
        <v>46118</v>
      </c>
      <c r="S159" s="41">
        <v>46118</v>
      </c>
      <c r="T159" s="38" t="s">
        <v>2940</v>
      </c>
      <c r="U159" s="40" t="s">
        <v>2839</v>
      </c>
      <c r="V159" s="40" t="s">
        <v>2923</v>
      </c>
      <c r="W159" s="40" t="s">
        <v>2923</v>
      </c>
      <c r="X159" s="40" t="s">
        <v>2923</v>
      </c>
      <c r="Y159" s="82" t="s">
        <v>2923</v>
      </c>
      <c r="Z159" s="40" t="s">
        <v>2923</v>
      </c>
      <c r="AA159" s="40" t="s">
        <v>2923</v>
      </c>
      <c r="AB159" s="40" t="s">
        <v>2923</v>
      </c>
      <c r="AC159" s="38"/>
    </row>
    <row r="160" spans="1:29" ht="97.5" customHeight="1" x14ac:dyDescent="0.2">
      <c r="A160" s="36" t="s">
        <v>3433</v>
      </c>
      <c r="B160" s="87">
        <v>159</v>
      </c>
      <c r="C160" s="43" t="s">
        <v>3354</v>
      </c>
      <c r="D160" s="43">
        <v>11</v>
      </c>
      <c r="E160" s="85">
        <f>30024*12</f>
        <v>360288</v>
      </c>
      <c r="F160" s="85">
        <v>274740</v>
      </c>
      <c r="G160" s="43">
        <v>1</v>
      </c>
      <c r="H160" s="43" t="s">
        <v>2916</v>
      </c>
      <c r="I160" s="43" t="s">
        <v>2917</v>
      </c>
      <c r="J160" s="43" t="s">
        <v>3438</v>
      </c>
      <c r="K160" s="43"/>
      <c r="L160" s="43"/>
      <c r="M160" s="43"/>
      <c r="N160" s="86"/>
      <c r="O160" s="44"/>
      <c r="P160" s="43"/>
      <c r="Q160" s="90"/>
      <c r="R160" s="44"/>
      <c r="S160" s="44"/>
      <c r="T160" s="43" t="s">
        <v>2940</v>
      </c>
      <c r="U160" s="86"/>
      <c r="V160" s="86" t="s">
        <v>2923</v>
      </c>
      <c r="W160" s="86" t="s">
        <v>2923</v>
      </c>
      <c r="X160" s="86" t="s">
        <v>2923</v>
      </c>
      <c r="Y160" s="88" t="s">
        <v>2923</v>
      </c>
      <c r="Z160" s="86" t="s">
        <v>2923</v>
      </c>
      <c r="AA160" s="86" t="s">
        <v>2923</v>
      </c>
      <c r="AB160" s="86" t="s">
        <v>2923</v>
      </c>
      <c r="AC160" s="38" t="s">
        <v>3440</v>
      </c>
    </row>
    <row r="161" spans="1:29" ht="90" customHeight="1" x14ac:dyDescent="0.2">
      <c r="A161" s="36" t="s">
        <v>3434</v>
      </c>
      <c r="B161" s="42">
        <v>160</v>
      </c>
      <c r="C161" s="38" t="s">
        <v>3355</v>
      </c>
      <c r="D161" s="38">
        <v>24</v>
      </c>
      <c r="E161" s="39">
        <v>1178220</v>
      </c>
      <c r="F161" s="39">
        <f>E161</f>
        <v>1178220</v>
      </c>
      <c r="G161" s="38">
        <v>1</v>
      </c>
      <c r="H161" s="38" t="s">
        <v>2916</v>
      </c>
      <c r="I161" s="38" t="s">
        <v>2917</v>
      </c>
      <c r="J161" s="38" t="s">
        <v>3436</v>
      </c>
      <c r="K161" s="38" t="s">
        <v>2998</v>
      </c>
      <c r="L161" s="38" t="s">
        <v>3356</v>
      </c>
      <c r="M161" s="38" t="s">
        <v>2920</v>
      </c>
      <c r="N161" s="40" t="s">
        <v>2935</v>
      </c>
      <c r="O161" s="41">
        <v>31722</v>
      </c>
      <c r="P161" s="38">
        <f t="shared" ca="1" si="11"/>
        <v>39</v>
      </c>
      <c r="Q161" s="42">
        <v>265308722</v>
      </c>
      <c r="R161" s="41">
        <v>45112</v>
      </c>
      <c r="S161" s="41">
        <v>45112</v>
      </c>
      <c r="T161" s="38" t="s">
        <v>2928</v>
      </c>
      <c r="U161" s="40" t="s">
        <v>2891</v>
      </c>
      <c r="V161" s="40" t="s">
        <v>2923</v>
      </c>
      <c r="W161" s="40" t="s">
        <v>3391</v>
      </c>
      <c r="X161" s="40" t="s">
        <v>2923</v>
      </c>
      <c r="Y161" s="82" t="s">
        <v>2923</v>
      </c>
      <c r="Z161" s="40" t="s">
        <v>2923</v>
      </c>
      <c r="AA161" s="40" t="s">
        <v>2923</v>
      </c>
      <c r="AB161" s="79">
        <v>2006341243</v>
      </c>
      <c r="AC161" s="38"/>
    </row>
    <row r="162" spans="1:29" ht="90" customHeight="1" x14ac:dyDescent="0.2">
      <c r="A162" s="36" t="s">
        <v>3435</v>
      </c>
      <c r="B162" s="42">
        <v>161</v>
      </c>
      <c r="C162" s="38" t="s">
        <v>3357</v>
      </c>
      <c r="D162" s="38">
        <v>14</v>
      </c>
      <c r="E162" s="39">
        <v>475680</v>
      </c>
      <c r="F162" s="39">
        <f t="shared" ref="F162:F165" si="15">E162</f>
        <v>475680</v>
      </c>
      <c r="G162" s="38">
        <v>8</v>
      </c>
      <c r="H162" s="38" t="s">
        <v>2916</v>
      </c>
      <c r="I162" s="38" t="s">
        <v>2917</v>
      </c>
      <c r="J162" s="38" t="s">
        <v>3436</v>
      </c>
      <c r="K162" s="38" t="s">
        <v>3267</v>
      </c>
      <c r="L162" s="38" t="s">
        <v>2994</v>
      </c>
      <c r="M162" s="38" t="s">
        <v>2942</v>
      </c>
      <c r="N162" s="40" t="s">
        <v>2935</v>
      </c>
      <c r="O162" s="41">
        <v>23604</v>
      </c>
      <c r="P162" s="38">
        <f t="shared" ca="1" si="11"/>
        <v>61</v>
      </c>
      <c r="Q162" s="42">
        <v>122822684</v>
      </c>
      <c r="R162" s="41">
        <v>35220</v>
      </c>
      <c r="S162" s="41">
        <v>38215</v>
      </c>
      <c r="T162" s="38" t="s">
        <v>2940</v>
      </c>
      <c r="U162" s="40" t="s">
        <v>2891</v>
      </c>
      <c r="V162" s="40" t="s">
        <v>2923</v>
      </c>
      <c r="W162" s="40" t="s">
        <v>2923</v>
      </c>
      <c r="X162" s="40" t="s">
        <v>2923</v>
      </c>
      <c r="Y162" s="82" t="s">
        <v>2923</v>
      </c>
      <c r="Z162" s="40" t="s">
        <v>2923</v>
      </c>
      <c r="AA162" s="40" t="s">
        <v>2923</v>
      </c>
      <c r="AB162" s="79">
        <v>2002159277</v>
      </c>
      <c r="AC162" s="38"/>
    </row>
    <row r="163" spans="1:29" ht="90" customHeight="1" x14ac:dyDescent="0.2">
      <c r="A163" s="36" t="s">
        <v>3435</v>
      </c>
      <c r="B163" s="42">
        <v>162</v>
      </c>
      <c r="C163" s="38" t="s">
        <v>3358</v>
      </c>
      <c r="D163" s="38">
        <v>11</v>
      </c>
      <c r="E163" s="39">
        <v>370668</v>
      </c>
      <c r="F163" s="39">
        <f t="shared" si="15"/>
        <v>370668</v>
      </c>
      <c r="G163" s="38">
        <v>4</v>
      </c>
      <c r="H163" s="38" t="s">
        <v>2916</v>
      </c>
      <c r="I163" s="38" t="s">
        <v>2917</v>
      </c>
      <c r="J163" s="38" t="s">
        <v>3439</v>
      </c>
      <c r="K163" s="38" t="s">
        <v>3140</v>
      </c>
      <c r="L163" s="38" t="s">
        <v>3359</v>
      </c>
      <c r="M163" s="38" t="s">
        <v>3326</v>
      </c>
      <c r="N163" s="40" t="s">
        <v>2935</v>
      </c>
      <c r="O163" s="41">
        <v>25207</v>
      </c>
      <c r="P163" s="38">
        <f t="shared" ca="1" si="11"/>
        <v>57</v>
      </c>
      <c r="Q163" s="42">
        <v>184635580</v>
      </c>
      <c r="R163" s="41">
        <v>39167</v>
      </c>
      <c r="S163" s="41">
        <v>42537</v>
      </c>
      <c r="T163" s="38" t="s">
        <v>2940</v>
      </c>
      <c r="U163" s="40" t="s">
        <v>2891</v>
      </c>
      <c r="V163" s="40" t="s">
        <v>2923</v>
      </c>
      <c r="W163" s="40" t="s">
        <v>2923</v>
      </c>
      <c r="X163" s="40" t="s">
        <v>2923</v>
      </c>
      <c r="Y163" s="82" t="s">
        <v>2923</v>
      </c>
      <c r="Z163" s="40" t="s">
        <v>2923</v>
      </c>
      <c r="AA163" s="40" t="s">
        <v>2923</v>
      </c>
      <c r="AB163" s="79">
        <v>2002159226</v>
      </c>
      <c r="AC163" s="38"/>
    </row>
    <row r="164" spans="1:29" ht="90" customHeight="1" x14ac:dyDescent="0.2">
      <c r="A164" s="36" t="s">
        <v>3435</v>
      </c>
      <c r="B164" s="42">
        <v>163</v>
      </c>
      <c r="C164" s="38" t="s">
        <v>3360</v>
      </c>
      <c r="D164" s="38">
        <v>8</v>
      </c>
      <c r="E164" s="39">
        <v>259704</v>
      </c>
      <c r="F164" s="39">
        <f t="shared" si="15"/>
        <v>259704</v>
      </c>
      <c r="G164" s="38">
        <v>2</v>
      </c>
      <c r="H164" s="38" t="s">
        <v>2916</v>
      </c>
      <c r="I164" s="38" t="s">
        <v>2917</v>
      </c>
      <c r="J164" s="38" t="s">
        <v>3438</v>
      </c>
      <c r="K164" s="38" t="s">
        <v>3361</v>
      </c>
      <c r="L164" s="38" t="s">
        <v>3108</v>
      </c>
      <c r="M164" s="38" t="s">
        <v>3362</v>
      </c>
      <c r="N164" s="40" t="s">
        <v>2935</v>
      </c>
      <c r="O164" s="41">
        <v>28220</v>
      </c>
      <c r="P164" s="38">
        <f t="shared" ca="1" si="11"/>
        <v>49</v>
      </c>
      <c r="Q164" s="42">
        <v>402165039</v>
      </c>
      <c r="R164" s="41">
        <v>44531</v>
      </c>
      <c r="S164" s="41">
        <v>44531</v>
      </c>
      <c r="T164" s="38" t="s">
        <v>2940</v>
      </c>
      <c r="U164" s="40" t="s">
        <v>2842</v>
      </c>
      <c r="V164" s="40" t="s">
        <v>2923</v>
      </c>
      <c r="W164" s="40" t="s">
        <v>2923</v>
      </c>
      <c r="X164" s="40" t="s">
        <v>2923</v>
      </c>
      <c r="Y164" s="82" t="s">
        <v>2923</v>
      </c>
      <c r="Z164" s="40" t="s">
        <v>2923</v>
      </c>
      <c r="AA164" s="40" t="s">
        <v>2923</v>
      </c>
      <c r="AB164" s="79">
        <v>2005998967</v>
      </c>
      <c r="AC164" s="38"/>
    </row>
    <row r="165" spans="1:29" ht="90" customHeight="1" x14ac:dyDescent="0.2">
      <c r="A165" s="83" t="s">
        <v>3435</v>
      </c>
      <c r="B165" s="87">
        <v>164</v>
      </c>
      <c r="C165" s="43" t="s">
        <v>2949</v>
      </c>
      <c r="D165" s="43">
        <v>3</v>
      </c>
      <c r="E165" s="85">
        <v>190224</v>
      </c>
      <c r="F165" s="85">
        <f t="shared" si="15"/>
        <v>190224</v>
      </c>
      <c r="G165" s="43">
        <v>1</v>
      </c>
      <c r="H165" s="43" t="s">
        <v>2916</v>
      </c>
      <c r="I165" s="43" t="s">
        <v>2917</v>
      </c>
      <c r="J165" s="43" t="s">
        <v>3439</v>
      </c>
      <c r="K165" s="43"/>
      <c r="L165" s="43"/>
      <c r="M165" s="43"/>
      <c r="N165" s="86"/>
      <c r="O165" s="44"/>
      <c r="P165" s="43"/>
      <c r="Q165" s="87"/>
      <c r="R165" s="44"/>
      <c r="S165" s="44"/>
      <c r="T165" s="43" t="s">
        <v>2940</v>
      </c>
      <c r="U165" s="86"/>
      <c r="V165" s="86" t="s">
        <v>2923</v>
      </c>
      <c r="W165" s="86" t="s">
        <v>2923</v>
      </c>
      <c r="X165" s="86" t="s">
        <v>2923</v>
      </c>
      <c r="Y165" s="88" t="s">
        <v>2923</v>
      </c>
      <c r="Z165" s="86" t="s">
        <v>2923</v>
      </c>
      <c r="AA165" s="86" t="s">
        <v>2923</v>
      </c>
      <c r="AB165" s="88" t="s">
        <v>2923</v>
      </c>
      <c r="AC165" s="38" t="s">
        <v>3440</v>
      </c>
    </row>
    <row r="166" spans="1:29" ht="90" customHeight="1" x14ac:dyDescent="0.2">
      <c r="A166" s="83" t="s">
        <v>3435</v>
      </c>
      <c r="B166" s="87">
        <v>165</v>
      </c>
      <c r="C166" s="43" t="s">
        <v>2949</v>
      </c>
      <c r="D166" s="43">
        <v>3</v>
      </c>
      <c r="E166" s="85">
        <v>190224</v>
      </c>
      <c r="F166" s="85">
        <f>E166</f>
        <v>190224</v>
      </c>
      <c r="G166" s="43">
        <v>1</v>
      </c>
      <c r="H166" s="43" t="s">
        <v>2916</v>
      </c>
      <c r="I166" s="43" t="s">
        <v>2917</v>
      </c>
      <c r="J166" s="43" t="s">
        <v>3439</v>
      </c>
      <c r="K166" s="43"/>
      <c r="L166" s="43"/>
      <c r="M166" s="43"/>
      <c r="N166" s="86"/>
      <c r="O166" s="44"/>
      <c r="P166" s="43"/>
      <c r="Q166" s="87"/>
      <c r="R166" s="44"/>
      <c r="S166" s="44"/>
      <c r="T166" s="43" t="s">
        <v>2940</v>
      </c>
      <c r="U166" s="86"/>
      <c r="V166" s="86" t="s">
        <v>2923</v>
      </c>
      <c r="W166" s="86" t="s">
        <v>2923</v>
      </c>
      <c r="X166" s="86" t="s">
        <v>2923</v>
      </c>
      <c r="Y166" s="88" t="s">
        <v>2923</v>
      </c>
      <c r="Z166" s="86" t="s">
        <v>2923</v>
      </c>
      <c r="AA166" s="86" t="s">
        <v>2923</v>
      </c>
      <c r="AB166" s="88" t="s">
        <v>2923</v>
      </c>
      <c r="AC166" s="38" t="s">
        <v>3440</v>
      </c>
    </row>
    <row r="167" spans="1:29" ht="90" customHeight="1" x14ac:dyDescent="0.2">
      <c r="A167" s="36" t="s">
        <v>3435</v>
      </c>
      <c r="B167" s="42">
        <v>166</v>
      </c>
      <c r="C167" s="38" t="s">
        <v>2949</v>
      </c>
      <c r="D167" s="38">
        <v>3</v>
      </c>
      <c r="E167" s="39">
        <v>200316</v>
      </c>
      <c r="F167" s="39">
        <f>E167</f>
        <v>200316</v>
      </c>
      <c r="G167" s="38">
        <v>8</v>
      </c>
      <c r="H167" s="38" t="s">
        <v>2916</v>
      </c>
      <c r="I167" s="38" t="s">
        <v>2917</v>
      </c>
      <c r="J167" s="38" t="s">
        <v>3439</v>
      </c>
      <c r="K167" s="38" t="s">
        <v>3363</v>
      </c>
      <c r="L167" s="38" t="s">
        <v>3364</v>
      </c>
      <c r="M167" s="38" t="s">
        <v>3365</v>
      </c>
      <c r="N167" s="40" t="s">
        <v>2935</v>
      </c>
      <c r="O167" s="41">
        <v>26309</v>
      </c>
      <c r="P167" s="38">
        <f t="shared" ca="1" si="11"/>
        <v>54</v>
      </c>
      <c r="Q167" s="42">
        <v>926333303</v>
      </c>
      <c r="R167" s="41">
        <v>37211</v>
      </c>
      <c r="S167" s="41">
        <v>38215</v>
      </c>
      <c r="T167" s="38" t="s">
        <v>2940</v>
      </c>
      <c r="U167" s="40"/>
      <c r="V167" s="40" t="s">
        <v>2923</v>
      </c>
      <c r="W167" s="40" t="s">
        <v>2923</v>
      </c>
      <c r="X167" s="40" t="s">
        <v>2923</v>
      </c>
      <c r="Y167" s="82" t="s">
        <v>2923</v>
      </c>
      <c r="Z167" s="40" t="s">
        <v>2923</v>
      </c>
      <c r="AA167" s="40" t="s">
        <v>2923</v>
      </c>
      <c r="AB167" s="79">
        <v>2002159377</v>
      </c>
      <c r="AC167" s="38"/>
    </row>
    <row r="168" spans="1:29" ht="90" customHeight="1" x14ac:dyDescent="0.2">
      <c r="A168" s="36" t="s">
        <v>3435</v>
      </c>
      <c r="B168" s="42">
        <v>167</v>
      </c>
      <c r="C168" s="38" t="s">
        <v>2949</v>
      </c>
      <c r="D168" s="38">
        <v>3</v>
      </c>
      <c r="E168" s="39">
        <v>191652</v>
      </c>
      <c r="F168" s="39">
        <f>E168</f>
        <v>191652</v>
      </c>
      <c r="G168" s="38">
        <v>2</v>
      </c>
      <c r="H168" s="38" t="s">
        <v>2916</v>
      </c>
      <c r="I168" s="38" t="s">
        <v>2917</v>
      </c>
      <c r="J168" s="38" t="s">
        <v>3439</v>
      </c>
      <c r="K168" s="38" t="s">
        <v>3366</v>
      </c>
      <c r="L168" s="38" t="s">
        <v>3367</v>
      </c>
      <c r="M168" s="38" t="s">
        <v>3368</v>
      </c>
      <c r="N168" s="40" t="s">
        <v>2935</v>
      </c>
      <c r="O168" s="41">
        <v>26629</v>
      </c>
      <c r="P168" s="38">
        <f t="shared" ca="1" si="11"/>
        <v>53</v>
      </c>
      <c r="Q168" s="42">
        <v>748831185</v>
      </c>
      <c r="R168" s="41">
        <v>44746</v>
      </c>
      <c r="S168" s="41">
        <v>44746</v>
      </c>
      <c r="T168" s="38" t="s">
        <v>2940</v>
      </c>
      <c r="U168" s="40"/>
      <c r="V168" s="40" t="s">
        <v>2923</v>
      </c>
      <c r="W168" s="40" t="s">
        <v>2923</v>
      </c>
      <c r="X168" s="40" t="s">
        <v>2923</v>
      </c>
      <c r="Y168" s="82" t="s">
        <v>2923</v>
      </c>
      <c r="Z168" s="40" t="s">
        <v>2923</v>
      </c>
      <c r="AA168" s="40" t="s">
        <v>2923</v>
      </c>
      <c r="AB168" s="79">
        <v>2006107434</v>
      </c>
      <c r="AC168" s="38"/>
    </row>
    <row r="169" spans="1:29" ht="90" customHeight="1" x14ac:dyDescent="0.2">
      <c r="A169" s="36" t="s">
        <v>3435</v>
      </c>
      <c r="B169" s="42">
        <v>168</v>
      </c>
      <c r="C169" s="38" t="s">
        <v>2949</v>
      </c>
      <c r="D169" s="38">
        <v>3</v>
      </c>
      <c r="E169" s="39">
        <v>194496</v>
      </c>
      <c r="F169" s="39">
        <f>E169</f>
        <v>194496</v>
      </c>
      <c r="G169" s="38">
        <v>4</v>
      </c>
      <c r="H169" s="38" t="s">
        <v>2916</v>
      </c>
      <c r="I169" s="38" t="s">
        <v>2917</v>
      </c>
      <c r="J169" s="38" t="s">
        <v>3438</v>
      </c>
      <c r="K169" s="38" t="s">
        <v>3363</v>
      </c>
      <c r="L169" s="38" t="s">
        <v>3369</v>
      </c>
      <c r="M169" s="38" t="s">
        <v>3198</v>
      </c>
      <c r="N169" s="40" t="s">
        <v>2921</v>
      </c>
      <c r="O169" s="41">
        <v>29247</v>
      </c>
      <c r="P169" s="38">
        <f t="shared" ca="1" si="11"/>
        <v>46</v>
      </c>
      <c r="Q169" s="42">
        <v>296262261</v>
      </c>
      <c r="R169" s="41">
        <v>40360</v>
      </c>
      <c r="S169" s="41">
        <v>41867</v>
      </c>
      <c r="T169" s="38" t="s">
        <v>2940</v>
      </c>
      <c r="U169" s="40"/>
      <c r="V169" s="40" t="s">
        <v>2923</v>
      </c>
      <c r="W169" s="40" t="s">
        <v>2923</v>
      </c>
      <c r="X169" s="40" t="s">
        <v>2923</v>
      </c>
      <c r="Y169" s="82" t="s">
        <v>2923</v>
      </c>
      <c r="Z169" s="40" t="s">
        <v>2923</v>
      </c>
      <c r="AA169" s="40" t="s">
        <v>2923</v>
      </c>
      <c r="AB169" s="79">
        <v>2004002415</v>
      </c>
      <c r="AC169" s="38"/>
    </row>
    <row r="170" spans="1:29" ht="90" customHeight="1" x14ac:dyDescent="0.2">
      <c r="A170" s="36" t="s">
        <v>3435</v>
      </c>
      <c r="B170" s="42">
        <v>169</v>
      </c>
      <c r="C170" s="38" t="s">
        <v>2949</v>
      </c>
      <c r="D170" s="38">
        <v>3</v>
      </c>
      <c r="E170" s="39">
        <v>160980</v>
      </c>
      <c r="F170" s="39">
        <f t="shared" ref="F170:F173" si="16">E170</f>
        <v>160980</v>
      </c>
      <c r="G170" s="38">
        <v>3</v>
      </c>
      <c r="H170" s="38" t="s">
        <v>2916</v>
      </c>
      <c r="I170" s="38" t="s">
        <v>2917</v>
      </c>
      <c r="J170" s="38" t="s">
        <v>3439</v>
      </c>
      <c r="K170" s="38" t="s">
        <v>3370</v>
      </c>
      <c r="L170" s="38" t="s">
        <v>3371</v>
      </c>
      <c r="M170" s="38" t="s">
        <v>3372</v>
      </c>
      <c r="N170" s="40" t="s">
        <v>2935</v>
      </c>
      <c r="O170" s="41">
        <v>30306</v>
      </c>
      <c r="P170" s="38">
        <f t="shared" ca="1" si="11"/>
        <v>43</v>
      </c>
      <c r="Q170" s="42">
        <v>204903153</v>
      </c>
      <c r="R170" s="41">
        <v>42079</v>
      </c>
      <c r="S170" s="41">
        <v>42079</v>
      </c>
      <c r="T170" s="38" t="s">
        <v>2940</v>
      </c>
      <c r="U170" s="40"/>
      <c r="V170" s="40" t="s">
        <v>2923</v>
      </c>
      <c r="W170" s="40" t="s">
        <v>2923</v>
      </c>
      <c r="X170" s="40" t="s">
        <v>2923</v>
      </c>
      <c r="Y170" s="82" t="s">
        <v>2923</v>
      </c>
      <c r="Z170" s="40" t="s">
        <v>2923</v>
      </c>
      <c r="AA170" s="40" t="s">
        <v>2923</v>
      </c>
      <c r="AB170" s="79">
        <v>2004706794</v>
      </c>
      <c r="AC170" s="38"/>
    </row>
    <row r="171" spans="1:29" ht="90" customHeight="1" x14ac:dyDescent="0.2">
      <c r="A171" s="36" t="s">
        <v>3435</v>
      </c>
      <c r="B171" s="42">
        <v>170</v>
      </c>
      <c r="C171" s="38" t="s">
        <v>2949</v>
      </c>
      <c r="D171" s="38">
        <v>3</v>
      </c>
      <c r="E171" s="39">
        <v>200316</v>
      </c>
      <c r="F171" s="39">
        <f t="shared" si="16"/>
        <v>200316</v>
      </c>
      <c r="G171" s="38">
        <v>8</v>
      </c>
      <c r="H171" s="38" t="s">
        <v>2916</v>
      </c>
      <c r="I171" s="38" t="s">
        <v>2917</v>
      </c>
      <c r="J171" s="38" t="s">
        <v>3439</v>
      </c>
      <c r="K171" s="38" t="s">
        <v>3348</v>
      </c>
      <c r="L171" s="38" t="s">
        <v>3373</v>
      </c>
      <c r="M171" s="38" t="s">
        <v>3374</v>
      </c>
      <c r="N171" s="40" t="s">
        <v>2935</v>
      </c>
      <c r="O171" s="41">
        <v>27353</v>
      </c>
      <c r="P171" s="38">
        <f t="shared" ca="1" si="11"/>
        <v>51</v>
      </c>
      <c r="Q171" s="42">
        <v>166419685</v>
      </c>
      <c r="R171" s="41">
        <v>34731</v>
      </c>
      <c r="S171" s="41">
        <v>39114</v>
      </c>
      <c r="T171" s="38" t="s">
        <v>2940</v>
      </c>
      <c r="U171" s="40"/>
      <c r="V171" s="40" t="s">
        <v>2923</v>
      </c>
      <c r="W171" s="40" t="s">
        <v>2923</v>
      </c>
      <c r="X171" s="40" t="s">
        <v>2923</v>
      </c>
      <c r="Y171" s="82" t="s">
        <v>2923</v>
      </c>
      <c r="Z171" s="40" t="s">
        <v>2923</v>
      </c>
      <c r="AA171" s="40" t="s">
        <v>2923</v>
      </c>
      <c r="AB171" s="79">
        <v>2002159035</v>
      </c>
      <c r="AC171" s="38"/>
    </row>
    <row r="172" spans="1:29" ht="90" customHeight="1" x14ac:dyDescent="0.2">
      <c r="A172" s="36" t="s">
        <v>3401</v>
      </c>
      <c r="B172" s="42">
        <v>171</v>
      </c>
      <c r="C172" s="38" t="s">
        <v>3375</v>
      </c>
      <c r="D172" s="38">
        <v>11</v>
      </c>
      <c r="E172" s="39">
        <v>363696</v>
      </c>
      <c r="F172" s="39">
        <f t="shared" si="16"/>
        <v>363696</v>
      </c>
      <c r="G172" s="38">
        <v>2</v>
      </c>
      <c r="H172" s="38" t="s">
        <v>2916</v>
      </c>
      <c r="I172" s="38" t="s">
        <v>2917</v>
      </c>
      <c r="J172" s="38" t="s">
        <v>3436</v>
      </c>
      <c r="K172" s="38" t="s">
        <v>3376</v>
      </c>
      <c r="L172" s="38" t="s">
        <v>3377</v>
      </c>
      <c r="M172" s="38" t="s">
        <v>3378</v>
      </c>
      <c r="N172" s="40" t="s">
        <v>2935</v>
      </c>
      <c r="O172" s="41">
        <v>22802</v>
      </c>
      <c r="P172" s="38">
        <f t="shared" ca="1" si="11"/>
        <v>64</v>
      </c>
      <c r="Q172" s="42">
        <v>905703361</v>
      </c>
      <c r="R172" s="41">
        <v>40640</v>
      </c>
      <c r="S172" s="41">
        <v>44291</v>
      </c>
      <c r="T172" s="38" t="s">
        <v>2940</v>
      </c>
      <c r="U172" s="40" t="s">
        <v>2855</v>
      </c>
      <c r="V172" s="40" t="s">
        <v>2923</v>
      </c>
      <c r="W172" s="40" t="s">
        <v>2923</v>
      </c>
      <c r="X172" s="40" t="s">
        <v>2923</v>
      </c>
      <c r="Y172" s="82" t="s">
        <v>2923</v>
      </c>
      <c r="Z172" s="40" t="s">
        <v>2923</v>
      </c>
      <c r="AA172" s="40" t="s">
        <v>2923</v>
      </c>
      <c r="AB172" s="79">
        <v>2003038476</v>
      </c>
      <c r="AC172" s="38"/>
    </row>
    <row r="173" spans="1:29" ht="90" customHeight="1" x14ac:dyDescent="0.2">
      <c r="A173" s="36" t="s">
        <v>3401</v>
      </c>
      <c r="B173" s="42">
        <v>172</v>
      </c>
      <c r="C173" s="38" t="s">
        <v>2949</v>
      </c>
      <c r="D173" s="38">
        <v>3</v>
      </c>
      <c r="E173" s="39">
        <v>197376</v>
      </c>
      <c r="F173" s="39">
        <f t="shared" si="16"/>
        <v>197376</v>
      </c>
      <c r="G173" s="38">
        <v>6</v>
      </c>
      <c r="H173" s="38" t="s">
        <v>2916</v>
      </c>
      <c r="I173" s="38" t="s">
        <v>2917</v>
      </c>
      <c r="J173" s="38" t="s">
        <v>3439</v>
      </c>
      <c r="K173" s="38" t="s">
        <v>3379</v>
      </c>
      <c r="L173" s="38" t="s">
        <v>3380</v>
      </c>
      <c r="M173" s="38" t="s">
        <v>3103</v>
      </c>
      <c r="N173" s="40" t="s">
        <v>2935</v>
      </c>
      <c r="O173" s="41">
        <v>24327</v>
      </c>
      <c r="P173" s="38">
        <f t="shared" ca="1" si="11"/>
        <v>59</v>
      </c>
      <c r="Q173" s="42">
        <v>292096219</v>
      </c>
      <c r="R173" s="41">
        <v>40254</v>
      </c>
      <c r="S173" s="41">
        <v>40254</v>
      </c>
      <c r="T173" s="38" t="s">
        <v>2940</v>
      </c>
      <c r="U173" s="40"/>
      <c r="V173" s="40" t="s">
        <v>2923</v>
      </c>
      <c r="W173" s="40" t="s">
        <v>2923</v>
      </c>
      <c r="X173" s="40" t="s">
        <v>2923</v>
      </c>
      <c r="Y173" s="82" t="s">
        <v>2923</v>
      </c>
      <c r="Z173" s="40" t="s">
        <v>2923</v>
      </c>
      <c r="AA173" s="40" t="s">
        <v>2923</v>
      </c>
      <c r="AB173" s="79">
        <v>2003975680</v>
      </c>
      <c r="AC173" s="38"/>
    </row>
    <row r="174" spans="1:29" ht="40.5" customHeight="1" x14ac:dyDescent="0.2">
      <c r="A174" s="51"/>
      <c r="B174" s="51"/>
      <c r="C174" s="52"/>
      <c r="D174" s="52"/>
      <c r="E174" s="53"/>
      <c r="F174" s="53"/>
      <c r="G174" s="52"/>
      <c r="H174" s="52"/>
      <c r="I174" s="52"/>
      <c r="J174" s="52"/>
      <c r="K174" s="52"/>
      <c r="L174" s="52"/>
      <c r="M174" s="52"/>
      <c r="N174" s="54"/>
      <c r="O174" s="55"/>
      <c r="P174" s="55"/>
      <c r="Q174" s="52"/>
    </row>
    <row r="175" spans="1:29" x14ac:dyDescent="0.2">
      <c r="A175" s="56" t="s">
        <v>3381</v>
      </c>
      <c r="B175" s="56"/>
      <c r="C175" s="57"/>
      <c r="D175" s="97" t="s">
        <v>3382</v>
      </c>
      <c r="E175" s="97"/>
      <c r="F175" s="27"/>
      <c r="G175" s="51"/>
      <c r="H175" s="51"/>
      <c r="I175" s="51"/>
      <c r="J175" s="27"/>
      <c r="K175" s="27"/>
      <c r="L175" s="58"/>
      <c r="M175" s="59"/>
      <c r="N175" s="59"/>
      <c r="O175" s="60"/>
      <c r="R175" s="56"/>
      <c r="S175" s="56"/>
    </row>
    <row r="176" spans="1:29" x14ac:dyDescent="0.2">
      <c r="A176" s="26"/>
      <c r="B176" s="26"/>
      <c r="C176" s="63"/>
      <c r="D176" s="64"/>
      <c r="E176" s="65"/>
      <c r="F176" s="27"/>
      <c r="G176" s="51"/>
      <c r="H176" s="51"/>
      <c r="I176" s="51"/>
      <c r="J176" s="27"/>
      <c r="K176" s="27"/>
      <c r="L176" s="58"/>
      <c r="M176" s="59"/>
      <c r="N176" s="59"/>
      <c r="O176" s="60"/>
      <c r="R176" s="66"/>
      <c r="S176" s="66"/>
    </row>
    <row r="177" spans="1:19" x14ac:dyDescent="0.2">
      <c r="A177" s="26" t="s">
        <v>3383</v>
      </c>
      <c r="B177" s="26"/>
      <c r="C177" s="25"/>
      <c r="D177" s="67"/>
      <c r="E177" s="68"/>
      <c r="F177" s="69"/>
      <c r="G177" s="25"/>
      <c r="H177" s="25"/>
      <c r="I177" s="25"/>
      <c r="J177" s="26"/>
      <c r="K177" s="26"/>
      <c r="L177" s="70"/>
      <c r="M177" s="71"/>
      <c r="N177" s="71"/>
      <c r="O177" s="72"/>
      <c r="R177" s="26"/>
      <c r="S177" s="26"/>
    </row>
    <row r="178" spans="1:19" x14ac:dyDescent="0.2">
      <c r="A178" s="26" t="s">
        <v>3384</v>
      </c>
      <c r="B178" s="26"/>
      <c r="C178" s="25"/>
      <c r="D178" s="67"/>
      <c r="E178" s="68"/>
      <c r="F178" s="69"/>
      <c r="G178" s="25"/>
      <c r="H178" s="25"/>
      <c r="I178" s="25"/>
      <c r="J178" s="26"/>
      <c r="K178" s="26"/>
      <c r="L178" s="70"/>
      <c r="M178" s="98" t="s">
        <v>3385</v>
      </c>
      <c r="N178" s="98"/>
      <c r="O178" s="72"/>
      <c r="R178" s="26"/>
      <c r="S178" s="26"/>
    </row>
    <row r="179" spans="1:19" x14ac:dyDescent="0.2">
      <c r="A179" s="26" t="s">
        <v>3386</v>
      </c>
      <c r="B179" s="26"/>
      <c r="C179" s="25"/>
      <c r="D179" s="67"/>
      <c r="E179" s="68"/>
      <c r="F179" s="69"/>
      <c r="G179" s="25"/>
      <c r="H179" s="25"/>
      <c r="I179" s="25"/>
      <c r="J179" s="26"/>
      <c r="K179" s="26"/>
      <c r="L179" s="70"/>
      <c r="M179" s="71"/>
      <c r="N179" s="71"/>
      <c r="O179" s="72"/>
      <c r="R179" s="26"/>
      <c r="S179" s="26"/>
    </row>
    <row r="180" spans="1:19" x14ac:dyDescent="0.2">
      <c r="A180" s="26"/>
      <c r="B180" s="26"/>
      <c r="C180" s="25"/>
      <c r="D180" s="67"/>
      <c r="E180" s="68"/>
      <c r="F180" s="69"/>
      <c r="G180" s="25"/>
      <c r="H180" s="25"/>
      <c r="I180" s="25"/>
      <c r="J180" s="26"/>
      <c r="K180" s="26"/>
      <c r="L180" s="70"/>
      <c r="M180" s="71"/>
      <c r="N180" s="71"/>
      <c r="O180" s="72"/>
      <c r="R180" s="26"/>
      <c r="S180" s="26"/>
    </row>
    <row r="181" spans="1:19" x14ac:dyDescent="0.2">
      <c r="A181" s="26"/>
      <c r="B181" s="26"/>
      <c r="C181" s="25"/>
      <c r="D181" s="67"/>
      <c r="E181" s="68"/>
      <c r="F181" s="69"/>
      <c r="G181" s="25"/>
      <c r="H181" s="25"/>
      <c r="I181" s="25"/>
      <c r="J181" s="26"/>
      <c r="K181" s="26"/>
      <c r="L181" s="70"/>
      <c r="M181" s="71"/>
      <c r="N181" s="71"/>
      <c r="O181" s="72"/>
      <c r="R181" s="26"/>
      <c r="S181" s="26"/>
    </row>
    <row r="182" spans="1:19" x14ac:dyDescent="0.2">
      <c r="A182" s="26"/>
      <c r="B182" s="73" t="s">
        <v>3387</v>
      </c>
      <c r="C182" s="74"/>
      <c r="D182" s="73"/>
      <c r="E182" s="73"/>
      <c r="F182" s="75">
        <v>46139</v>
      </c>
      <c r="G182" s="25"/>
      <c r="H182" s="25"/>
      <c r="I182" s="25"/>
      <c r="J182" s="70"/>
      <c r="N182" s="73" t="s">
        <v>3388</v>
      </c>
      <c r="O182" s="72"/>
      <c r="P182" s="76"/>
      <c r="Q182" s="75">
        <v>46139</v>
      </c>
      <c r="R182" s="73"/>
      <c r="S182" s="73"/>
    </row>
    <row r="183" spans="1:19" x14ac:dyDescent="0.2">
      <c r="A183" s="26"/>
      <c r="B183" s="96" t="s">
        <v>93</v>
      </c>
      <c r="C183" s="96"/>
      <c r="D183" s="96"/>
      <c r="E183" s="96"/>
      <c r="F183" s="62" t="s">
        <v>3389</v>
      </c>
      <c r="H183" s="25"/>
      <c r="I183" s="25"/>
      <c r="J183" s="26"/>
      <c r="K183" s="70"/>
      <c r="L183" s="71"/>
      <c r="M183" s="71"/>
      <c r="N183" s="71" t="s">
        <v>3390</v>
      </c>
      <c r="O183" s="72"/>
      <c r="Q183" s="25" t="s">
        <v>3389</v>
      </c>
    </row>
    <row r="184" spans="1:19" x14ac:dyDescent="0.2">
      <c r="A184" s="26"/>
      <c r="B184" s="26"/>
      <c r="C184" s="68"/>
      <c r="D184" s="77"/>
      <c r="E184" s="68"/>
      <c r="F184" s="62"/>
      <c r="H184" s="25"/>
      <c r="I184" s="25"/>
      <c r="J184" s="26"/>
      <c r="K184" s="70"/>
      <c r="L184" s="71"/>
      <c r="M184" s="71"/>
      <c r="N184" s="71"/>
      <c r="O184" s="72"/>
      <c r="Q184" s="25"/>
      <c r="R184" s="77"/>
      <c r="S184" s="77"/>
    </row>
    <row r="185" spans="1:19" x14ac:dyDescent="0.2">
      <c r="A185" s="26"/>
      <c r="B185" s="26"/>
      <c r="C185" s="68"/>
      <c r="D185" s="77"/>
      <c r="E185" s="68"/>
      <c r="F185" s="62"/>
      <c r="H185" s="25"/>
      <c r="I185" s="25"/>
      <c r="J185" s="26"/>
      <c r="K185" s="70"/>
      <c r="L185" s="71"/>
      <c r="M185" s="71"/>
      <c r="N185" s="71"/>
      <c r="O185" s="72"/>
      <c r="Q185" s="25"/>
      <c r="R185" s="77"/>
      <c r="S185" s="77"/>
    </row>
  </sheetData>
  <autoFilter ref="A1:AD173" xr:uid="{A7489C8F-09D7-4DDB-BC06-FCCE584D17B2}"/>
  <mergeCells count="3">
    <mergeCell ref="B183:E183"/>
    <mergeCell ref="D175:E175"/>
    <mergeCell ref="M178:N178"/>
  </mergeCells>
  <conditionalFormatting sqref="B1">
    <cfRule type="duplicateValues" dxfId="1" priority="1"/>
    <cfRule type="duplicateValues" dxfId="0" priority="2"/>
  </conditionalFormatting>
  <dataValidations count="3">
    <dataValidation type="list" allowBlank="1" showErrorMessage="1" sqref="S123 S125 N106:N173 N51:N85 N87:N104 N2:N49" xr:uid="{00000000-0002-0000-0100-000000000000}">
      <formula1>"M,F"</formula1>
    </dataValidation>
    <dataValidation type="whole" allowBlank="1" showInputMessage="1" showErrorMessage="1" sqref="D66 D33:D34 D60:D64 D146:D148 D158:D160 D71:D80" xr:uid="{00000000-0002-0000-0100-000001000000}">
      <formula1>0</formula1>
      <formula2>33</formula2>
    </dataValidation>
    <dataValidation type="decimal" allowBlank="1" showErrorMessage="1" sqref="D157 D161 D121:D125" xr:uid="{00000000-0002-0000-0100-000002000000}">
      <formula1>0</formula1>
      <formula2>31</formula2>
    </dataValidation>
  </dataValidations>
  <pageMargins left="0.25" right="0.25" top="0.25" bottom="0.25" header="0.3" footer="0.3"/>
  <pageSetup paperSize="9" scale="27" fitToHeight="0" orientation="landscape" r:id="rId1"/>
  <extLst>
    <ext xmlns:x14="http://schemas.microsoft.com/office/spreadsheetml/2009/9/main" uri="{CCE6A557-97BC-4b89-ADB6-D9C93CAAB3DF}">
      <x14:dataValidations xmlns:xm="http://schemas.microsoft.com/office/excel/2006/main" count="1">
        <x14:dataValidation type="list" allowBlank="1" xr:uid="{00000000-0002-0000-0100-000003000000}">
          <x14:formula1>
            <xm:f>'H:\Users\DELL\Downloads\[5DB2BA133EAA220191025 (1).xlsx]Positions'!#REF!</xm:f>
          </x14:formula1>
          <xm:sqref>C157:C161 C121:C126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3"/>
  <sheetViews>
    <sheetView topLeftCell="A13" zoomScale="70" workbookViewId="0">
      <selection activeCell="N36" sqref="N36"/>
    </sheetView>
  </sheetViews>
  <sheetFormatPr defaultColWidth="10" defaultRowHeight="12.75" x14ac:dyDescent="0.2"/>
  <cols>
    <col min="1" max="1" width="12.28515625" customWidth="1"/>
    <col min="2" max="23" width="12.7109375" customWidth="1"/>
  </cols>
  <sheetData>
    <row r="1" spans="1:22" x14ac:dyDescent="0.2">
      <c r="D1" s="3"/>
      <c r="E1" s="4"/>
      <c r="F1" s="4"/>
      <c r="G1" s="3"/>
      <c r="O1" s="5"/>
      <c r="P1" s="6"/>
      <c r="Q1" s="7"/>
      <c r="R1" s="5"/>
      <c r="S1" s="5"/>
    </row>
    <row r="2" spans="1:22" ht="20.25" x14ac:dyDescent="0.3">
      <c r="A2" s="110" t="s">
        <v>29</v>
      </c>
      <c r="B2" s="110"/>
      <c r="C2" s="110"/>
      <c r="D2" s="110"/>
      <c r="E2" s="110"/>
      <c r="F2" s="110"/>
      <c r="G2" s="110"/>
      <c r="O2" s="5"/>
      <c r="P2" s="6"/>
      <c r="Q2" s="7"/>
      <c r="R2" s="5"/>
      <c r="S2" s="5"/>
    </row>
    <row r="3" spans="1:22" ht="20.25" x14ac:dyDescent="0.3">
      <c r="A3" s="8"/>
      <c r="B3" s="8"/>
      <c r="C3" s="8"/>
      <c r="D3" s="8"/>
      <c r="E3" s="8"/>
      <c r="F3" s="8"/>
      <c r="G3" s="8"/>
      <c r="O3" s="5"/>
      <c r="P3" s="6"/>
      <c r="Q3" s="7"/>
      <c r="R3" s="5"/>
      <c r="S3" s="5"/>
    </row>
    <row r="4" spans="1:22" ht="36" x14ac:dyDescent="0.25">
      <c r="A4" s="9" t="s">
        <v>30</v>
      </c>
      <c r="B4" s="111" t="s">
        <v>31</v>
      </c>
      <c r="C4" s="111"/>
      <c r="D4" s="111"/>
      <c r="E4" s="111"/>
      <c r="F4" s="111"/>
      <c r="G4" s="111"/>
      <c r="H4" s="111"/>
      <c r="I4" s="111"/>
      <c r="J4" s="111"/>
      <c r="K4" s="111"/>
      <c r="L4" s="111"/>
      <c r="M4" s="111"/>
      <c r="N4" s="111"/>
      <c r="O4" s="111"/>
      <c r="P4" s="111"/>
      <c r="Q4" s="111"/>
      <c r="R4" s="111"/>
      <c r="S4" s="111"/>
      <c r="T4" s="111"/>
      <c r="U4" s="111"/>
      <c r="V4" s="111"/>
    </row>
    <row r="5" spans="1:22" ht="21" customHeight="1" x14ac:dyDescent="0.3">
      <c r="A5" s="10">
        <v>1</v>
      </c>
      <c r="B5" s="107" t="s">
        <v>32</v>
      </c>
      <c r="C5" s="108"/>
      <c r="D5" s="108"/>
      <c r="E5" s="108"/>
      <c r="F5" s="108"/>
      <c r="G5" s="108"/>
      <c r="H5" s="108"/>
      <c r="I5" s="108"/>
      <c r="J5" s="108"/>
      <c r="K5" s="108"/>
      <c r="L5" s="108"/>
      <c r="M5" s="108"/>
      <c r="N5" s="108"/>
      <c r="O5" s="108"/>
      <c r="P5" s="108"/>
      <c r="Q5" s="108"/>
      <c r="R5" s="108"/>
      <c r="S5" s="108"/>
      <c r="T5" s="108"/>
      <c r="U5" s="108"/>
      <c r="V5" s="109"/>
    </row>
    <row r="6" spans="1:22" ht="21" customHeight="1" x14ac:dyDescent="0.3">
      <c r="A6" s="10">
        <v>2</v>
      </c>
      <c r="B6" s="107" t="s">
        <v>33</v>
      </c>
      <c r="C6" s="108"/>
      <c r="D6" s="108"/>
      <c r="E6" s="108"/>
      <c r="F6" s="108"/>
      <c r="G6" s="108"/>
      <c r="H6" s="108"/>
      <c r="I6" s="108"/>
      <c r="J6" s="108"/>
      <c r="K6" s="108"/>
      <c r="L6" s="108"/>
      <c r="M6" s="108"/>
      <c r="N6" s="108"/>
      <c r="O6" s="108"/>
      <c r="P6" s="108"/>
      <c r="Q6" s="108"/>
      <c r="R6" s="108"/>
      <c r="S6" s="108"/>
      <c r="T6" s="108"/>
      <c r="U6" s="108"/>
      <c r="V6" s="109"/>
    </row>
    <row r="7" spans="1:22" ht="21" customHeight="1" x14ac:dyDescent="0.3">
      <c r="A7" s="10">
        <v>3</v>
      </c>
      <c r="B7" s="107" t="s">
        <v>34</v>
      </c>
      <c r="C7" s="108"/>
      <c r="D7" s="108"/>
      <c r="E7" s="108"/>
      <c r="F7" s="108"/>
      <c r="G7" s="108"/>
      <c r="H7" s="108"/>
      <c r="I7" s="108"/>
      <c r="J7" s="108"/>
      <c r="K7" s="108"/>
      <c r="L7" s="108"/>
      <c r="M7" s="108"/>
      <c r="N7" s="108"/>
      <c r="O7" s="108"/>
      <c r="P7" s="108"/>
      <c r="Q7" s="108"/>
      <c r="R7" s="108"/>
      <c r="S7" s="108"/>
      <c r="T7" s="108"/>
      <c r="U7" s="108"/>
      <c r="V7" s="109"/>
    </row>
    <row r="8" spans="1:22" ht="21" customHeight="1" x14ac:dyDescent="0.3">
      <c r="A8" s="10">
        <v>4</v>
      </c>
      <c r="B8" s="107" t="s">
        <v>35</v>
      </c>
      <c r="C8" s="108"/>
      <c r="D8" s="108"/>
      <c r="E8" s="108"/>
      <c r="F8" s="108"/>
      <c r="G8" s="108"/>
      <c r="H8" s="108"/>
      <c r="I8" s="108"/>
      <c r="J8" s="108"/>
      <c r="K8" s="108"/>
      <c r="L8" s="108"/>
      <c r="M8" s="108"/>
      <c r="N8" s="108"/>
      <c r="O8" s="108"/>
      <c r="P8" s="108"/>
      <c r="Q8" s="108"/>
      <c r="R8" s="108"/>
      <c r="S8" s="108"/>
      <c r="T8" s="108"/>
      <c r="U8" s="108"/>
      <c r="V8" s="109"/>
    </row>
    <row r="9" spans="1:22" ht="21" customHeight="1" x14ac:dyDescent="0.3">
      <c r="A9" s="10">
        <v>5</v>
      </c>
      <c r="B9" s="107" t="s">
        <v>36</v>
      </c>
      <c r="C9" s="108"/>
      <c r="D9" s="108"/>
      <c r="E9" s="108"/>
      <c r="F9" s="108"/>
      <c r="G9" s="108"/>
      <c r="H9" s="108"/>
      <c r="I9" s="108"/>
      <c r="J9" s="108"/>
      <c r="K9" s="108"/>
      <c r="L9" s="108"/>
      <c r="M9" s="108"/>
      <c r="N9" s="108"/>
      <c r="O9" s="108"/>
      <c r="P9" s="108"/>
      <c r="Q9" s="108"/>
      <c r="R9" s="108"/>
      <c r="S9" s="108"/>
      <c r="T9" s="108"/>
      <c r="U9" s="108"/>
      <c r="V9" s="109"/>
    </row>
    <row r="10" spans="1:22" ht="21" customHeight="1" x14ac:dyDescent="0.3">
      <c r="A10" s="10">
        <v>6</v>
      </c>
      <c r="B10" s="107" t="s">
        <v>37</v>
      </c>
      <c r="C10" s="108"/>
      <c r="D10" s="108"/>
      <c r="E10" s="108"/>
      <c r="F10" s="108"/>
      <c r="G10" s="108"/>
      <c r="H10" s="108"/>
      <c r="I10" s="108"/>
      <c r="J10" s="108"/>
      <c r="K10" s="108"/>
      <c r="L10" s="108"/>
      <c r="M10" s="108"/>
      <c r="N10" s="108"/>
      <c r="O10" s="108"/>
      <c r="P10" s="108"/>
      <c r="Q10" s="108"/>
      <c r="R10" s="108"/>
      <c r="S10" s="108"/>
      <c r="T10" s="108"/>
      <c r="U10" s="108"/>
      <c r="V10" s="109"/>
    </row>
    <row r="11" spans="1:22" ht="21" customHeight="1" x14ac:dyDescent="0.3">
      <c r="A11" s="10">
        <v>7</v>
      </c>
      <c r="B11" s="107" t="s">
        <v>38</v>
      </c>
      <c r="C11" s="108"/>
      <c r="D11" s="108"/>
      <c r="E11" s="108"/>
      <c r="F11" s="108"/>
      <c r="G11" s="108"/>
      <c r="H11" s="108"/>
      <c r="I11" s="108"/>
      <c r="J11" s="108"/>
      <c r="K11" s="108"/>
      <c r="L11" s="108"/>
      <c r="M11" s="108"/>
      <c r="N11" s="108"/>
      <c r="O11" s="108"/>
      <c r="P11" s="108"/>
      <c r="Q11" s="108"/>
      <c r="R11" s="108"/>
      <c r="S11" s="108"/>
      <c r="T11" s="108"/>
      <c r="U11" s="108"/>
      <c r="V11" s="109"/>
    </row>
    <row r="12" spans="1:22" ht="21" customHeight="1" x14ac:dyDescent="0.3">
      <c r="A12" s="10">
        <v>8</v>
      </c>
      <c r="B12" s="107" t="s">
        <v>39</v>
      </c>
      <c r="C12" s="108"/>
      <c r="D12" s="108"/>
      <c r="E12" s="108"/>
      <c r="F12" s="108"/>
      <c r="G12" s="108"/>
      <c r="H12" s="108"/>
      <c r="I12" s="108"/>
      <c r="J12" s="108"/>
      <c r="K12" s="108"/>
      <c r="L12" s="108"/>
      <c r="M12" s="108"/>
      <c r="N12" s="108"/>
      <c r="O12" s="108"/>
      <c r="P12" s="108"/>
      <c r="Q12" s="108"/>
      <c r="R12" s="108"/>
      <c r="S12" s="108"/>
      <c r="T12" s="108"/>
      <c r="U12" s="108"/>
      <c r="V12" s="109"/>
    </row>
    <row r="13" spans="1:22" ht="21" customHeight="1" x14ac:dyDescent="0.3">
      <c r="A13" s="10">
        <v>9</v>
      </c>
      <c r="B13" s="107" t="s">
        <v>40</v>
      </c>
      <c r="C13" s="108"/>
      <c r="D13" s="108"/>
      <c r="E13" s="108"/>
      <c r="F13" s="108"/>
      <c r="G13" s="108"/>
      <c r="H13" s="108"/>
      <c r="I13" s="108"/>
      <c r="J13" s="108"/>
      <c r="K13" s="108"/>
      <c r="L13" s="108"/>
      <c r="M13" s="108"/>
      <c r="N13" s="108"/>
      <c r="O13" s="108"/>
      <c r="P13" s="108"/>
      <c r="Q13" s="108"/>
      <c r="R13" s="108"/>
      <c r="S13" s="108"/>
      <c r="T13" s="108"/>
      <c r="U13" s="108"/>
      <c r="V13" s="109"/>
    </row>
    <row r="14" spans="1:22" ht="21" customHeight="1" x14ac:dyDescent="0.3">
      <c r="A14" s="10">
        <v>10</v>
      </c>
      <c r="B14" s="107" t="s">
        <v>41</v>
      </c>
      <c r="C14" s="108"/>
      <c r="D14" s="108"/>
      <c r="E14" s="108"/>
      <c r="F14" s="108"/>
      <c r="G14" s="108"/>
      <c r="H14" s="108"/>
      <c r="I14" s="108"/>
      <c r="J14" s="108"/>
      <c r="K14" s="108"/>
      <c r="L14" s="108"/>
      <c r="M14" s="108"/>
      <c r="N14" s="108"/>
      <c r="O14" s="108"/>
      <c r="P14" s="108"/>
      <c r="Q14" s="108"/>
      <c r="R14" s="108"/>
      <c r="S14" s="108"/>
      <c r="T14" s="108"/>
      <c r="U14" s="108"/>
      <c r="V14" s="109"/>
    </row>
    <row r="15" spans="1:22" ht="21" customHeight="1" x14ac:dyDescent="0.3">
      <c r="A15" s="10">
        <v>11</v>
      </c>
      <c r="B15" s="107" t="s">
        <v>42</v>
      </c>
      <c r="C15" s="108"/>
      <c r="D15" s="108"/>
      <c r="E15" s="108"/>
      <c r="F15" s="108"/>
      <c r="G15" s="108"/>
      <c r="H15" s="108"/>
      <c r="I15" s="108"/>
      <c r="J15" s="108"/>
      <c r="K15" s="108"/>
      <c r="L15" s="108"/>
      <c r="M15" s="108"/>
      <c r="N15" s="108"/>
      <c r="O15" s="108"/>
      <c r="P15" s="108"/>
      <c r="Q15" s="108"/>
      <c r="R15" s="108"/>
      <c r="S15" s="108"/>
      <c r="T15" s="108"/>
      <c r="U15" s="108"/>
      <c r="V15" s="109"/>
    </row>
    <row r="16" spans="1:22" ht="21" customHeight="1" x14ac:dyDescent="0.3">
      <c r="A16" s="10">
        <v>12</v>
      </c>
      <c r="B16" s="107" t="s">
        <v>43</v>
      </c>
      <c r="C16" s="108"/>
      <c r="D16" s="108"/>
      <c r="E16" s="108"/>
      <c r="F16" s="108"/>
      <c r="G16" s="108"/>
      <c r="H16" s="108"/>
      <c r="I16" s="108"/>
      <c r="J16" s="108"/>
      <c r="K16" s="108"/>
      <c r="L16" s="108"/>
      <c r="M16" s="108"/>
      <c r="N16" s="108"/>
      <c r="O16" s="108"/>
      <c r="P16" s="108"/>
      <c r="Q16" s="108"/>
      <c r="R16" s="108"/>
      <c r="S16" s="108"/>
      <c r="T16" s="108"/>
      <c r="U16" s="108"/>
      <c r="V16" s="109"/>
    </row>
    <row r="17" spans="1:22" ht="21" customHeight="1" x14ac:dyDescent="0.3">
      <c r="A17" s="10">
        <v>13</v>
      </c>
      <c r="B17" s="107" t="s">
        <v>44</v>
      </c>
      <c r="C17" s="108"/>
      <c r="D17" s="108"/>
      <c r="E17" s="108"/>
      <c r="F17" s="108"/>
      <c r="G17" s="108"/>
      <c r="H17" s="108"/>
      <c r="I17" s="108"/>
      <c r="J17" s="108"/>
      <c r="K17" s="108"/>
      <c r="L17" s="108"/>
      <c r="M17" s="108"/>
      <c r="N17" s="108"/>
      <c r="O17" s="108"/>
      <c r="P17" s="108"/>
      <c r="Q17" s="108"/>
      <c r="R17" s="108"/>
      <c r="S17" s="108"/>
      <c r="T17" s="108"/>
      <c r="U17" s="108"/>
      <c r="V17" s="109"/>
    </row>
    <row r="18" spans="1:22" ht="21" customHeight="1" x14ac:dyDescent="0.3">
      <c r="A18" s="10">
        <v>14</v>
      </c>
      <c r="B18" s="107" t="s">
        <v>45</v>
      </c>
      <c r="C18" s="108"/>
      <c r="D18" s="108"/>
      <c r="E18" s="108"/>
      <c r="F18" s="108"/>
      <c r="G18" s="108"/>
      <c r="H18" s="108"/>
      <c r="I18" s="108"/>
      <c r="J18" s="108"/>
      <c r="K18" s="108"/>
      <c r="L18" s="108"/>
      <c r="M18" s="108"/>
      <c r="N18" s="108"/>
      <c r="O18" s="108"/>
      <c r="P18" s="108"/>
      <c r="Q18" s="108"/>
      <c r="R18" s="108"/>
      <c r="S18" s="108"/>
      <c r="T18" s="108"/>
      <c r="U18" s="108"/>
      <c r="V18" s="109"/>
    </row>
    <row r="19" spans="1:22" ht="21" customHeight="1" x14ac:dyDescent="0.3">
      <c r="A19" s="10">
        <v>15</v>
      </c>
      <c r="B19" s="107" t="s">
        <v>46</v>
      </c>
      <c r="C19" s="108"/>
      <c r="D19" s="108"/>
      <c r="E19" s="108"/>
      <c r="F19" s="108"/>
      <c r="G19" s="108"/>
      <c r="H19" s="108"/>
      <c r="I19" s="108"/>
      <c r="J19" s="108"/>
      <c r="K19" s="108"/>
      <c r="L19" s="108"/>
      <c r="M19" s="108"/>
      <c r="N19" s="108"/>
      <c r="O19" s="108"/>
      <c r="P19" s="108"/>
      <c r="Q19" s="108"/>
      <c r="R19" s="108"/>
      <c r="S19" s="108"/>
      <c r="T19" s="108"/>
      <c r="U19" s="108"/>
      <c r="V19" s="109"/>
    </row>
    <row r="20" spans="1:22" ht="21" customHeight="1" x14ac:dyDescent="0.3">
      <c r="A20" s="10">
        <v>16</v>
      </c>
      <c r="B20" s="107" t="s">
        <v>47</v>
      </c>
      <c r="C20" s="108"/>
      <c r="D20" s="108"/>
      <c r="E20" s="108"/>
      <c r="F20" s="108"/>
      <c r="G20" s="108"/>
      <c r="H20" s="108"/>
      <c r="I20" s="108"/>
      <c r="J20" s="108"/>
      <c r="K20" s="108"/>
      <c r="L20" s="108"/>
      <c r="M20" s="108"/>
      <c r="N20" s="108"/>
      <c r="O20" s="108"/>
      <c r="P20" s="108"/>
      <c r="Q20" s="108"/>
      <c r="R20" s="108"/>
      <c r="S20" s="108"/>
      <c r="T20" s="108"/>
      <c r="U20" s="108"/>
      <c r="V20" s="109"/>
    </row>
    <row r="21" spans="1:22" ht="21" customHeight="1" x14ac:dyDescent="0.3">
      <c r="A21" s="10">
        <v>17</v>
      </c>
      <c r="B21" s="107" t="s">
        <v>48</v>
      </c>
      <c r="C21" s="108"/>
      <c r="D21" s="108"/>
      <c r="E21" s="108"/>
      <c r="F21" s="108"/>
      <c r="G21" s="108"/>
      <c r="H21" s="108"/>
      <c r="I21" s="108"/>
      <c r="J21" s="108"/>
      <c r="K21" s="108"/>
      <c r="L21" s="108"/>
      <c r="M21" s="108"/>
      <c r="N21" s="108"/>
      <c r="O21" s="108"/>
      <c r="P21" s="108"/>
      <c r="Q21" s="108"/>
      <c r="R21" s="108"/>
      <c r="S21" s="108"/>
      <c r="T21" s="108"/>
      <c r="U21" s="108"/>
      <c r="V21" s="109"/>
    </row>
    <row r="22" spans="1:22" ht="21" customHeight="1" x14ac:dyDescent="0.3">
      <c r="A22" s="10">
        <v>18</v>
      </c>
      <c r="B22" s="107" t="s">
        <v>49</v>
      </c>
      <c r="C22" s="108"/>
      <c r="D22" s="108"/>
      <c r="E22" s="108"/>
      <c r="F22" s="108"/>
      <c r="G22" s="108"/>
      <c r="H22" s="108"/>
      <c r="I22" s="108"/>
      <c r="J22" s="108"/>
      <c r="K22" s="108"/>
      <c r="L22" s="108"/>
      <c r="M22" s="108"/>
      <c r="N22" s="108"/>
      <c r="O22" s="108"/>
      <c r="P22" s="108"/>
      <c r="Q22" s="108"/>
      <c r="R22" s="108"/>
      <c r="S22" s="108"/>
      <c r="T22" s="108"/>
      <c r="U22" s="108"/>
      <c r="V22" s="109"/>
    </row>
    <row r="23" spans="1:22" ht="21" customHeight="1" x14ac:dyDescent="0.3">
      <c r="A23" s="10">
        <v>19</v>
      </c>
      <c r="B23" s="107" t="s">
        <v>2902</v>
      </c>
      <c r="C23" s="108"/>
      <c r="D23" s="108"/>
      <c r="E23" s="108"/>
      <c r="F23" s="108"/>
      <c r="G23" s="108"/>
      <c r="H23" s="108"/>
      <c r="I23" s="108"/>
      <c r="J23" s="108"/>
      <c r="K23" s="108"/>
      <c r="L23" s="108"/>
      <c r="M23" s="108"/>
      <c r="N23" s="108"/>
      <c r="O23" s="108"/>
      <c r="P23" s="108"/>
      <c r="Q23" s="108"/>
      <c r="R23" s="108"/>
      <c r="S23" s="108"/>
      <c r="T23" s="108"/>
      <c r="U23" s="108"/>
      <c r="V23" s="109"/>
    </row>
    <row r="24" spans="1:22" ht="21" customHeight="1" x14ac:dyDescent="0.3">
      <c r="A24" s="10">
        <v>20</v>
      </c>
      <c r="B24" s="107" t="s">
        <v>50</v>
      </c>
      <c r="C24" s="108"/>
      <c r="D24" s="108"/>
      <c r="E24" s="108"/>
      <c r="F24" s="108"/>
      <c r="G24" s="108"/>
      <c r="H24" s="108"/>
      <c r="I24" s="108"/>
      <c r="J24" s="108"/>
      <c r="K24" s="108"/>
      <c r="L24" s="108"/>
      <c r="M24" s="108"/>
      <c r="N24" s="108"/>
      <c r="O24" s="108"/>
      <c r="P24" s="108"/>
      <c r="Q24" s="108"/>
      <c r="R24" s="108"/>
      <c r="S24" s="108"/>
      <c r="T24" s="108"/>
      <c r="U24" s="108"/>
      <c r="V24" s="109"/>
    </row>
    <row r="25" spans="1:22" ht="21" customHeight="1" x14ac:dyDescent="0.3">
      <c r="A25" s="10">
        <v>21</v>
      </c>
      <c r="B25" s="107" t="s">
        <v>51</v>
      </c>
      <c r="C25" s="108"/>
      <c r="D25" s="108"/>
      <c r="E25" s="108"/>
      <c r="F25" s="108"/>
      <c r="G25" s="108"/>
      <c r="H25" s="108"/>
      <c r="I25" s="108"/>
      <c r="J25" s="108"/>
      <c r="K25" s="108"/>
      <c r="L25" s="108"/>
      <c r="M25" s="108"/>
      <c r="N25" s="108"/>
      <c r="O25" s="108"/>
      <c r="P25" s="108"/>
      <c r="Q25" s="108"/>
      <c r="R25" s="108"/>
      <c r="S25" s="108"/>
      <c r="T25" s="108"/>
      <c r="U25" s="108"/>
      <c r="V25" s="109"/>
    </row>
    <row r="26" spans="1:22" ht="21" customHeight="1" x14ac:dyDescent="0.3">
      <c r="A26" s="10">
        <v>22</v>
      </c>
      <c r="B26" s="107" t="s">
        <v>52</v>
      </c>
      <c r="C26" s="108"/>
      <c r="D26" s="108"/>
      <c r="E26" s="108"/>
      <c r="F26" s="108"/>
      <c r="G26" s="108"/>
      <c r="H26" s="108"/>
      <c r="I26" s="108"/>
      <c r="J26" s="108"/>
      <c r="K26" s="108"/>
      <c r="L26" s="108"/>
      <c r="M26" s="108"/>
      <c r="N26" s="108"/>
      <c r="O26" s="108"/>
      <c r="P26" s="108"/>
      <c r="Q26" s="108"/>
      <c r="R26" s="108"/>
      <c r="S26" s="108"/>
      <c r="T26" s="108"/>
      <c r="U26" s="108"/>
      <c r="V26" s="109"/>
    </row>
    <row r="27" spans="1:22" ht="21" customHeight="1" x14ac:dyDescent="0.3">
      <c r="A27" s="10">
        <v>23</v>
      </c>
      <c r="B27" s="107" t="s">
        <v>53</v>
      </c>
      <c r="C27" s="108"/>
      <c r="D27" s="108"/>
      <c r="E27" s="108"/>
      <c r="F27" s="108"/>
      <c r="G27" s="108"/>
      <c r="H27" s="108"/>
      <c r="I27" s="108"/>
      <c r="J27" s="108"/>
      <c r="K27" s="108"/>
      <c r="L27" s="108"/>
      <c r="M27" s="108"/>
      <c r="N27" s="108"/>
      <c r="O27" s="108"/>
      <c r="P27" s="108"/>
      <c r="Q27" s="108"/>
      <c r="R27" s="108"/>
      <c r="S27" s="108"/>
      <c r="T27" s="108"/>
      <c r="U27" s="108"/>
      <c r="V27" s="109"/>
    </row>
    <row r="28" spans="1:22" ht="21" customHeight="1" x14ac:dyDescent="0.3">
      <c r="A28" s="10">
        <v>24</v>
      </c>
      <c r="B28" s="107" t="s">
        <v>54</v>
      </c>
      <c r="C28" s="108"/>
      <c r="D28" s="108"/>
      <c r="E28" s="108"/>
      <c r="F28" s="108"/>
      <c r="G28" s="108"/>
      <c r="H28" s="108"/>
      <c r="I28" s="108"/>
      <c r="J28" s="108"/>
      <c r="K28" s="108"/>
      <c r="L28" s="108"/>
      <c r="M28" s="108"/>
      <c r="N28" s="108"/>
      <c r="O28" s="108"/>
      <c r="P28" s="108"/>
      <c r="Q28" s="108"/>
      <c r="R28" s="108"/>
      <c r="S28" s="108"/>
      <c r="T28" s="108"/>
      <c r="U28" s="108"/>
      <c r="V28" s="109"/>
    </row>
    <row r="29" spans="1:22" ht="20.25" x14ac:dyDescent="0.3">
      <c r="A29" s="10">
        <v>25</v>
      </c>
      <c r="B29" s="107" t="s">
        <v>55</v>
      </c>
      <c r="C29" s="108"/>
      <c r="D29" s="108"/>
      <c r="E29" s="108"/>
      <c r="F29" s="108"/>
      <c r="G29" s="108"/>
      <c r="H29" s="108"/>
      <c r="I29" s="108"/>
      <c r="J29" s="108"/>
      <c r="K29" s="108"/>
      <c r="L29" s="108"/>
      <c r="M29" s="108"/>
      <c r="N29" s="108"/>
      <c r="O29" s="108"/>
      <c r="P29" s="108"/>
      <c r="Q29" s="108"/>
      <c r="R29" s="108"/>
      <c r="S29" s="108"/>
      <c r="T29" s="108"/>
      <c r="U29" s="108"/>
      <c r="V29" s="109"/>
    </row>
    <row r="30" spans="1:22" x14ac:dyDescent="0.2">
      <c r="D30" s="3"/>
      <c r="E30" s="4"/>
      <c r="F30" s="4"/>
      <c r="G30" s="3"/>
      <c r="O30" s="5"/>
      <c r="P30" s="6"/>
      <c r="Q30" s="7"/>
      <c r="R30" s="5"/>
      <c r="S30" s="5"/>
    </row>
    <row r="31" spans="1:22" x14ac:dyDescent="0.2">
      <c r="D31" s="3"/>
      <c r="E31" s="4"/>
      <c r="F31" s="4"/>
      <c r="G31" s="3"/>
      <c r="O31" s="5"/>
      <c r="P31" s="6"/>
      <c r="Q31" s="7"/>
      <c r="R31" s="5"/>
      <c r="S31" s="5"/>
    </row>
    <row r="32" spans="1:22" ht="18.75" x14ac:dyDescent="0.3">
      <c r="A32" s="11" t="s">
        <v>56</v>
      </c>
      <c r="B32" s="112" t="s">
        <v>57</v>
      </c>
      <c r="C32" s="112"/>
      <c r="D32" s="112"/>
      <c r="E32" s="112"/>
      <c r="F32" s="112"/>
      <c r="G32" s="112"/>
      <c r="H32" s="112"/>
      <c r="I32" s="112"/>
      <c r="J32" s="112"/>
      <c r="K32" s="112"/>
      <c r="L32" s="112"/>
      <c r="M32" s="112"/>
      <c r="N32" s="112"/>
      <c r="O32" s="112"/>
      <c r="P32" s="112"/>
      <c r="Q32" s="112"/>
      <c r="R32" s="112"/>
      <c r="S32" s="112"/>
      <c r="T32" s="112"/>
      <c r="U32" s="112"/>
      <c r="V32" s="112"/>
    </row>
    <row r="33" spans="4:19" x14ac:dyDescent="0.2">
      <c r="D33" s="3"/>
      <c r="E33" s="4"/>
      <c r="F33" s="4"/>
      <c r="G33" s="3"/>
      <c r="O33" s="5"/>
      <c r="P33" s="6"/>
      <c r="Q33" s="7"/>
      <c r="R33" s="5"/>
      <c r="S33" s="5"/>
    </row>
  </sheetData>
  <mergeCells count="28">
    <mergeCell ref="B32:V32"/>
    <mergeCell ref="B11:V11"/>
    <mergeCell ref="B26:V26"/>
    <mergeCell ref="B27:V27"/>
    <mergeCell ref="B13:V13"/>
    <mergeCell ref="B18:V18"/>
    <mergeCell ref="B21:V21"/>
    <mergeCell ref="B22:V22"/>
    <mergeCell ref="B23:V23"/>
    <mergeCell ref="B25:V25"/>
    <mergeCell ref="B28:V28"/>
    <mergeCell ref="B24:V24"/>
    <mergeCell ref="B19:V19"/>
    <mergeCell ref="B20:V20"/>
    <mergeCell ref="B29:V29"/>
    <mergeCell ref="B10:V10"/>
    <mergeCell ref="B15:V15"/>
    <mergeCell ref="B12:V12"/>
    <mergeCell ref="B17:V17"/>
    <mergeCell ref="A2:G2"/>
    <mergeCell ref="B14:V14"/>
    <mergeCell ref="B4:V4"/>
    <mergeCell ref="B16:V16"/>
    <mergeCell ref="B9:V9"/>
    <mergeCell ref="B8:V8"/>
    <mergeCell ref="B5:V5"/>
    <mergeCell ref="B6:V6"/>
    <mergeCell ref="B7:V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802"/>
  <sheetViews>
    <sheetView workbookViewId="0">
      <selection activeCell="R14" sqref="R14"/>
    </sheetView>
  </sheetViews>
  <sheetFormatPr defaultColWidth="14" defaultRowHeight="15.75" customHeight="1" x14ac:dyDescent="0.2"/>
  <sheetData>
    <row r="1" spans="1:1" ht="15.75" customHeight="1" x14ac:dyDescent="0.25">
      <c r="A1" s="12" t="s">
        <v>58</v>
      </c>
    </row>
    <row r="2" spans="1:1" ht="15.75" customHeight="1" x14ac:dyDescent="0.25">
      <c r="A2" s="12" t="s">
        <v>59</v>
      </c>
    </row>
    <row r="3" spans="1:1" ht="15.75" customHeight="1" x14ac:dyDescent="0.25">
      <c r="A3" s="12" t="s">
        <v>60</v>
      </c>
    </row>
    <row r="4" spans="1:1" ht="15.75" customHeight="1" x14ac:dyDescent="0.25">
      <c r="A4" s="12" t="s">
        <v>61</v>
      </c>
    </row>
    <row r="5" spans="1:1" ht="15.75" customHeight="1" x14ac:dyDescent="0.25">
      <c r="A5" s="12" t="s">
        <v>62</v>
      </c>
    </row>
    <row r="6" spans="1:1" ht="15.75" customHeight="1" x14ac:dyDescent="0.25">
      <c r="A6" s="12" t="s">
        <v>63</v>
      </c>
    </row>
    <row r="7" spans="1:1" ht="15.75" customHeight="1" x14ac:dyDescent="0.25">
      <c r="A7" s="12" t="s">
        <v>64</v>
      </c>
    </row>
    <row r="8" spans="1:1" ht="15.75" customHeight="1" x14ac:dyDescent="0.25">
      <c r="A8" s="12" t="s">
        <v>65</v>
      </c>
    </row>
    <row r="9" spans="1:1" ht="15.75" customHeight="1" x14ac:dyDescent="0.25">
      <c r="A9" s="12" t="s">
        <v>66</v>
      </c>
    </row>
    <row r="10" spans="1:1" ht="15.75" customHeight="1" x14ac:dyDescent="0.25">
      <c r="A10" s="12" t="s">
        <v>67</v>
      </c>
    </row>
    <row r="11" spans="1:1" ht="15.75" customHeight="1" x14ac:dyDescent="0.25">
      <c r="A11" s="12" t="s">
        <v>68</v>
      </c>
    </row>
    <row r="12" spans="1:1" ht="15.75" customHeight="1" x14ac:dyDescent="0.25">
      <c r="A12" s="12" t="s">
        <v>69</v>
      </c>
    </row>
    <row r="13" spans="1:1" ht="15.75" customHeight="1" x14ac:dyDescent="0.25">
      <c r="A13" s="12" t="s">
        <v>70</v>
      </c>
    </row>
    <row r="14" spans="1:1" ht="15.75" customHeight="1" x14ac:dyDescent="0.25">
      <c r="A14" s="12" t="s">
        <v>71</v>
      </c>
    </row>
    <row r="15" spans="1:1" ht="15.75" customHeight="1" x14ac:dyDescent="0.25">
      <c r="A15" s="12" t="s">
        <v>72</v>
      </c>
    </row>
    <row r="16" spans="1:1" ht="15.75" customHeight="1" x14ac:dyDescent="0.25">
      <c r="A16" s="12" t="s">
        <v>73</v>
      </c>
    </row>
    <row r="17" spans="1:1" ht="15.75" customHeight="1" x14ac:dyDescent="0.25">
      <c r="A17" s="12" t="s">
        <v>74</v>
      </c>
    </row>
    <row r="18" spans="1:1" ht="15.75" customHeight="1" x14ac:dyDescent="0.25">
      <c r="A18" s="12" t="s">
        <v>75</v>
      </c>
    </row>
    <row r="19" spans="1:1" ht="15.75" customHeight="1" x14ac:dyDescent="0.25">
      <c r="A19" s="12" t="s">
        <v>76</v>
      </c>
    </row>
    <row r="20" spans="1:1" ht="15.75" customHeight="1" x14ac:dyDescent="0.25">
      <c r="A20" s="12" t="s">
        <v>77</v>
      </c>
    </row>
    <row r="21" spans="1:1" ht="15.75" customHeight="1" x14ac:dyDescent="0.25">
      <c r="A21" s="12" t="s">
        <v>78</v>
      </c>
    </row>
    <row r="22" spans="1:1" ht="15.75" customHeight="1" x14ac:dyDescent="0.25">
      <c r="A22" s="12" t="s">
        <v>79</v>
      </c>
    </row>
    <row r="23" spans="1:1" ht="15.75" customHeight="1" x14ac:dyDescent="0.25">
      <c r="A23" s="12" t="s">
        <v>80</v>
      </c>
    </row>
    <row r="24" spans="1:1" ht="15.75" customHeight="1" x14ac:dyDescent="0.25">
      <c r="A24" s="12" t="s">
        <v>81</v>
      </c>
    </row>
    <row r="25" spans="1:1" ht="15.75" customHeight="1" x14ac:dyDescent="0.25">
      <c r="A25" s="12" t="s">
        <v>82</v>
      </c>
    </row>
    <row r="26" spans="1:1" ht="15.75" customHeight="1" x14ac:dyDescent="0.25">
      <c r="A26" s="12" t="s">
        <v>83</v>
      </c>
    </row>
    <row r="27" spans="1:1" ht="15" x14ac:dyDescent="0.25">
      <c r="A27" s="12" t="s">
        <v>84</v>
      </c>
    </row>
    <row r="28" spans="1:1" ht="15" x14ac:dyDescent="0.25">
      <c r="A28" s="12" t="s">
        <v>85</v>
      </c>
    </row>
    <row r="29" spans="1:1" ht="15" x14ac:dyDescent="0.25">
      <c r="A29" s="12" t="s">
        <v>86</v>
      </c>
    </row>
    <row r="30" spans="1:1" ht="15" x14ac:dyDescent="0.25">
      <c r="A30" s="12" t="s">
        <v>87</v>
      </c>
    </row>
    <row r="31" spans="1:1" ht="15" x14ac:dyDescent="0.25">
      <c r="A31" s="12" t="s">
        <v>88</v>
      </c>
    </row>
    <row r="32" spans="1:1" ht="15" x14ac:dyDescent="0.25">
      <c r="A32" s="12" t="s">
        <v>89</v>
      </c>
    </row>
    <row r="33" spans="1:1" ht="15" x14ac:dyDescent="0.25">
      <c r="A33" s="12" t="s">
        <v>90</v>
      </c>
    </row>
    <row r="34" spans="1:1" ht="15" x14ac:dyDescent="0.25">
      <c r="A34" s="12" t="s">
        <v>90</v>
      </c>
    </row>
    <row r="35" spans="1:1" ht="15" x14ac:dyDescent="0.25">
      <c r="A35" s="12" t="s">
        <v>91</v>
      </c>
    </row>
    <row r="36" spans="1:1" ht="15" x14ac:dyDescent="0.25">
      <c r="A36" s="12" t="s">
        <v>91</v>
      </c>
    </row>
    <row r="37" spans="1:1" ht="15" x14ac:dyDescent="0.25">
      <c r="A37" s="12" t="s">
        <v>92</v>
      </c>
    </row>
    <row r="38" spans="1:1" ht="15" x14ac:dyDescent="0.25">
      <c r="A38" s="12" t="s">
        <v>92</v>
      </c>
    </row>
    <row r="39" spans="1:1" ht="15" x14ac:dyDescent="0.25">
      <c r="A39" s="12" t="s">
        <v>93</v>
      </c>
    </row>
    <row r="40" spans="1:1" ht="15" x14ac:dyDescent="0.25">
      <c r="A40" s="12" t="s">
        <v>93</v>
      </c>
    </row>
    <row r="41" spans="1:1" ht="15" x14ac:dyDescent="0.25">
      <c r="A41" s="12" t="s">
        <v>94</v>
      </c>
    </row>
    <row r="42" spans="1:1" ht="15" x14ac:dyDescent="0.25">
      <c r="A42" s="12" t="s">
        <v>94</v>
      </c>
    </row>
    <row r="43" spans="1:1" ht="15" x14ac:dyDescent="0.25">
      <c r="A43" s="12" t="s">
        <v>95</v>
      </c>
    </row>
    <row r="44" spans="1:1" ht="15" x14ac:dyDescent="0.25">
      <c r="A44" s="12" t="s">
        <v>96</v>
      </c>
    </row>
    <row r="45" spans="1:1" ht="15" x14ac:dyDescent="0.25">
      <c r="A45" s="12" t="s">
        <v>97</v>
      </c>
    </row>
    <row r="46" spans="1:1" ht="15" x14ac:dyDescent="0.25">
      <c r="A46" s="12" t="s">
        <v>98</v>
      </c>
    </row>
    <row r="47" spans="1:1" ht="15" x14ac:dyDescent="0.25">
      <c r="A47" s="12" t="s">
        <v>99</v>
      </c>
    </row>
    <row r="48" spans="1:1" ht="15" x14ac:dyDescent="0.25">
      <c r="A48" s="12" t="s">
        <v>100</v>
      </c>
    </row>
    <row r="49" spans="1:1" ht="15" x14ac:dyDescent="0.25">
      <c r="A49" s="12" t="s">
        <v>101</v>
      </c>
    </row>
    <row r="50" spans="1:1" ht="15" x14ac:dyDescent="0.25">
      <c r="A50" s="12" t="s">
        <v>102</v>
      </c>
    </row>
    <row r="51" spans="1:1" ht="15" x14ac:dyDescent="0.25">
      <c r="A51" s="12" t="s">
        <v>103</v>
      </c>
    </row>
    <row r="52" spans="1:1" ht="15" x14ac:dyDescent="0.25">
      <c r="A52" s="12" t="s">
        <v>104</v>
      </c>
    </row>
    <row r="53" spans="1:1" ht="15" x14ac:dyDescent="0.25">
      <c r="A53" s="12" t="s">
        <v>105</v>
      </c>
    </row>
    <row r="54" spans="1:1" ht="15" x14ac:dyDescent="0.25">
      <c r="A54" s="12" t="s">
        <v>106</v>
      </c>
    </row>
    <row r="55" spans="1:1" ht="15" x14ac:dyDescent="0.25">
      <c r="A55" s="12" t="s">
        <v>107</v>
      </c>
    </row>
    <row r="56" spans="1:1" ht="15" x14ac:dyDescent="0.25">
      <c r="A56" s="12" t="s">
        <v>108</v>
      </c>
    </row>
    <row r="57" spans="1:1" ht="15" x14ac:dyDescent="0.25">
      <c r="A57" s="12" t="s">
        <v>109</v>
      </c>
    </row>
    <row r="58" spans="1:1" ht="15" x14ac:dyDescent="0.25">
      <c r="A58" s="12" t="s">
        <v>110</v>
      </c>
    </row>
    <row r="59" spans="1:1" ht="15" x14ac:dyDescent="0.25">
      <c r="A59" s="12" t="s">
        <v>111</v>
      </c>
    </row>
    <row r="60" spans="1:1" ht="15" x14ac:dyDescent="0.25">
      <c r="A60" s="12" t="s">
        <v>112</v>
      </c>
    </row>
    <row r="61" spans="1:1" ht="15" x14ac:dyDescent="0.25">
      <c r="A61" s="12" t="s">
        <v>113</v>
      </c>
    </row>
    <row r="62" spans="1:1" ht="15" x14ac:dyDescent="0.25">
      <c r="A62" s="12" t="s">
        <v>114</v>
      </c>
    </row>
    <row r="63" spans="1:1" ht="15" x14ac:dyDescent="0.25">
      <c r="A63" s="12" t="s">
        <v>115</v>
      </c>
    </row>
    <row r="64" spans="1:1" ht="15" x14ac:dyDescent="0.25">
      <c r="A64" s="12" t="s">
        <v>116</v>
      </c>
    </row>
    <row r="65" spans="1:1" ht="15" x14ac:dyDescent="0.25">
      <c r="A65" s="12" t="s">
        <v>117</v>
      </c>
    </row>
    <row r="66" spans="1:1" ht="15" x14ac:dyDescent="0.25">
      <c r="A66" s="12" t="s">
        <v>118</v>
      </c>
    </row>
    <row r="67" spans="1:1" ht="15" x14ac:dyDescent="0.25">
      <c r="A67" s="12" t="s">
        <v>119</v>
      </c>
    </row>
    <row r="68" spans="1:1" ht="15" x14ac:dyDescent="0.25">
      <c r="A68" s="12" t="s">
        <v>120</v>
      </c>
    </row>
    <row r="69" spans="1:1" ht="15" x14ac:dyDescent="0.25">
      <c r="A69" s="12" t="s">
        <v>121</v>
      </c>
    </row>
    <row r="70" spans="1:1" ht="15" x14ac:dyDescent="0.25">
      <c r="A70" s="12" t="s">
        <v>122</v>
      </c>
    </row>
    <row r="71" spans="1:1" ht="15" x14ac:dyDescent="0.25">
      <c r="A71" s="12" t="s">
        <v>123</v>
      </c>
    </row>
    <row r="72" spans="1:1" ht="15" x14ac:dyDescent="0.25">
      <c r="A72" s="12" t="s">
        <v>124</v>
      </c>
    </row>
    <row r="73" spans="1:1" ht="15" x14ac:dyDescent="0.25">
      <c r="A73" s="12" t="s">
        <v>125</v>
      </c>
    </row>
    <row r="74" spans="1:1" ht="15" x14ac:dyDescent="0.25">
      <c r="A74" s="12" t="s">
        <v>126</v>
      </c>
    </row>
    <row r="75" spans="1:1" ht="15" x14ac:dyDescent="0.25">
      <c r="A75" s="12" t="s">
        <v>127</v>
      </c>
    </row>
    <row r="76" spans="1:1" ht="15" x14ac:dyDescent="0.25">
      <c r="A76" s="12" t="s">
        <v>128</v>
      </c>
    </row>
    <row r="77" spans="1:1" ht="15" x14ac:dyDescent="0.25">
      <c r="A77" s="12" t="s">
        <v>129</v>
      </c>
    </row>
    <row r="78" spans="1:1" ht="15" x14ac:dyDescent="0.25">
      <c r="A78" s="12" t="s">
        <v>130</v>
      </c>
    </row>
    <row r="79" spans="1:1" ht="15" x14ac:dyDescent="0.25">
      <c r="A79" s="12" t="s">
        <v>131</v>
      </c>
    </row>
    <row r="80" spans="1:1" ht="15" x14ac:dyDescent="0.25">
      <c r="A80" s="12" t="s">
        <v>132</v>
      </c>
    </row>
    <row r="81" spans="1:1" ht="15" x14ac:dyDescent="0.25">
      <c r="A81" s="12" t="s">
        <v>133</v>
      </c>
    </row>
    <row r="82" spans="1:1" ht="15" x14ac:dyDescent="0.25">
      <c r="A82" s="12" t="s">
        <v>134</v>
      </c>
    </row>
    <row r="83" spans="1:1" ht="15" x14ac:dyDescent="0.25">
      <c r="A83" s="12" t="s">
        <v>135</v>
      </c>
    </row>
    <row r="84" spans="1:1" ht="15" x14ac:dyDescent="0.25">
      <c r="A84" s="12" t="s">
        <v>136</v>
      </c>
    </row>
    <row r="85" spans="1:1" ht="15" x14ac:dyDescent="0.25">
      <c r="A85" s="12" t="s">
        <v>137</v>
      </c>
    </row>
    <row r="86" spans="1:1" ht="15" x14ac:dyDescent="0.25">
      <c r="A86" s="12" t="s">
        <v>138</v>
      </c>
    </row>
    <row r="87" spans="1:1" ht="15" x14ac:dyDescent="0.25">
      <c r="A87" s="12" t="s">
        <v>139</v>
      </c>
    </row>
    <row r="88" spans="1:1" ht="15" x14ac:dyDescent="0.25">
      <c r="A88" s="12" t="s">
        <v>140</v>
      </c>
    </row>
    <row r="89" spans="1:1" ht="15" x14ac:dyDescent="0.25">
      <c r="A89" s="12" t="s">
        <v>141</v>
      </c>
    </row>
    <row r="90" spans="1:1" ht="15" x14ac:dyDescent="0.25">
      <c r="A90" s="12" t="s">
        <v>142</v>
      </c>
    </row>
    <row r="91" spans="1:1" ht="15" x14ac:dyDescent="0.25">
      <c r="A91" s="12" t="s">
        <v>143</v>
      </c>
    </row>
    <row r="92" spans="1:1" ht="15" x14ac:dyDescent="0.25">
      <c r="A92" s="12" t="s">
        <v>144</v>
      </c>
    </row>
    <row r="93" spans="1:1" ht="15" x14ac:dyDescent="0.25">
      <c r="A93" s="12" t="s">
        <v>145</v>
      </c>
    </row>
    <row r="94" spans="1:1" ht="15" x14ac:dyDescent="0.25">
      <c r="A94" s="12" t="s">
        <v>146</v>
      </c>
    </row>
    <row r="95" spans="1:1" ht="15" x14ac:dyDescent="0.25">
      <c r="A95" s="12" t="s">
        <v>147</v>
      </c>
    </row>
    <row r="96" spans="1:1" ht="15" x14ac:dyDescent="0.25">
      <c r="A96" s="12" t="s">
        <v>148</v>
      </c>
    </row>
    <row r="97" spans="1:1" ht="15" x14ac:dyDescent="0.25">
      <c r="A97" s="12" t="s">
        <v>149</v>
      </c>
    </row>
    <row r="98" spans="1:1" ht="15" x14ac:dyDescent="0.25">
      <c r="A98" s="12" t="s">
        <v>150</v>
      </c>
    </row>
    <row r="99" spans="1:1" ht="15" x14ac:dyDescent="0.25">
      <c r="A99" s="12" t="s">
        <v>151</v>
      </c>
    </row>
    <row r="100" spans="1:1" ht="15" x14ac:dyDescent="0.25">
      <c r="A100" s="12" t="s">
        <v>152</v>
      </c>
    </row>
    <row r="101" spans="1:1" ht="15" x14ac:dyDescent="0.25">
      <c r="A101" s="12" t="s">
        <v>153</v>
      </c>
    </row>
    <row r="102" spans="1:1" ht="15" x14ac:dyDescent="0.25">
      <c r="A102" s="12" t="s">
        <v>154</v>
      </c>
    </row>
    <row r="103" spans="1:1" ht="15" x14ac:dyDescent="0.25">
      <c r="A103" s="12" t="s">
        <v>155</v>
      </c>
    </row>
    <row r="104" spans="1:1" ht="15" x14ac:dyDescent="0.25">
      <c r="A104" s="12" t="s">
        <v>156</v>
      </c>
    </row>
    <row r="105" spans="1:1" ht="15" x14ac:dyDescent="0.25">
      <c r="A105" s="12" t="s">
        <v>157</v>
      </c>
    </row>
    <row r="106" spans="1:1" ht="15" x14ac:dyDescent="0.25">
      <c r="A106" s="12" t="s">
        <v>158</v>
      </c>
    </row>
    <row r="107" spans="1:1" ht="15" x14ac:dyDescent="0.25">
      <c r="A107" s="12" t="s">
        <v>159</v>
      </c>
    </row>
    <row r="108" spans="1:1" ht="15" x14ac:dyDescent="0.25">
      <c r="A108" s="12" t="s">
        <v>160</v>
      </c>
    </row>
    <row r="109" spans="1:1" ht="15" x14ac:dyDescent="0.25">
      <c r="A109" s="12" t="s">
        <v>161</v>
      </c>
    </row>
    <row r="110" spans="1:1" ht="15" x14ac:dyDescent="0.25">
      <c r="A110" s="12" t="s">
        <v>162</v>
      </c>
    </row>
    <row r="111" spans="1:1" ht="15" x14ac:dyDescent="0.25">
      <c r="A111" s="12" t="s">
        <v>163</v>
      </c>
    </row>
    <row r="112" spans="1:1" ht="15" x14ac:dyDescent="0.25">
      <c r="A112" s="12" t="s">
        <v>164</v>
      </c>
    </row>
    <row r="113" spans="1:1" ht="15" x14ac:dyDescent="0.25">
      <c r="A113" s="12" t="s">
        <v>165</v>
      </c>
    </row>
    <row r="114" spans="1:1" ht="15" x14ac:dyDescent="0.25">
      <c r="A114" s="12" t="s">
        <v>166</v>
      </c>
    </row>
    <row r="115" spans="1:1" ht="15" x14ac:dyDescent="0.25">
      <c r="A115" s="12" t="s">
        <v>167</v>
      </c>
    </row>
    <row r="116" spans="1:1" ht="15" x14ac:dyDescent="0.25">
      <c r="A116" s="12" t="s">
        <v>168</v>
      </c>
    </row>
    <row r="117" spans="1:1" ht="15" x14ac:dyDescent="0.25">
      <c r="A117" s="12" t="s">
        <v>169</v>
      </c>
    </row>
    <row r="118" spans="1:1" ht="15" x14ac:dyDescent="0.25">
      <c r="A118" s="12" t="s">
        <v>170</v>
      </c>
    </row>
    <row r="119" spans="1:1" ht="15" x14ac:dyDescent="0.25">
      <c r="A119" s="12" t="s">
        <v>171</v>
      </c>
    </row>
    <row r="120" spans="1:1" ht="15" x14ac:dyDescent="0.25">
      <c r="A120" s="12" t="s">
        <v>172</v>
      </c>
    </row>
    <row r="121" spans="1:1" ht="15" x14ac:dyDescent="0.25">
      <c r="A121" s="12" t="s">
        <v>173</v>
      </c>
    </row>
    <row r="122" spans="1:1" ht="15" x14ac:dyDescent="0.25">
      <c r="A122" s="12" t="s">
        <v>174</v>
      </c>
    </row>
    <row r="123" spans="1:1" ht="15" x14ac:dyDescent="0.25">
      <c r="A123" s="12" t="s">
        <v>175</v>
      </c>
    </row>
    <row r="124" spans="1:1" ht="15" x14ac:dyDescent="0.25">
      <c r="A124" s="12" t="s">
        <v>176</v>
      </c>
    </row>
    <row r="125" spans="1:1" ht="15" x14ac:dyDescent="0.25">
      <c r="A125" s="12" t="s">
        <v>177</v>
      </c>
    </row>
    <row r="126" spans="1:1" ht="15" x14ac:dyDescent="0.25">
      <c r="A126" s="12" t="s">
        <v>178</v>
      </c>
    </row>
    <row r="127" spans="1:1" ht="15" x14ac:dyDescent="0.25">
      <c r="A127" s="12" t="s">
        <v>179</v>
      </c>
    </row>
    <row r="128" spans="1:1" ht="15" x14ac:dyDescent="0.25">
      <c r="A128" s="12" t="s">
        <v>180</v>
      </c>
    </row>
    <row r="129" spans="1:1" ht="15" x14ac:dyDescent="0.25">
      <c r="A129" s="12" t="s">
        <v>181</v>
      </c>
    </row>
    <row r="130" spans="1:1" ht="15" x14ac:dyDescent="0.25">
      <c r="A130" s="12" t="s">
        <v>182</v>
      </c>
    </row>
    <row r="131" spans="1:1" ht="15" x14ac:dyDescent="0.25">
      <c r="A131" s="12" t="s">
        <v>183</v>
      </c>
    </row>
    <row r="132" spans="1:1" ht="15" x14ac:dyDescent="0.25">
      <c r="A132" s="12" t="s">
        <v>184</v>
      </c>
    </row>
    <row r="133" spans="1:1" ht="15" x14ac:dyDescent="0.25">
      <c r="A133" s="12" t="s">
        <v>185</v>
      </c>
    </row>
    <row r="134" spans="1:1" ht="15" x14ac:dyDescent="0.25">
      <c r="A134" s="12" t="s">
        <v>186</v>
      </c>
    </row>
    <row r="135" spans="1:1" ht="15" x14ac:dyDescent="0.25">
      <c r="A135" s="12" t="s">
        <v>187</v>
      </c>
    </row>
    <row r="136" spans="1:1" ht="15" x14ac:dyDescent="0.25">
      <c r="A136" s="12" t="s">
        <v>188</v>
      </c>
    </row>
    <row r="137" spans="1:1" ht="15" x14ac:dyDescent="0.25">
      <c r="A137" s="12" t="s">
        <v>189</v>
      </c>
    </row>
    <row r="138" spans="1:1" ht="15" x14ac:dyDescent="0.25">
      <c r="A138" s="12" t="s">
        <v>190</v>
      </c>
    </row>
    <row r="139" spans="1:1" ht="15" x14ac:dyDescent="0.25">
      <c r="A139" s="12" t="s">
        <v>191</v>
      </c>
    </row>
    <row r="140" spans="1:1" ht="15" x14ac:dyDescent="0.25">
      <c r="A140" s="12" t="s">
        <v>192</v>
      </c>
    </row>
    <row r="141" spans="1:1" ht="15" x14ac:dyDescent="0.25">
      <c r="A141" s="12" t="s">
        <v>193</v>
      </c>
    </row>
    <row r="142" spans="1:1" ht="15" x14ac:dyDescent="0.25">
      <c r="A142" s="12" t="s">
        <v>194</v>
      </c>
    </row>
    <row r="143" spans="1:1" ht="15" x14ac:dyDescent="0.25">
      <c r="A143" s="12" t="s">
        <v>195</v>
      </c>
    </row>
    <row r="144" spans="1:1" ht="15" x14ac:dyDescent="0.25">
      <c r="A144" s="12" t="s">
        <v>196</v>
      </c>
    </row>
    <row r="145" spans="1:1" ht="15" x14ac:dyDescent="0.25">
      <c r="A145" s="12" t="s">
        <v>197</v>
      </c>
    </row>
    <row r="146" spans="1:1" ht="15" x14ac:dyDescent="0.25">
      <c r="A146" s="12" t="s">
        <v>198</v>
      </c>
    </row>
    <row r="147" spans="1:1" ht="15" x14ac:dyDescent="0.25">
      <c r="A147" s="12" t="s">
        <v>199</v>
      </c>
    </row>
    <row r="148" spans="1:1" ht="15" x14ac:dyDescent="0.25">
      <c r="A148" s="12" t="s">
        <v>200</v>
      </c>
    </row>
    <row r="149" spans="1:1" ht="15" x14ac:dyDescent="0.25">
      <c r="A149" s="12" t="s">
        <v>201</v>
      </c>
    </row>
    <row r="150" spans="1:1" ht="15" x14ac:dyDescent="0.25">
      <c r="A150" s="12" t="s">
        <v>202</v>
      </c>
    </row>
    <row r="151" spans="1:1" ht="15" x14ac:dyDescent="0.25">
      <c r="A151" s="12" t="s">
        <v>203</v>
      </c>
    </row>
    <row r="152" spans="1:1" ht="15" x14ac:dyDescent="0.25">
      <c r="A152" s="12" t="s">
        <v>204</v>
      </c>
    </row>
    <row r="153" spans="1:1" ht="15" x14ac:dyDescent="0.25">
      <c r="A153" s="12" t="s">
        <v>205</v>
      </c>
    </row>
    <row r="154" spans="1:1" ht="15" x14ac:dyDescent="0.25">
      <c r="A154" s="12" t="s">
        <v>206</v>
      </c>
    </row>
    <row r="155" spans="1:1" ht="15" x14ac:dyDescent="0.25">
      <c r="A155" s="12" t="s">
        <v>207</v>
      </c>
    </row>
    <row r="156" spans="1:1" ht="15" x14ac:dyDescent="0.25">
      <c r="A156" s="12" t="s">
        <v>208</v>
      </c>
    </row>
    <row r="157" spans="1:1" ht="15" x14ac:dyDescent="0.25">
      <c r="A157" s="12" t="s">
        <v>209</v>
      </c>
    </row>
    <row r="158" spans="1:1" ht="15" x14ac:dyDescent="0.25">
      <c r="A158" s="12" t="s">
        <v>210</v>
      </c>
    </row>
    <row r="159" spans="1:1" ht="15" x14ac:dyDescent="0.25">
      <c r="A159" s="12" t="s">
        <v>211</v>
      </c>
    </row>
    <row r="160" spans="1:1" ht="15" x14ac:dyDescent="0.25">
      <c r="A160" s="12" t="s">
        <v>212</v>
      </c>
    </row>
    <row r="161" spans="1:1" ht="15" x14ac:dyDescent="0.25">
      <c r="A161" s="12" t="s">
        <v>213</v>
      </c>
    </row>
    <row r="162" spans="1:1" ht="15" x14ac:dyDescent="0.25">
      <c r="A162" s="12" t="s">
        <v>214</v>
      </c>
    </row>
    <row r="163" spans="1:1" ht="15" x14ac:dyDescent="0.25">
      <c r="A163" s="12" t="s">
        <v>215</v>
      </c>
    </row>
    <row r="164" spans="1:1" ht="15" x14ac:dyDescent="0.25">
      <c r="A164" s="12" t="s">
        <v>216</v>
      </c>
    </row>
    <row r="165" spans="1:1" ht="15" x14ac:dyDescent="0.25">
      <c r="A165" s="12" t="s">
        <v>217</v>
      </c>
    </row>
    <row r="166" spans="1:1" ht="15" x14ac:dyDescent="0.25">
      <c r="A166" s="12" t="s">
        <v>218</v>
      </c>
    </row>
    <row r="167" spans="1:1" ht="15" x14ac:dyDescent="0.25">
      <c r="A167" s="12" t="s">
        <v>219</v>
      </c>
    </row>
    <row r="168" spans="1:1" ht="15" x14ac:dyDescent="0.25">
      <c r="A168" s="12" t="s">
        <v>220</v>
      </c>
    </row>
    <row r="169" spans="1:1" ht="15" x14ac:dyDescent="0.25">
      <c r="A169" s="12" t="s">
        <v>221</v>
      </c>
    </row>
    <row r="170" spans="1:1" ht="15" x14ac:dyDescent="0.25">
      <c r="A170" s="12" t="s">
        <v>222</v>
      </c>
    </row>
    <row r="171" spans="1:1" ht="15" x14ac:dyDescent="0.25">
      <c r="A171" s="12" t="s">
        <v>223</v>
      </c>
    </row>
    <row r="172" spans="1:1" ht="15" x14ac:dyDescent="0.25">
      <c r="A172" s="12" t="s">
        <v>224</v>
      </c>
    </row>
    <row r="173" spans="1:1" ht="15" x14ac:dyDescent="0.25">
      <c r="A173" s="12" t="s">
        <v>225</v>
      </c>
    </row>
    <row r="174" spans="1:1" ht="15" x14ac:dyDescent="0.25">
      <c r="A174" s="12" t="s">
        <v>226</v>
      </c>
    </row>
    <row r="175" spans="1:1" ht="15" x14ac:dyDescent="0.25">
      <c r="A175" s="12" t="s">
        <v>227</v>
      </c>
    </row>
    <row r="176" spans="1:1" ht="15" x14ac:dyDescent="0.25">
      <c r="A176" s="12" t="s">
        <v>228</v>
      </c>
    </row>
    <row r="177" spans="1:1" ht="15" x14ac:dyDescent="0.25">
      <c r="A177" s="12" t="s">
        <v>229</v>
      </c>
    </row>
    <row r="178" spans="1:1" ht="15" x14ac:dyDescent="0.25">
      <c r="A178" s="12" t="s">
        <v>230</v>
      </c>
    </row>
    <row r="179" spans="1:1" ht="15" x14ac:dyDescent="0.25">
      <c r="A179" s="12" t="s">
        <v>231</v>
      </c>
    </row>
    <row r="180" spans="1:1" ht="15" x14ac:dyDescent="0.25">
      <c r="A180" s="12" t="s">
        <v>232</v>
      </c>
    </row>
    <row r="181" spans="1:1" ht="15" x14ac:dyDescent="0.25">
      <c r="A181" s="12" t="s">
        <v>233</v>
      </c>
    </row>
    <row r="182" spans="1:1" ht="15" x14ac:dyDescent="0.25">
      <c r="A182" s="12" t="s">
        <v>234</v>
      </c>
    </row>
    <row r="183" spans="1:1" ht="15" x14ac:dyDescent="0.25">
      <c r="A183" s="12" t="s">
        <v>235</v>
      </c>
    </row>
    <row r="184" spans="1:1" ht="15" x14ac:dyDescent="0.25">
      <c r="A184" s="12" t="s">
        <v>236</v>
      </c>
    </row>
    <row r="185" spans="1:1" ht="15" x14ac:dyDescent="0.25">
      <c r="A185" s="12" t="s">
        <v>237</v>
      </c>
    </row>
    <row r="186" spans="1:1" ht="15" x14ac:dyDescent="0.25">
      <c r="A186" s="12" t="s">
        <v>238</v>
      </c>
    </row>
    <row r="187" spans="1:1" ht="15" x14ac:dyDescent="0.25">
      <c r="A187" s="12" t="s">
        <v>239</v>
      </c>
    </row>
    <row r="188" spans="1:1" ht="15" x14ac:dyDescent="0.25">
      <c r="A188" s="12" t="s">
        <v>240</v>
      </c>
    </row>
    <row r="189" spans="1:1" ht="15" x14ac:dyDescent="0.25">
      <c r="A189" s="12" t="s">
        <v>241</v>
      </c>
    </row>
    <row r="190" spans="1:1" ht="15" x14ac:dyDescent="0.25">
      <c r="A190" s="12" t="s">
        <v>242</v>
      </c>
    </row>
    <row r="191" spans="1:1" ht="15" x14ac:dyDescent="0.25">
      <c r="A191" s="12" t="s">
        <v>243</v>
      </c>
    </row>
    <row r="192" spans="1:1" ht="15" x14ac:dyDescent="0.25">
      <c r="A192" s="12" t="s">
        <v>244</v>
      </c>
    </row>
    <row r="193" spans="1:1" ht="15" x14ac:dyDescent="0.25">
      <c r="A193" s="12" t="s">
        <v>245</v>
      </c>
    </row>
    <row r="194" spans="1:1" ht="15" x14ac:dyDescent="0.25">
      <c r="A194" s="12" t="s">
        <v>246</v>
      </c>
    </row>
    <row r="195" spans="1:1" ht="15" x14ac:dyDescent="0.25">
      <c r="A195" s="12" t="s">
        <v>247</v>
      </c>
    </row>
    <row r="196" spans="1:1" ht="15" x14ac:dyDescent="0.25">
      <c r="A196" s="12" t="s">
        <v>248</v>
      </c>
    </row>
    <row r="197" spans="1:1" ht="15" x14ac:dyDescent="0.25">
      <c r="A197" s="12" t="s">
        <v>249</v>
      </c>
    </row>
    <row r="198" spans="1:1" ht="15" x14ac:dyDescent="0.25">
      <c r="A198" s="12" t="s">
        <v>250</v>
      </c>
    </row>
    <row r="199" spans="1:1" ht="15" x14ac:dyDescent="0.25">
      <c r="A199" s="12" t="s">
        <v>251</v>
      </c>
    </row>
    <row r="200" spans="1:1" ht="15" x14ac:dyDescent="0.25">
      <c r="A200" s="12" t="s">
        <v>252</v>
      </c>
    </row>
    <row r="201" spans="1:1" ht="15" x14ac:dyDescent="0.25">
      <c r="A201" s="12" t="s">
        <v>253</v>
      </c>
    </row>
    <row r="202" spans="1:1" ht="15" x14ac:dyDescent="0.25">
      <c r="A202" s="12" t="s">
        <v>254</v>
      </c>
    </row>
    <row r="203" spans="1:1" ht="15" x14ac:dyDescent="0.25">
      <c r="A203" s="12" t="s">
        <v>255</v>
      </c>
    </row>
    <row r="204" spans="1:1" ht="15" x14ac:dyDescent="0.25">
      <c r="A204" s="12" t="s">
        <v>256</v>
      </c>
    </row>
    <row r="205" spans="1:1" ht="15" x14ac:dyDescent="0.25">
      <c r="A205" s="12" t="s">
        <v>257</v>
      </c>
    </row>
    <row r="206" spans="1:1" ht="15" x14ac:dyDescent="0.25">
      <c r="A206" s="12" t="s">
        <v>258</v>
      </c>
    </row>
    <row r="207" spans="1:1" ht="15" x14ac:dyDescent="0.25">
      <c r="A207" s="12" t="s">
        <v>259</v>
      </c>
    </row>
    <row r="208" spans="1:1" ht="15" x14ac:dyDescent="0.25">
      <c r="A208" s="12" t="s">
        <v>260</v>
      </c>
    </row>
    <row r="209" spans="1:1" ht="15" x14ac:dyDescent="0.25">
      <c r="A209" s="12" t="s">
        <v>261</v>
      </c>
    </row>
    <row r="210" spans="1:1" ht="15" x14ac:dyDescent="0.25">
      <c r="A210" s="12" t="s">
        <v>262</v>
      </c>
    </row>
    <row r="211" spans="1:1" ht="15" x14ac:dyDescent="0.25">
      <c r="A211" s="12" t="s">
        <v>263</v>
      </c>
    </row>
    <row r="212" spans="1:1" ht="15" x14ac:dyDescent="0.25">
      <c r="A212" s="12" t="s">
        <v>264</v>
      </c>
    </row>
    <row r="213" spans="1:1" ht="15" x14ac:dyDescent="0.25">
      <c r="A213" s="12" t="s">
        <v>265</v>
      </c>
    </row>
    <row r="214" spans="1:1" ht="15" x14ac:dyDescent="0.25">
      <c r="A214" s="12" t="s">
        <v>266</v>
      </c>
    </row>
    <row r="215" spans="1:1" ht="15" x14ac:dyDescent="0.25">
      <c r="A215" s="12" t="s">
        <v>267</v>
      </c>
    </row>
    <row r="216" spans="1:1" ht="15" x14ac:dyDescent="0.25">
      <c r="A216" s="12" t="s">
        <v>268</v>
      </c>
    </row>
    <row r="217" spans="1:1" ht="15" x14ac:dyDescent="0.25">
      <c r="A217" s="12" t="s">
        <v>269</v>
      </c>
    </row>
    <row r="218" spans="1:1" ht="15" x14ac:dyDescent="0.25">
      <c r="A218" s="12" t="s">
        <v>270</v>
      </c>
    </row>
    <row r="219" spans="1:1" ht="15" x14ac:dyDescent="0.25">
      <c r="A219" s="12" t="s">
        <v>271</v>
      </c>
    </row>
    <row r="220" spans="1:1" ht="15" x14ac:dyDescent="0.25">
      <c r="A220" s="12" t="s">
        <v>272</v>
      </c>
    </row>
    <row r="221" spans="1:1" ht="15" x14ac:dyDescent="0.25">
      <c r="A221" s="12" t="s">
        <v>273</v>
      </c>
    </row>
    <row r="222" spans="1:1" ht="15" x14ac:dyDescent="0.25">
      <c r="A222" s="12" t="s">
        <v>274</v>
      </c>
    </row>
    <row r="223" spans="1:1" ht="15" x14ac:dyDescent="0.25">
      <c r="A223" s="12" t="s">
        <v>275</v>
      </c>
    </row>
    <row r="224" spans="1:1" ht="15" x14ac:dyDescent="0.25">
      <c r="A224" s="12" t="s">
        <v>276</v>
      </c>
    </row>
    <row r="225" spans="1:1" ht="15" x14ac:dyDescent="0.25">
      <c r="A225" s="12" t="s">
        <v>277</v>
      </c>
    </row>
    <row r="226" spans="1:1" ht="15" x14ac:dyDescent="0.25">
      <c r="A226" s="12" t="s">
        <v>278</v>
      </c>
    </row>
    <row r="227" spans="1:1" ht="15" x14ac:dyDescent="0.25">
      <c r="A227" s="12" t="s">
        <v>279</v>
      </c>
    </row>
    <row r="228" spans="1:1" ht="15" x14ac:dyDescent="0.25">
      <c r="A228" s="12" t="s">
        <v>280</v>
      </c>
    </row>
    <row r="229" spans="1:1" ht="15" x14ac:dyDescent="0.25">
      <c r="A229" s="12" t="s">
        <v>281</v>
      </c>
    </row>
    <row r="230" spans="1:1" ht="15" x14ac:dyDescent="0.25">
      <c r="A230" s="12" t="s">
        <v>282</v>
      </c>
    </row>
    <row r="231" spans="1:1" ht="15" x14ac:dyDescent="0.25">
      <c r="A231" s="12" t="s">
        <v>283</v>
      </c>
    </row>
    <row r="232" spans="1:1" ht="15" x14ac:dyDescent="0.25">
      <c r="A232" s="12" t="s">
        <v>284</v>
      </c>
    </row>
    <row r="233" spans="1:1" ht="15" x14ac:dyDescent="0.25">
      <c r="A233" s="12" t="s">
        <v>285</v>
      </c>
    </row>
    <row r="234" spans="1:1" ht="15" x14ac:dyDescent="0.25">
      <c r="A234" s="12" t="s">
        <v>286</v>
      </c>
    </row>
    <row r="235" spans="1:1" ht="15" x14ac:dyDescent="0.25">
      <c r="A235" s="12" t="s">
        <v>287</v>
      </c>
    </row>
    <row r="236" spans="1:1" ht="15" x14ac:dyDescent="0.25">
      <c r="A236" s="12" t="s">
        <v>288</v>
      </c>
    </row>
    <row r="237" spans="1:1" ht="15" x14ac:dyDescent="0.25">
      <c r="A237" s="12" t="s">
        <v>289</v>
      </c>
    </row>
    <row r="238" spans="1:1" ht="15" x14ac:dyDescent="0.25">
      <c r="A238" s="12" t="s">
        <v>290</v>
      </c>
    </row>
    <row r="239" spans="1:1" ht="15" x14ac:dyDescent="0.25">
      <c r="A239" s="12" t="s">
        <v>291</v>
      </c>
    </row>
    <row r="240" spans="1:1" ht="15" x14ac:dyDescent="0.25">
      <c r="A240" s="12" t="s">
        <v>292</v>
      </c>
    </row>
    <row r="241" spans="1:1" ht="15" x14ac:dyDescent="0.25">
      <c r="A241" s="12" t="s">
        <v>293</v>
      </c>
    </row>
    <row r="242" spans="1:1" ht="15" x14ac:dyDescent="0.25">
      <c r="A242" s="12" t="s">
        <v>294</v>
      </c>
    </row>
    <row r="243" spans="1:1" ht="15" x14ac:dyDescent="0.25">
      <c r="A243" s="12" t="s">
        <v>295</v>
      </c>
    </row>
    <row r="244" spans="1:1" ht="15" x14ac:dyDescent="0.25">
      <c r="A244" s="12" t="s">
        <v>296</v>
      </c>
    </row>
    <row r="245" spans="1:1" ht="15" x14ac:dyDescent="0.25">
      <c r="A245" s="12" t="s">
        <v>297</v>
      </c>
    </row>
    <row r="246" spans="1:1" ht="15" x14ac:dyDescent="0.25">
      <c r="A246" s="12" t="s">
        <v>298</v>
      </c>
    </row>
    <row r="247" spans="1:1" ht="15" x14ac:dyDescent="0.25">
      <c r="A247" s="12" t="s">
        <v>299</v>
      </c>
    </row>
    <row r="248" spans="1:1" ht="15" x14ac:dyDescent="0.25">
      <c r="A248" s="12" t="s">
        <v>300</v>
      </c>
    </row>
    <row r="249" spans="1:1" ht="15" x14ac:dyDescent="0.25">
      <c r="A249" s="12" t="s">
        <v>301</v>
      </c>
    </row>
    <row r="250" spans="1:1" ht="15" x14ac:dyDescent="0.25">
      <c r="A250" s="12" t="s">
        <v>302</v>
      </c>
    </row>
    <row r="251" spans="1:1" ht="15" x14ac:dyDescent="0.25">
      <c r="A251" s="12" t="s">
        <v>303</v>
      </c>
    </row>
    <row r="252" spans="1:1" ht="15" x14ac:dyDescent="0.25">
      <c r="A252" s="12" t="s">
        <v>304</v>
      </c>
    </row>
    <row r="253" spans="1:1" ht="15" x14ac:dyDescent="0.25">
      <c r="A253" s="12" t="s">
        <v>305</v>
      </c>
    </row>
    <row r="254" spans="1:1" ht="15" x14ac:dyDescent="0.25">
      <c r="A254" s="12" t="s">
        <v>306</v>
      </c>
    </row>
    <row r="255" spans="1:1" ht="15" x14ac:dyDescent="0.25">
      <c r="A255" s="12" t="s">
        <v>307</v>
      </c>
    </row>
    <row r="256" spans="1:1" ht="15" x14ac:dyDescent="0.25">
      <c r="A256" s="12" t="s">
        <v>308</v>
      </c>
    </row>
    <row r="257" spans="1:1" ht="15" x14ac:dyDescent="0.25">
      <c r="A257" s="12" t="s">
        <v>309</v>
      </c>
    </row>
    <row r="258" spans="1:1" ht="15" x14ac:dyDescent="0.25">
      <c r="A258" s="12" t="s">
        <v>310</v>
      </c>
    </row>
    <row r="259" spans="1:1" ht="15" x14ac:dyDescent="0.25">
      <c r="A259" s="12" t="s">
        <v>311</v>
      </c>
    </row>
    <row r="260" spans="1:1" ht="15" x14ac:dyDescent="0.25">
      <c r="A260" s="12" t="s">
        <v>312</v>
      </c>
    </row>
    <row r="261" spans="1:1" ht="15" x14ac:dyDescent="0.25">
      <c r="A261" s="12" t="s">
        <v>313</v>
      </c>
    </row>
    <row r="262" spans="1:1" ht="15" x14ac:dyDescent="0.25">
      <c r="A262" s="12" t="s">
        <v>314</v>
      </c>
    </row>
    <row r="263" spans="1:1" ht="15" x14ac:dyDescent="0.25">
      <c r="A263" s="12" t="s">
        <v>315</v>
      </c>
    </row>
    <row r="264" spans="1:1" ht="15" x14ac:dyDescent="0.25">
      <c r="A264" s="12" t="s">
        <v>316</v>
      </c>
    </row>
    <row r="265" spans="1:1" ht="15" x14ac:dyDescent="0.25">
      <c r="A265" s="12" t="s">
        <v>317</v>
      </c>
    </row>
    <row r="266" spans="1:1" ht="15" x14ac:dyDescent="0.25">
      <c r="A266" s="12" t="s">
        <v>318</v>
      </c>
    </row>
    <row r="267" spans="1:1" ht="15" x14ac:dyDescent="0.25">
      <c r="A267" s="12" t="s">
        <v>319</v>
      </c>
    </row>
    <row r="268" spans="1:1" ht="15" x14ac:dyDescent="0.25">
      <c r="A268" s="12" t="s">
        <v>320</v>
      </c>
    </row>
    <row r="269" spans="1:1" ht="15" x14ac:dyDescent="0.25">
      <c r="A269" s="12" t="s">
        <v>321</v>
      </c>
    </row>
    <row r="270" spans="1:1" ht="15" x14ac:dyDescent="0.25">
      <c r="A270" s="12" t="s">
        <v>322</v>
      </c>
    </row>
    <row r="271" spans="1:1" ht="15" x14ac:dyDescent="0.25">
      <c r="A271" s="12" t="s">
        <v>323</v>
      </c>
    </row>
    <row r="272" spans="1:1" ht="15" x14ac:dyDescent="0.25">
      <c r="A272" s="12" t="s">
        <v>324</v>
      </c>
    </row>
    <row r="273" spans="1:1" ht="15" x14ac:dyDescent="0.25">
      <c r="A273" s="12" t="s">
        <v>325</v>
      </c>
    </row>
    <row r="274" spans="1:1" ht="15" x14ac:dyDescent="0.25">
      <c r="A274" s="12" t="s">
        <v>326</v>
      </c>
    </row>
    <row r="275" spans="1:1" ht="15" x14ac:dyDescent="0.25">
      <c r="A275" s="12" t="s">
        <v>327</v>
      </c>
    </row>
    <row r="276" spans="1:1" ht="15" x14ac:dyDescent="0.25">
      <c r="A276" s="12" t="s">
        <v>328</v>
      </c>
    </row>
    <row r="277" spans="1:1" ht="15" x14ac:dyDescent="0.25">
      <c r="A277" s="12" t="s">
        <v>329</v>
      </c>
    </row>
    <row r="278" spans="1:1" ht="15" x14ac:dyDescent="0.25">
      <c r="A278" s="12" t="s">
        <v>330</v>
      </c>
    </row>
    <row r="279" spans="1:1" ht="15" x14ac:dyDescent="0.25">
      <c r="A279" s="12" t="s">
        <v>331</v>
      </c>
    </row>
    <row r="280" spans="1:1" ht="15" x14ac:dyDescent="0.25">
      <c r="A280" s="12" t="s">
        <v>332</v>
      </c>
    </row>
    <row r="281" spans="1:1" ht="15" x14ac:dyDescent="0.25">
      <c r="A281" s="12" t="s">
        <v>333</v>
      </c>
    </row>
    <row r="282" spans="1:1" ht="15" x14ac:dyDescent="0.25">
      <c r="A282" s="12" t="s">
        <v>334</v>
      </c>
    </row>
    <row r="283" spans="1:1" ht="15" x14ac:dyDescent="0.25">
      <c r="A283" s="12" t="s">
        <v>335</v>
      </c>
    </row>
    <row r="284" spans="1:1" ht="15" x14ac:dyDescent="0.25">
      <c r="A284" s="12" t="s">
        <v>336</v>
      </c>
    </row>
    <row r="285" spans="1:1" ht="15" x14ac:dyDescent="0.25">
      <c r="A285" s="12" t="s">
        <v>337</v>
      </c>
    </row>
    <row r="286" spans="1:1" ht="15" x14ac:dyDescent="0.25">
      <c r="A286" s="12" t="s">
        <v>338</v>
      </c>
    </row>
    <row r="287" spans="1:1" ht="15" x14ac:dyDescent="0.25">
      <c r="A287" s="12" t="s">
        <v>339</v>
      </c>
    </row>
    <row r="288" spans="1:1" ht="15" x14ac:dyDescent="0.25">
      <c r="A288" s="12" t="s">
        <v>340</v>
      </c>
    </row>
    <row r="289" spans="1:1" ht="15" x14ac:dyDescent="0.25">
      <c r="A289" s="12" t="s">
        <v>341</v>
      </c>
    </row>
    <row r="290" spans="1:1" ht="15" x14ac:dyDescent="0.25">
      <c r="A290" s="12" t="s">
        <v>342</v>
      </c>
    </row>
    <row r="291" spans="1:1" ht="15" x14ac:dyDescent="0.25">
      <c r="A291" s="12" t="s">
        <v>343</v>
      </c>
    </row>
    <row r="292" spans="1:1" ht="15" x14ac:dyDescent="0.25">
      <c r="A292" s="12" t="s">
        <v>344</v>
      </c>
    </row>
    <row r="293" spans="1:1" ht="15" x14ac:dyDescent="0.25">
      <c r="A293" s="12" t="s">
        <v>345</v>
      </c>
    </row>
    <row r="294" spans="1:1" ht="15" x14ac:dyDescent="0.25">
      <c r="A294" s="12" t="s">
        <v>346</v>
      </c>
    </row>
    <row r="295" spans="1:1" ht="15" x14ac:dyDescent="0.25">
      <c r="A295" s="12" t="s">
        <v>347</v>
      </c>
    </row>
    <row r="296" spans="1:1" ht="15" x14ac:dyDescent="0.25">
      <c r="A296" s="12" t="s">
        <v>348</v>
      </c>
    </row>
    <row r="297" spans="1:1" ht="15" x14ac:dyDescent="0.25">
      <c r="A297" s="12" t="s">
        <v>349</v>
      </c>
    </row>
    <row r="298" spans="1:1" ht="15" x14ac:dyDescent="0.25">
      <c r="A298" s="12" t="s">
        <v>350</v>
      </c>
    </row>
    <row r="299" spans="1:1" ht="15" x14ac:dyDescent="0.25">
      <c r="A299" s="12" t="s">
        <v>351</v>
      </c>
    </row>
    <row r="300" spans="1:1" ht="15" x14ac:dyDescent="0.25">
      <c r="A300" s="12" t="s">
        <v>352</v>
      </c>
    </row>
    <row r="301" spans="1:1" ht="15" x14ac:dyDescent="0.25">
      <c r="A301" s="12" t="s">
        <v>353</v>
      </c>
    </row>
    <row r="302" spans="1:1" ht="15" x14ac:dyDescent="0.25">
      <c r="A302" s="12" t="s">
        <v>354</v>
      </c>
    </row>
    <row r="303" spans="1:1" ht="15" x14ac:dyDescent="0.25">
      <c r="A303" s="12" t="s">
        <v>355</v>
      </c>
    </row>
    <row r="304" spans="1:1" ht="15" x14ac:dyDescent="0.25">
      <c r="A304" s="12" t="s">
        <v>356</v>
      </c>
    </row>
    <row r="305" spans="1:1" ht="15" x14ac:dyDescent="0.25">
      <c r="A305" s="12" t="s">
        <v>357</v>
      </c>
    </row>
    <row r="306" spans="1:1" ht="15" x14ac:dyDescent="0.25">
      <c r="A306" s="12" t="s">
        <v>358</v>
      </c>
    </row>
    <row r="307" spans="1:1" ht="15" x14ac:dyDescent="0.25">
      <c r="A307" s="12" t="s">
        <v>359</v>
      </c>
    </row>
    <row r="308" spans="1:1" ht="15" x14ac:dyDescent="0.25">
      <c r="A308" s="12" t="s">
        <v>360</v>
      </c>
    </row>
    <row r="309" spans="1:1" ht="15" x14ac:dyDescent="0.25">
      <c r="A309" s="12" t="s">
        <v>361</v>
      </c>
    </row>
    <row r="310" spans="1:1" ht="15" x14ac:dyDescent="0.25">
      <c r="A310" s="12" t="s">
        <v>362</v>
      </c>
    </row>
    <row r="311" spans="1:1" ht="15" x14ac:dyDescent="0.25">
      <c r="A311" s="12" t="s">
        <v>363</v>
      </c>
    </row>
    <row r="312" spans="1:1" ht="15" x14ac:dyDescent="0.25">
      <c r="A312" s="12" t="s">
        <v>364</v>
      </c>
    </row>
    <row r="313" spans="1:1" ht="15" x14ac:dyDescent="0.25">
      <c r="A313" s="12" t="s">
        <v>365</v>
      </c>
    </row>
    <row r="314" spans="1:1" ht="15" x14ac:dyDescent="0.25">
      <c r="A314" s="12" t="s">
        <v>366</v>
      </c>
    </row>
    <row r="315" spans="1:1" ht="15" x14ac:dyDescent="0.25">
      <c r="A315" s="12" t="s">
        <v>367</v>
      </c>
    </row>
    <row r="316" spans="1:1" ht="15" x14ac:dyDescent="0.25">
      <c r="A316" s="12" t="s">
        <v>368</v>
      </c>
    </row>
    <row r="317" spans="1:1" ht="15" x14ac:dyDescent="0.25">
      <c r="A317" s="12" t="s">
        <v>369</v>
      </c>
    </row>
    <row r="318" spans="1:1" ht="15" x14ac:dyDescent="0.25">
      <c r="A318" s="12" t="s">
        <v>370</v>
      </c>
    </row>
    <row r="319" spans="1:1" ht="15" x14ac:dyDescent="0.25">
      <c r="A319" s="12" t="s">
        <v>371</v>
      </c>
    </row>
    <row r="320" spans="1:1" ht="15" x14ac:dyDescent="0.25">
      <c r="A320" s="12" t="s">
        <v>372</v>
      </c>
    </row>
    <row r="321" spans="1:1" ht="15" x14ac:dyDescent="0.25">
      <c r="A321" s="12" t="s">
        <v>373</v>
      </c>
    </row>
    <row r="322" spans="1:1" ht="15" x14ac:dyDescent="0.25">
      <c r="A322" s="12" t="s">
        <v>374</v>
      </c>
    </row>
    <row r="323" spans="1:1" ht="15" x14ac:dyDescent="0.25">
      <c r="A323" s="12" t="s">
        <v>375</v>
      </c>
    </row>
    <row r="324" spans="1:1" ht="15" x14ac:dyDescent="0.25">
      <c r="A324" s="12" t="s">
        <v>376</v>
      </c>
    </row>
    <row r="325" spans="1:1" ht="15" x14ac:dyDescent="0.25">
      <c r="A325" s="12" t="s">
        <v>377</v>
      </c>
    </row>
    <row r="326" spans="1:1" ht="15" x14ac:dyDescent="0.25">
      <c r="A326" s="12" t="s">
        <v>378</v>
      </c>
    </row>
    <row r="327" spans="1:1" ht="15" x14ac:dyDescent="0.25">
      <c r="A327" s="12" t="s">
        <v>379</v>
      </c>
    </row>
    <row r="328" spans="1:1" ht="15" x14ac:dyDescent="0.25">
      <c r="A328" s="12" t="s">
        <v>380</v>
      </c>
    </row>
    <row r="329" spans="1:1" ht="15" x14ac:dyDescent="0.25">
      <c r="A329" s="12" t="s">
        <v>381</v>
      </c>
    </row>
    <row r="330" spans="1:1" ht="15" x14ac:dyDescent="0.25">
      <c r="A330" s="12" t="s">
        <v>382</v>
      </c>
    </row>
    <row r="331" spans="1:1" ht="15" x14ac:dyDescent="0.25">
      <c r="A331" s="12" t="s">
        <v>383</v>
      </c>
    </row>
    <row r="332" spans="1:1" ht="15" x14ac:dyDescent="0.25">
      <c r="A332" s="12" t="s">
        <v>384</v>
      </c>
    </row>
    <row r="333" spans="1:1" ht="15" x14ac:dyDescent="0.25">
      <c r="A333" s="12" t="s">
        <v>385</v>
      </c>
    </row>
    <row r="334" spans="1:1" ht="15" x14ac:dyDescent="0.25">
      <c r="A334" s="12" t="s">
        <v>386</v>
      </c>
    </row>
    <row r="335" spans="1:1" ht="15" x14ac:dyDescent="0.25">
      <c r="A335" s="12" t="s">
        <v>387</v>
      </c>
    </row>
    <row r="336" spans="1:1" ht="15" x14ac:dyDescent="0.25">
      <c r="A336" s="12" t="s">
        <v>388</v>
      </c>
    </row>
    <row r="337" spans="1:1" ht="15" x14ac:dyDescent="0.25">
      <c r="A337" s="12" t="s">
        <v>389</v>
      </c>
    </row>
    <row r="338" spans="1:1" ht="15" x14ac:dyDescent="0.25">
      <c r="A338" s="12" t="s">
        <v>390</v>
      </c>
    </row>
    <row r="339" spans="1:1" ht="15" x14ac:dyDescent="0.25">
      <c r="A339" s="12" t="s">
        <v>391</v>
      </c>
    </row>
    <row r="340" spans="1:1" ht="15" x14ac:dyDescent="0.25">
      <c r="A340" s="12" t="s">
        <v>392</v>
      </c>
    </row>
    <row r="341" spans="1:1" ht="15" x14ac:dyDescent="0.25">
      <c r="A341" s="12" t="s">
        <v>393</v>
      </c>
    </row>
    <row r="342" spans="1:1" ht="15" x14ac:dyDescent="0.25">
      <c r="A342" s="12" t="s">
        <v>394</v>
      </c>
    </row>
    <row r="343" spans="1:1" ht="15" x14ac:dyDescent="0.25">
      <c r="A343" s="12" t="s">
        <v>395</v>
      </c>
    </row>
    <row r="344" spans="1:1" ht="15" x14ac:dyDescent="0.25">
      <c r="A344" s="12" t="s">
        <v>395</v>
      </c>
    </row>
    <row r="345" spans="1:1" ht="15" x14ac:dyDescent="0.25">
      <c r="A345" s="12" t="s">
        <v>396</v>
      </c>
    </row>
    <row r="346" spans="1:1" ht="15" x14ac:dyDescent="0.25">
      <c r="A346" s="12" t="s">
        <v>397</v>
      </c>
    </row>
    <row r="347" spans="1:1" ht="15" x14ac:dyDescent="0.25">
      <c r="A347" s="12" t="s">
        <v>398</v>
      </c>
    </row>
    <row r="348" spans="1:1" ht="15" x14ac:dyDescent="0.25">
      <c r="A348" s="12" t="s">
        <v>399</v>
      </c>
    </row>
    <row r="349" spans="1:1" ht="15" x14ac:dyDescent="0.25">
      <c r="A349" s="12" t="s">
        <v>400</v>
      </c>
    </row>
    <row r="350" spans="1:1" ht="15" x14ac:dyDescent="0.25">
      <c r="A350" s="12" t="s">
        <v>401</v>
      </c>
    </row>
    <row r="351" spans="1:1" ht="15" x14ac:dyDescent="0.25">
      <c r="A351" s="12" t="s">
        <v>402</v>
      </c>
    </row>
    <row r="352" spans="1:1" ht="15" x14ac:dyDescent="0.25">
      <c r="A352" s="12" t="s">
        <v>403</v>
      </c>
    </row>
    <row r="353" spans="1:1" ht="15" x14ac:dyDescent="0.25">
      <c r="A353" s="12" t="s">
        <v>404</v>
      </c>
    </row>
    <row r="354" spans="1:1" ht="15" x14ac:dyDescent="0.25">
      <c r="A354" s="12" t="s">
        <v>405</v>
      </c>
    </row>
    <row r="355" spans="1:1" ht="15" x14ac:dyDescent="0.25">
      <c r="A355" s="12" t="s">
        <v>406</v>
      </c>
    </row>
    <row r="356" spans="1:1" ht="15" x14ac:dyDescent="0.25">
      <c r="A356" s="12" t="s">
        <v>407</v>
      </c>
    </row>
    <row r="357" spans="1:1" ht="15" x14ac:dyDescent="0.25">
      <c r="A357" s="12" t="s">
        <v>408</v>
      </c>
    </row>
    <row r="358" spans="1:1" ht="15" x14ac:dyDescent="0.25">
      <c r="A358" s="12" t="s">
        <v>409</v>
      </c>
    </row>
    <row r="359" spans="1:1" ht="15" x14ac:dyDescent="0.25">
      <c r="A359" s="12" t="s">
        <v>410</v>
      </c>
    </row>
    <row r="360" spans="1:1" ht="15" x14ac:dyDescent="0.25">
      <c r="A360" s="12" t="s">
        <v>411</v>
      </c>
    </row>
    <row r="361" spans="1:1" ht="15" x14ac:dyDescent="0.25">
      <c r="A361" s="12" t="s">
        <v>412</v>
      </c>
    </row>
    <row r="362" spans="1:1" ht="15" x14ac:dyDescent="0.25">
      <c r="A362" s="12" t="s">
        <v>413</v>
      </c>
    </row>
    <row r="363" spans="1:1" ht="15" x14ac:dyDescent="0.25">
      <c r="A363" s="12" t="s">
        <v>414</v>
      </c>
    </row>
    <row r="364" spans="1:1" ht="15" x14ac:dyDescent="0.25">
      <c r="A364" s="12" t="s">
        <v>415</v>
      </c>
    </row>
    <row r="365" spans="1:1" ht="15" x14ac:dyDescent="0.25">
      <c r="A365" s="12" t="s">
        <v>416</v>
      </c>
    </row>
    <row r="366" spans="1:1" ht="15" x14ac:dyDescent="0.25">
      <c r="A366" s="12" t="s">
        <v>417</v>
      </c>
    </row>
    <row r="367" spans="1:1" ht="15" x14ac:dyDescent="0.25">
      <c r="A367" s="12" t="s">
        <v>418</v>
      </c>
    </row>
    <row r="368" spans="1:1" ht="15" x14ac:dyDescent="0.25">
      <c r="A368" s="12" t="s">
        <v>419</v>
      </c>
    </row>
    <row r="369" spans="1:1" ht="15" x14ac:dyDescent="0.25">
      <c r="A369" s="12" t="s">
        <v>420</v>
      </c>
    </row>
    <row r="370" spans="1:1" ht="15" x14ac:dyDescent="0.25">
      <c r="A370" s="12" t="s">
        <v>421</v>
      </c>
    </row>
    <row r="371" spans="1:1" ht="15" x14ac:dyDescent="0.25">
      <c r="A371" s="12" t="s">
        <v>422</v>
      </c>
    </row>
    <row r="372" spans="1:1" ht="15" x14ac:dyDescent="0.25">
      <c r="A372" s="12" t="s">
        <v>423</v>
      </c>
    </row>
    <row r="373" spans="1:1" ht="15" x14ac:dyDescent="0.25">
      <c r="A373" s="12" t="s">
        <v>424</v>
      </c>
    </row>
    <row r="374" spans="1:1" ht="15" x14ac:dyDescent="0.25">
      <c r="A374" s="12" t="s">
        <v>425</v>
      </c>
    </row>
    <row r="375" spans="1:1" ht="15" x14ac:dyDescent="0.25">
      <c r="A375" s="12" t="s">
        <v>426</v>
      </c>
    </row>
    <row r="376" spans="1:1" ht="15" x14ac:dyDescent="0.25">
      <c r="A376" s="12" t="s">
        <v>427</v>
      </c>
    </row>
    <row r="377" spans="1:1" ht="15" x14ac:dyDescent="0.25">
      <c r="A377" s="12" t="s">
        <v>428</v>
      </c>
    </row>
    <row r="378" spans="1:1" ht="15" x14ac:dyDescent="0.25">
      <c r="A378" s="12" t="s">
        <v>429</v>
      </c>
    </row>
    <row r="379" spans="1:1" ht="15" x14ac:dyDescent="0.25">
      <c r="A379" s="12" t="s">
        <v>430</v>
      </c>
    </row>
    <row r="380" spans="1:1" ht="15" x14ac:dyDescent="0.25">
      <c r="A380" s="12" t="s">
        <v>431</v>
      </c>
    </row>
    <row r="381" spans="1:1" ht="15" x14ac:dyDescent="0.25">
      <c r="A381" s="12" t="s">
        <v>432</v>
      </c>
    </row>
    <row r="382" spans="1:1" ht="15" x14ac:dyDescent="0.25">
      <c r="A382" s="12" t="s">
        <v>433</v>
      </c>
    </row>
    <row r="383" spans="1:1" ht="15" x14ac:dyDescent="0.25">
      <c r="A383" s="12" t="s">
        <v>434</v>
      </c>
    </row>
    <row r="384" spans="1:1" ht="15" x14ac:dyDescent="0.25">
      <c r="A384" s="12" t="s">
        <v>435</v>
      </c>
    </row>
    <row r="385" spans="1:1" ht="15" x14ac:dyDescent="0.25">
      <c r="A385" s="12" t="s">
        <v>436</v>
      </c>
    </row>
    <row r="386" spans="1:1" ht="15" x14ac:dyDescent="0.25">
      <c r="A386" s="12" t="s">
        <v>437</v>
      </c>
    </row>
    <row r="387" spans="1:1" ht="15" x14ac:dyDescent="0.25">
      <c r="A387" s="12" t="s">
        <v>438</v>
      </c>
    </row>
    <row r="388" spans="1:1" ht="15" x14ac:dyDescent="0.25">
      <c r="A388" s="12" t="s">
        <v>439</v>
      </c>
    </row>
    <row r="389" spans="1:1" ht="15" x14ac:dyDescent="0.25">
      <c r="A389" s="12" t="s">
        <v>440</v>
      </c>
    </row>
    <row r="390" spans="1:1" ht="15" x14ac:dyDescent="0.25">
      <c r="A390" s="12" t="s">
        <v>441</v>
      </c>
    </row>
    <row r="391" spans="1:1" ht="15" x14ac:dyDescent="0.25">
      <c r="A391" s="12" t="s">
        <v>442</v>
      </c>
    </row>
    <row r="392" spans="1:1" ht="15" x14ac:dyDescent="0.25">
      <c r="A392" s="12" t="s">
        <v>443</v>
      </c>
    </row>
    <row r="393" spans="1:1" ht="15" x14ac:dyDescent="0.25">
      <c r="A393" s="12" t="s">
        <v>444</v>
      </c>
    </row>
    <row r="394" spans="1:1" ht="15" x14ac:dyDescent="0.25">
      <c r="A394" s="12" t="s">
        <v>445</v>
      </c>
    </row>
    <row r="395" spans="1:1" ht="15" x14ac:dyDescent="0.25">
      <c r="A395" s="12" t="s">
        <v>446</v>
      </c>
    </row>
    <row r="396" spans="1:1" ht="15" x14ac:dyDescent="0.25">
      <c r="A396" s="12" t="s">
        <v>447</v>
      </c>
    </row>
    <row r="397" spans="1:1" ht="15" x14ac:dyDescent="0.25">
      <c r="A397" s="12" t="s">
        <v>448</v>
      </c>
    </row>
    <row r="398" spans="1:1" ht="15" x14ac:dyDescent="0.25">
      <c r="A398" s="12" t="s">
        <v>449</v>
      </c>
    </row>
    <row r="399" spans="1:1" ht="15" x14ac:dyDescent="0.25">
      <c r="A399" s="12" t="s">
        <v>450</v>
      </c>
    </row>
    <row r="400" spans="1:1" ht="15" x14ac:dyDescent="0.25">
      <c r="A400" s="12" t="s">
        <v>451</v>
      </c>
    </row>
    <row r="401" spans="1:1" ht="15" x14ac:dyDescent="0.25">
      <c r="A401" s="12" t="s">
        <v>452</v>
      </c>
    </row>
    <row r="402" spans="1:1" ht="15" x14ac:dyDescent="0.25">
      <c r="A402" s="12" t="s">
        <v>453</v>
      </c>
    </row>
    <row r="403" spans="1:1" ht="15" x14ac:dyDescent="0.25">
      <c r="A403" s="12" t="s">
        <v>454</v>
      </c>
    </row>
    <row r="404" spans="1:1" ht="15" x14ac:dyDescent="0.25">
      <c r="A404" s="12" t="s">
        <v>455</v>
      </c>
    </row>
    <row r="405" spans="1:1" ht="15" x14ac:dyDescent="0.25">
      <c r="A405" s="12" t="s">
        <v>456</v>
      </c>
    </row>
    <row r="406" spans="1:1" ht="15" x14ac:dyDescent="0.25">
      <c r="A406" s="12" t="s">
        <v>457</v>
      </c>
    </row>
    <row r="407" spans="1:1" ht="15" x14ac:dyDescent="0.25">
      <c r="A407" s="12" t="s">
        <v>458</v>
      </c>
    </row>
    <row r="408" spans="1:1" ht="15" x14ac:dyDescent="0.25">
      <c r="A408" s="12" t="s">
        <v>459</v>
      </c>
    </row>
    <row r="409" spans="1:1" ht="15" x14ac:dyDescent="0.25">
      <c r="A409" s="12" t="s">
        <v>460</v>
      </c>
    </row>
    <row r="410" spans="1:1" ht="15" x14ac:dyDescent="0.25">
      <c r="A410" s="12" t="s">
        <v>461</v>
      </c>
    </row>
    <row r="411" spans="1:1" ht="15" x14ac:dyDescent="0.25">
      <c r="A411" s="12" t="s">
        <v>462</v>
      </c>
    </row>
    <row r="412" spans="1:1" ht="15" x14ac:dyDescent="0.25">
      <c r="A412" s="12" t="s">
        <v>463</v>
      </c>
    </row>
    <row r="413" spans="1:1" ht="15" x14ac:dyDescent="0.25">
      <c r="A413" s="12" t="s">
        <v>464</v>
      </c>
    </row>
    <row r="414" spans="1:1" ht="15" x14ac:dyDescent="0.25">
      <c r="A414" s="12" t="s">
        <v>465</v>
      </c>
    </row>
    <row r="415" spans="1:1" ht="15" x14ac:dyDescent="0.25">
      <c r="A415" s="12" t="s">
        <v>466</v>
      </c>
    </row>
    <row r="416" spans="1:1" ht="15" x14ac:dyDescent="0.25">
      <c r="A416" s="12" t="s">
        <v>467</v>
      </c>
    </row>
    <row r="417" spans="1:1" ht="15" x14ac:dyDescent="0.25">
      <c r="A417" s="12" t="s">
        <v>468</v>
      </c>
    </row>
    <row r="418" spans="1:1" ht="15" x14ac:dyDescent="0.25">
      <c r="A418" s="12" t="s">
        <v>469</v>
      </c>
    </row>
    <row r="419" spans="1:1" ht="15" x14ac:dyDescent="0.25">
      <c r="A419" s="12" t="s">
        <v>470</v>
      </c>
    </row>
    <row r="420" spans="1:1" ht="15" x14ac:dyDescent="0.25">
      <c r="A420" s="12" t="s">
        <v>471</v>
      </c>
    </row>
    <row r="421" spans="1:1" ht="15" x14ac:dyDescent="0.25">
      <c r="A421" s="12" t="s">
        <v>472</v>
      </c>
    </row>
    <row r="422" spans="1:1" ht="15" x14ac:dyDescent="0.25">
      <c r="A422" s="12" t="s">
        <v>473</v>
      </c>
    </row>
    <row r="423" spans="1:1" ht="15" x14ac:dyDescent="0.25">
      <c r="A423" s="12" t="s">
        <v>474</v>
      </c>
    </row>
    <row r="424" spans="1:1" ht="15" x14ac:dyDescent="0.25">
      <c r="A424" s="12" t="s">
        <v>475</v>
      </c>
    </row>
    <row r="425" spans="1:1" ht="15" x14ac:dyDescent="0.25">
      <c r="A425" s="12" t="s">
        <v>476</v>
      </c>
    </row>
    <row r="426" spans="1:1" ht="15" x14ac:dyDescent="0.25">
      <c r="A426" s="12" t="s">
        <v>477</v>
      </c>
    </row>
    <row r="427" spans="1:1" ht="15" x14ac:dyDescent="0.25">
      <c r="A427" s="12" t="s">
        <v>478</v>
      </c>
    </row>
    <row r="428" spans="1:1" ht="15" x14ac:dyDescent="0.25">
      <c r="A428" s="12" t="s">
        <v>479</v>
      </c>
    </row>
    <row r="429" spans="1:1" ht="15" x14ac:dyDescent="0.25">
      <c r="A429" s="12" t="s">
        <v>480</v>
      </c>
    </row>
    <row r="430" spans="1:1" ht="15" x14ac:dyDescent="0.25">
      <c r="A430" s="12" t="s">
        <v>481</v>
      </c>
    </row>
    <row r="431" spans="1:1" ht="15" x14ac:dyDescent="0.25">
      <c r="A431" s="12" t="s">
        <v>482</v>
      </c>
    </row>
    <row r="432" spans="1:1" ht="15" x14ac:dyDescent="0.25">
      <c r="A432" s="12" t="s">
        <v>483</v>
      </c>
    </row>
    <row r="433" spans="1:1" ht="15" x14ac:dyDescent="0.25">
      <c r="A433" s="12" t="s">
        <v>484</v>
      </c>
    </row>
    <row r="434" spans="1:1" ht="15" x14ac:dyDescent="0.25">
      <c r="A434" s="12" t="s">
        <v>485</v>
      </c>
    </row>
    <row r="435" spans="1:1" ht="15" x14ac:dyDescent="0.25">
      <c r="A435" s="12" t="s">
        <v>486</v>
      </c>
    </row>
    <row r="436" spans="1:1" ht="15" x14ac:dyDescent="0.25">
      <c r="A436" s="12" t="s">
        <v>487</v>
      </c>
    </row>
    <row r="437" spans="1:1" ht="15" x14ac:dyDescent="0.25">
      <c r="A437" s="12" t="s">
        <v>488</v>
      </c>
    </row>
    <row r="438" spans="1:1" ht="15" x14ac:dyDescent="0.25">
      <c r="A438" s="12" t="s">
        <v>489</v>
      </c>
    </row>
    <row r="439" spans="1:1" ht="15" x14ac:dyDescent="0.25">
      <c r="A439" s="12" t="s">
        <v>490</v>
      </c>
    </row>
    <row r="440" spans="1:1" ht="15" x14ac:dyDescent="0.25">
      <c r="A440" s="12" t="s">
        <v>491</v>
      </c>
    </row>
    <row r="441" spans="1:1" ht="15" x14ac:dyDescent="0.25">
      <c r="A441" s="12" t="s">
        <v>492</v>
      </c>
    </row>
    <row r="442" spans="1:1" ht="15" x14ac:dyDescent="0.25">
      <c r="A442" s="12" t="s">
        <v>493</v>
      </c>
    </row>
    <row r="443" spans="1:1" ht="15" x14ac:dyDescent="0.25">
      <c r="A443" s="12" t="s">
        <v>494</v>
      </c>
    </row>
    <row r="444" spans="1:1" ht="15" x14ac:dyDescent="0.25">
      <c r="A444" s="12" t="s">
        <v>495</v>
      </c>
    </row>
    <row r="445" spans="1:1" ht="15" x14ac:dyDescent="0.25">
      <c r="A445" s="12" t="s">
        <v>496</v>
      </c>
    </row>
    <row r="446" spans="1:1" ht="15" x14ac:dyDescent="0.25">
      <c r="A446" s="12" t="s">
        <v>496</v>
      </c>
    </row>
    <row r="447" spans="1:1" ht="15" x14ac:dyDescent="0.25">
      <c r="A447" s="12" t="s">
        <v>497</v>
      </c>
    </row>
    <row r="448" spans="1:1" ht="15" x14ac:dyDescent="0.25">
      <c r="A448" s="12" t="s">
        <v>497</v>
      </c>
    </row>
    <row r="449" spans="1:1" ht="15" x14ac:dyDescent="0.25">
      <c r="A449" s="12" t="s">
        <v>498</v>
      </c>
    </row>
    <row r="450" spans="1:1" ht="15" x14ac:dyDescent="0.25">
      <c r="A450" s="12" t="s">
        <v>499</v>
      </c>
    </row>
    <row r="451" spans="1:1" ht="15" x14ac:dyDescent="0.25">
      <c r="A451" s="12" t="s">
        <v>500</v>
      </c>
    </row>
    <row r="452" spans="1:1" ht="15" x14ac:dyDescent="0.25">
      <c r="A452" s="12" t="s">
        <v>501</v>
      </c>
    </row>
    <row r="453" spans="1:1" ht="15" x14ac:dyDescent="0.25">
      <c r="A453" s="12" t="s">
        <v>502</v>
      </c>
    </row>
    <row r="454" spans="1:1" ht="15" x14ac:dyDescent="0.25">
      <c r="A454" s="12" t="s">
        <v>503</v>
      </c>
    </row>
    <row r="455" spans="1:1" ht="15" x14ac:dyDescent="0.25">
      <c r="A455" s="12" t="s">
        <v>504</v>
      </c>
    </row>
    <row r="456" spans="1:1" ht="15" x14ac:dyDescent="0.25">
      <c r="A456" s="12" t="s">
        <v>505</v>
      </c>
    </row>
    <row r="457" spans="1:1" ht="15" x14ac:dyDescent="0.25">
      <c r="A457" s="12" t="s">
        <v>506</v>
      </c>
    </row>
    <row r="458" spans="1:1" ht="15" x14ac:dyDescent="0.25">
      <c r="A458" s="12" t="s">
        <v>507</v>
      </c>
    </row>
    <row r="459" spans="1:1" ht="15" x14ac:dyDescent="0.25">
      <c r="A459" s="12" t="s">
        <v>508</v>
      </c>
    </row>
    <row r="460" spans="1:1" ht="15" x14ac:dyDescent="0.25">
      <c r="A460" s="12" t="s">
        <v>509</v>
      </c>
    </row>
    <row r="461" spans="1:1" ht="15" x14ac:dyDescent="0.25">
      <c r="A461" s="12" t="s">
        <v>510</v>
      </c>
    </row>
    <row r="462" spans="1:1" ht="15" x14ac:dyDescent="0.25">
      <c r="A462" s="12" t="s">
        <v>511</v>
      </c>
    </row>
    <row r="463" spans="1:1" ht="15" x14ac:dyDescent="0.25">
      <c r="A463" s="12" t="s">
        <v>512</v>
      </c>
    </row>
    <row r="464" spans="1:1" ht="15" x14ac:dyDescent="0.25">
      <c r="A464" s="12" t="s">
        <v>513</v>
      </c>
    </row>
    <row r="465" spans="1:1" ht="15" x14ac:dyDescent="0.25">
      <c r="A465" s="12" t="s">
        <v>514</v>
      </c>
    </row>
    <row r="466" spans="1:1" ht="15" x14ac:dyDescent="0.25">
      <c r="A466" s="12" t="s">
        <v>515</v>
      </c>
    </row>
    <row r="467" spans="1:1" ht="15" x14ac:dyDescent="0.25">
      <c r="A467" s="12" t="s">
        <v>516</v>
      </c>
    </row>
    <row r="468" spans="1:1" ht="15" x14ac:dyDescent="0.25">
      <c r="A468" s="12" t="s">
        <v>517</v>
      </c>
    </row>
    <row r="469" spans="1:1" ht="15" x14ac:dyDescent="0.25">
      <c r="A469" s="12" t="s">
        <v>518</v>
      </c>
    </row>
    <row r="470" spans="1:1" ht="15" x14ac:dyDescent="0.25">
      <c r="A470" s="12" t="s">
        <v>519</v>
      </c>
    </row>
    <row r="471" spans="1:1" ht="15" x14ac:dyDescent="0.25">
      <c r="A471" s="12" t="s">
        <v>520</v>
      </c>
    </row>
    <row r="472" spans="1:1" ht="15" x14ac:dyDescent="0.25">
      <c r="A472" s="12" t="s">
        <v>521</v>
      </c>
    </row>
    <row r="473" spans="1:1" ht="15" x14ac:dyDescent="0.25">
      <c r="A473" s="12" t="s">
        <v>522</v>
      </c>
    </row>
    <row r="474" spans="1:1" ht="15" x14ac:dyDescent="0.25">
      <c r="A474" s="12" t="s">
        <v>523</v>
      </c>
    </row>
    <row r="475" spans="1:1" ht="15" x14ac:dyDescent="0.25">
      <c r="A475" s="12" t="s">
        <v>524</v>
      </c>
    </row>
    <row r="476" spans="1:1" ht="15" x14ac:dyDescent="0.25">
      <c r="A476" s="12" t="s">
        <v>525</v>
      </c>
    </row>
    <row r="477" spans="1:1" ht="15" x14ac:dyDescent="0.25">
      <c r="A477" s="12" t="s">
        <v>526</v>
      </c>
    </row>
    <row r="478" spans="1:1" ht="15" x14ac:dyDescent="0.25">
      <c r="A478" s="12" t="s">
        <v>527</v>
      </c>
    </row>
    <row r="479" spans="1:1" ht="15" x14ac:dyDescent="0.25">
      <c r="A479" s="12" t="s">
        <v>528</v>
      </c>
    </row>
    <row r="480" spans="1:1" ht="15" x14ac:dyDescent="0.25">
      <c r="A480" s="12" t="s">
        <v>529</v>
      </c>
    </row>
    <row r="481" spans="1:1" ht="15" x14ac:dyDescent="0.25">
      <c r="A481" s="12" t="s">
        <v>530</v>
      </c>
    </row>
    <row r="482" spans="1:1" ht="15" x14ac:dyDescent="0.25">
      <c r="A482" s="12" t="s">
        <v>531</v>
      </c>
    </row>
    <row r="483" spans="1:1" ht="15" x14ac:dyDescent="0.25">
      <c r="A483" s="12" t="s">
        <v>532</v>
      </c>
    </row>
    <row r="484" spans="1:1" ht="15" x14ac:dyDescent="0.25">
      <c r="A484" s="12" t="s">
        <v>533</v>
      </c>
    </row>
    <row r="485" spans="1:1" ht="15" x14ac:dyDescent="0.25">
      <c r="A485" s="12" t="s">
        <v>534</v>
      </c>
    </row>
    <row r="486" spans="1:1" ht="15" x14ac:dyDescent="0.25">
      <c r="A486" s="12" t="s">
        <v>535</v>
      </c>
    </row>
    <row r="487" spans="1:1" ht="15" x14ac:dyDescent="0.25">
      <c r="A487" s="12" t="s">
        <v>536</v>
      </c>
    </row>
    <row r="488" spans="1:1" ht="15" x14ac:dyDescent="0.25">
      <c r="A488" s="12" t="s">
        <v>537</v>
      </c>
    </row>
    <row r="489" spans="1:1" ht="15" x14ac:dyDescent="0.25">
      <c r="A489" s="12" t="s">
        <v>538</v>
      </c>
    </row>
    <row r="490" spans="1:1" ht="15" x14ac:dyDescent="0.25">
      <c r="A490" s="12" t="s">
        <v>539</v>
      </c>
    </row>
    <row r="491" spans="1:1" ht="15" x14ac:dyDescent="0.25">
      <c r="A491" s="12" t="s">
        <v>540</v>
      </c>
    </row>
    <row r="492" spans="1:1" ht="15" x14ac:dyDescent="0.25">
      <c r="A492" s="12" t="s">
        <v>541</v>
      </c>
    </row>
    <row r="493" spans="1:1" ht="15" x14ac:dyDescent="0.25">
      <c r="A493" s="12" t="s">
        <v>541</v>
      </c>
    </row>
    <row r="494" spans="1:1" ht="15" x14ac:dyDescent="0.25">
      <c r="A494" s="12" t="s">
        <v>542</v>
      </c>
    </row>
    <row r="495" spans="1:1" ht="15" x14ac:dyDescent="0.25">
      <c r="A495" s="12" t="s">
        <v>543</v>
      </c>
    </row>
    <row r="496" spans="1:1" ht="15" x14ac:dyDescent="0.25">
      <c r="A496" s="12" t="s">
        <v>544</v>
      </c>
    </row>
    <row r="497" spans="1:1" ht="15" x14ac:dyDescent="0.25">
      <c r="A497" s="12" t="s">
        <v>545</v>
      </c>
    </row>
    <row r="498" spans="1:1" ht="15" x14ac:dyDescent="0.25">
      <c r="A498" s="12" t="s">
        <v>546</v>
      </c>
    </row>
    <row r="499" spans="1:1" ht="15" x14ac:dyDescent="0.25">
      <c r="A499" s="12" t="s">
        <v>547</v>
      </c>
    </row>
    <row r="500" spans="1:1" ht="15" x14ac:dyDescent="0.25">
      <c r="A500" s="12" t="s">
        <v>548</v>
      </c>
    </row>
    <row r="501" spans="1:1" ht="15" x14ac:dyDescent="0.25">
      <c r="A501" s="12" t="s">
        <v>549</v>
      </c>
    </row>
    <row r="502" spans="1:1" ht="15" x14ac:dyDescent="0.25">
      <c r="A502" s="12" t="s">
        <v>550</v>
      </c>
    </row>
    <row r="503" spans="1:1" ht="15" x14ac:dyDescent="0.25">
      <c r="A503" s="12" t="s">
        <v>551</v>
      </c>
    </row>
    <row r="504" spans="1:1" ht="15" x14ac:dyDescent="0.25">
      <c r="A504" s="12" t="s">
        <v>552</v>
      </c>
    </row>
    <row r="505" spans="1:1" ht="15" x14ac:dyDescent="0.25">
      <c r="A505" s="12" t="s">
        <v>553</v>
      </c>
    </row>
    <row r="506" spans="1:1" ht="15" x14ac:dyDescent="0.25">
      <c r="A506" s="12" t="s">
        <v>554</v>
      </c>
    </row>
    <row r="507" spans="1:1" ht="15" x14ac:dyDescent="0.25">
      <c r="A507" s="12" t="s">
        <v>555</v>
      </c>
    </row>
    <row r="508" spans="1:1" ht="15" x14ac:dyDescent="0.25">
      <c r="A508" s="12" t="s">
        <v>556</v>
      </c>
    </row>
    <row r="509" spans="1:1" ht="15" x14ac:dyDescent="0.25">
      <c r="A509" s="12" t="s">
        <v>557</v>
      </c>
    </row>
    <row r="510" spans="1:1" ht="15" x14ac:dyDescent="0.25">
      <c r="A510" s="12" t="s">
        <v>558</v>
      </c>
    </row>
    <row r="511" spans="1:1" ht="15" x14ac:dyDescent="0.25">
      <c r="A511" s="12" t="s">
        <v>559</v>
      </c>
    </row>
    <row r="512" spans="1:1" ht="15" x14ac:dyDescent="0.25">
      <c r="A512" s="12" t="s">
        <v>560</v>
      </c>
    </row>
    <row r="513" spans="1:1" ht="15" x14ac:dyDescent="0.25">
      <c r="A513" s="12" t="s">
        <v>561</v>
      </c>
    </row>
    <row r="514" spans="1:1" ht="15" x14ac:dyDescent="0.25">
      <c r="A514" s="12" t="s">
        <v>562</v>
      </c>
    </row>
    <row r="515" spans="1:1" ht="15" x14ac:dyDescent="0.25">
      <c r="A515" s="12" t="s">
        <v>563</v>
      </c>
    </row>
    <row r="516" spans="1:1" ht="15" x14ac:dyDescent="0.25">
      <c r="A516" s="12" t="s">
        <v>564</v>
      </c>
    </row>
    <row r="517" spans="1:1" ht="15" x14ac:dyDescent="0.25">
      <c r="A517" s="12" t="s">
        <v>565</v>
      </c>
    </row>
    <row r="518" spans="1:1" ht="15" x14ac:dyDescent="0.25">
      <c r="A518" s="12" t="s">
        <v>566</v>
      </c>
    </row>
    <row r="519" spans="1:1" ht="15" x14ac:dyDescent="0.25">
      <c r="A519" s="12" t="s">
        <v>567</v>
      </c>
    </row>
    <row r="520" spans="1:1" ht="15" x14ac:dyDescent="0.25">
      <c r="A520" s="12" t="s">
        <v>568</v>
      </c>
    </row>
    <row r="521" spans="1:1" ht="15" x14ac:dyDescent="0.25">
      <c r="A521" s="12" t="s">
        <v>569</v>
      </c>
    </row>
    <row r="522" spans="1:1" ht="15" x14ac:dyDescent="0.25">
      <c r="A522" s="12" t="s">
        <v>570</v>
      </c>
    </row>
    <row r="523" spans="1:1" ht="15" x14ac:dyDescent="0.25">
      <c r="A523" s="12" t="s">
        <v>571</v>
      </c>
    </row>
    <row r="524" spans="1:1" ht="15" x14ac:dyDescent="0.25">
      <c r="A524" s="12" t="s">
        <v>572</v>
      </c>
    </row>
    <row r="525" spans="1:1" ht="15" x14ac:dyDescent="0.25">
      <c r="A525" s="12" t="s">
        <v>573</v>
      </c>
    </row>
    <row r="526" spans="1:1" ht="15" x14ac:dyDescent="0.25">
      <c r="A526" s="12" t="s">
        <v>574</v>
      </c>
    </row>
    <row r="527" spans="1:1" ht="15" x14ac:dyDescent="0.25">
      <c r="A527" s="12" t="s">
        <v>575</v>
      </c>
    </row>
    <row r="528" spans="1:1" ht="15" x14ac:dyDescent="0.25">
      <c r="A528" s="12" t="s">
        <v>576</v>
      </c>
    </row>
    <row r="529" spans="1:1" ht="15" x14ac:dyDescent="0.25">
      <c r="A529" s="12" t="s">
        <v>577</v>
      </c>
    </row>
    <row r="530" spans="1:1" ht="15" x14ac:dyDescent="0.25">
      <c r="A530" s="12" t="s">
        <v>578</v>
      </c>
    </row>
    <row r="531" spans="1:1" ht="15" x14ac:dyDescent="0.25">
      <c r="A531" s="12" t="s">
        <v>579</v>
      </c>
    </row>
    <row r="532" spans="1:1" ht="15" x14ac:dyDescent="0.25">
      <c r="A532" s="12" t="s">
        <v>580</v>
      </c>
    </row>
    <row r="533" spans="1:1" ht="15" x14ac:dyDescent="0.25">
      <c r="A533" s="12" t="s">
        <v>581</v>
      </c>
    </row>
    <row r="534" spans="1:1" ht="15" x14ac:dyDescent="0.25">
      <c r="A534" s="12" t="s">
        <v>582</v>
      </c>
    </row>
    <row r="535" spans="1:1" ht="15" x14ac:dyDescent="0.25">
      <c r="A535" s="12" t="s">
        <v>583</v>
      </c>
    </row>
    <row r="536" spans="1:1" ht="15" x14ac:dyDescent="0.25">
      <c r="A536" s="12" t="s">
        <v>584</v>
      </c>
    </row>
    <row r="537" spans="1:1" ht="15" x14ac:dyDescent="0.25">
      <c r="A537" s="12" t="s">
        <v>585</v>
      </c>
    </row>
    <row r="538" spans="1:1" ht="15" x14ac:dyDescent="0.25">
      <c r="A538" s="12" t="s">
        <v>586</v>
      </c>
    </row>
    <row r="539" spans="1:1" ht="15" x14ac:dyDescent="0.25">
      <c r="A539" s="12" t="s">
        <v>587</v>
      </c>
    </row>
    <row r="540" spans="1:1" ht="15" x14ac:dyDescent="0.25">
      <c r="A540" s="12" t="s">
        <v>588</v>
      </c>
    </row>
    <row r="541" spans="1:1" ht="15" x14ac:dyDescent="0.25">
      <c r="A541" s="12" t="s">
        <v>589</v>
      </c>
    </row>
    <row r="542" spans="1:1" ht="15" x14ac:dyDescent="0.25">
      <c r="A542" s="12" t="s">
        <v>590</v>
      </c>
    </row>
    <row r="543" spans="1:1" ht="15" x14ac:dyDescent="0.25">
      <c r="A543" s="12" t="s">
        <v>591</v>
      </c>
    </row>
    <row r="544" spans="1:1" ht="15" x14ac:dyDescent="0.25">
      <c r="A544" s="12" t="s">
        <v>592</v>
      </c>
    </row>
    <row r="545" spans="1:1" ht="15" x14ac:dyDescent="0.25">
      <c r="A545" s="12" t="s">
        <v>593</v>
      </c>
    </row>
    <row r="546" spans="1:1" ht="15" x14ac:dyDescent="0.25">
      <c r="A546" s="12" t="s">
        <v>594</v>
      </c>
    </row>
    <row r="547" spans="1:1" ht="15" x14ac:dyDescent="0.25">
      <c r="A547" s="12" t="s">
        <v>595</v>
      </c>
    </row>
    <row r="548" spans="1:1" ht="15" x14ac:dyDescent="0.25">
      <c r="A548" s="12" t="s">
        <v>596</v>
      </c>
    </row>
    <row r="549" spans="1:1" ht="15" x14ac:dyDescent="0.25">
      <c r="A549" s="12" t="s">
        <v>597</v>
      </c>
    </row>
    <row r="550" spans="1:1" ht="15" x14ac:dyDescent="0.25">
      <c r="A550" s="12" t="s">
        <v>598</v>
      </c>
    </row>
    <row r="551" spans="1:1" ht="15" x14ac:dyDescent="0.25">
      <c r="A551" s="12" t="s">
        <v>599</v>
      </c>
    </row>
    <row r="552" spans="1:1" ht="15" x14ac:dyDescent="0.25">
      <c r="A552" s="12" t="s">
        <v>600</v>
      </c>
    </row>
    <row r="553" spans="1:1" ht="15" x14ac:dyDescent="0.25">
      <c r="A553" s="12" t="s">
        <v>601</v>
      </c>
    </row>
    <row r="554" spans="1:1" ht="15" x14ac:dyDescent="0.25">
      <c r="A554" s="12" t="s">
        <v>602</v>
      </c>
    </row>
    <row r="555" spans="1:1" ht="15" x14ac:dyDescent="0.25">
      <c r="A555" s="12" t="s">
        <v>603</v>
      </c>
    </row>
    <row r="556" spans="1:1" ht="15" x14ac:dyDescent="0.25">
      <c r="A556" s="12" t="s">
        <v>604</v>
      </c>
    </row>
    <row r="557" spans="1:1" ht="15" x14ac:dyDescent="0.25">
      <c r="A557" s="12" t="s">
        <v>605</v>
      </c>
    </row>
    <row r="558" spans="1:1" ht="15" x14ac:dyDescent="0.25">
      <c r="A558" s="12" t="s">
        <v>606</v>
      </c>
    </row>
    <row r="559" spans="1:1" ht="15" x14ac:dyDescent="0.25">
      <c r="A559" s="12" t="s">
        <v>607</v>
      </c>
    </row>
    <row r="560" spans="1:1" ht="15" x14ac:dyDescent="0.25">
      <c r="A560" s="12" t="s">
        <v>608</v>
      </c>
    </row>
    <row r="561" spans="1:1" ht="15" x14ac:dyDescent="0.25">
      <c r="A561" s="12" t="s">
        <v>609</v>
      </c>
    </row>
    <row r="562" spans="1:1" ht="15" x14ac:dyDescent="0.25">
      <c r="A562" s="12" t="s">
        <v>610</v>
      </c>
    </row>
    <row r="563" spans="1:1" ht="15" x14ac:dyDescent="0.25">
      <c r="A563" s="12" t="s">
        <v>611</v>
      </c>
    </row>
    <row r="564" spans="1:1" ht="15" x14ac:dyDescent="0.25">
      <c r="A564" s="12" t="s">
        <v>612</v>
      </c>
    </row>
    <row r="565" spans="1:1" ht="15" x14ac:dyDescent="0.25">
      <c r="A565" s="12" t="s">
        <v>613</v>
      </c>
    </row>
    <row r="566" spans="1:1" ht="15" x14ac:dyDescent="0.25">
      <c r="A566" s="12" t="s">
        <v>614</v>
      </c>
    </row>
    <row r="567" spans="1:1" ht="15" x14ac:dyDescent="0.25">
      <c r="A567" s="12" t="s">
        <v>615</v>
      </c>
    </row>
    <row r="568" spans="1:1" ht="15" x14ac:dyDescent="0.25">
      <c r="A568" s="12" t="s">
        <v>616</v>
      </c>
    </row>
    <row r="569" spans="1:1" ht="15" x14ac:dyDescent="0.25">
      <c r="A569" s="12" t="s">
        <v>617</v>
      </c>
    </row>
    <row r="570" spans="1:1" ht="15" x14ac:dyDescent="0.25">
      <c r="A570" s="12" t="s">
        <v>618</v>
      </c>
    </row>
    <row r="571" spans="1:1" ht="15" x14ac:dyDescent="0.25">
      <c r="A571" s="12" t="s">
        <v>619</v>
      </c>
    </row>
    <row r="572" spans="1:1" ht="15" x14ac:dyDescent="0.25">
      <c r="A572" s="12" t="s">
        <v>620</v>
      </c>
    </row>
    <row r="573" spans="1:1" ht="15" x14ac:dyDescent="0.25">
      <c r="A573" s="12" t="s">
        <v>621</v>
      </c>
    </row>
    <row r="574" spans="1:1" ht="15" x14ac:dyDescent="0.25">
      <c r="A574" s="12" t="s">
        <v>622</v>
      </c>
    </row>
    <row r="575" spans="1:1" ht="15" x14ac:dyDescent="0.25">
      <c r="A575" s="12" t="s">
        <v>623</v>
      </c>
    </row>
    <row r="576" spans="1:1" ht="15" x14ac:dyDescent="0.25">
      <c r="A576" s="12" t="s">
        <v>624</v>
      </c>
    </row>
    <row r="577" spans="1:1" ht="15" x14ac:dyDescent="0.25">
      <c r="A577" s="12" t="s">
        <v>625</v>
      </c>
    </row>
    <row r="578" spans="1:1" ht="15" x14ac:dyDescent="0.25">
      <c r="A578" s="12" t="s">
        <v>626</v>
      </c>
    </row>
    <row r="579" spans="1:1" ht="15" x14ac:dyDescent="0.25">
      <c r="A579" s="12" t="s">
        <v>627</v>
      </c>
    </row>
    <row r="580" spans="1:1" ht="15" x14ac:dyDescent="0.25">
      <c r="A580" s="12" t="s">
        <v>628</v>
      </c>
    </row>
    <row r="581" spans="1:1" ht="15" x14ac:dyDescent="0.25">
      <c r="A581" s="12" t="s">
        <v>629</v>
      </c>
    </row>
    <row r="582" spans="1:1" ht="15" x14ac:dyDescent="0.25">
      <c r="A582" s="12" t="s">
        <v>630</v>
      </c>
    </row>
    <row r="583" spans="1:1" ht="15" x14ac:dyDescent="0.25">
      <c r="A583" s="12" t="s">
        <v>631</v>
      </c>
    </row>
    <row r="584" spans="1:1" ht="15" x14ac:dyDescent="0.25">
      <c r="A584" s="12" t="s">
        <v>632</v>
      </c>
    </row>
    <row r="585" spans="1:1" ht="15" x14ac:dyDescent="0.25">
      <c r="A585" s="12" t="s">
        <v>633</v>
      </c>
    </row>
    <row r="586" spans="1:1" ht="15" x14ac:dyDescent="0.25">
      <c r="A586" s="12" t="s">
        <v>634</v>
      </c>
    </row>
    <row r="587" spans="1:1" ht="15" x14ac:dyDescent="0.25">
      <c r="A587" s="12" t="s">
        <v>635</v>
      </c>
    </row>
    <row r="588" spans="1:1" ht="15" x14ac:dyDescent="0.25">
      <c r="A588" s="12" t="s">
        <v>636</v>
      </c>
    </row>
    <row r="589" spans="1:1" ht="15" x14ac:dyDescent="0.25">
      <c r="A589" s="12" t="s">
        <v>637</v>
      </c>
    </row>
    <row r="590" spans="1:1" ht="15" x14ac:dyDescent="0.25">
      <c r="A590" s="12" t="s">
        <v>638</v>
      </c>
    </row>
    <row r="591" spans="1:1" ht="15" x14ac:dyDescent="0.25">
      <c r="A591" s="12" t="s">
        <v>639</v>
      </c>
    </row>
    <row r="592" spans="1:1" ht="15" x14ac:dyDescent="0.25">
      <c r="A592" s="12" t="s">
        <v>640</v>
      </c>
    </row>
    <row r="593" spans="1:1" ht="15" x14ac:dyDescent="0.25">
      <c r="A593" s="12" t="s">
        <v>641</v>
      </c>
    </row>
    <row r="594" spans="1:1" ht="15" x14ac:dyDescent="0.25">
      <c r="A594" s="12" t="s">
        <v>642</v>
      </c>
    </row>
    <row r="595" spans="1:1" ht="15" x14ac:dyDescent="0.25">
      <c r="A595" s="12" t="s">
        <v>643</v>
      </c>
    </row>
    <row r="596" spans="1:1" ht="15" x14ac:dyDescent="0.25">
      <c r="A596" s="12" t="s">
        <v>644</v>
      </c>
    </row>
    <row r="597" spans="1:1" ht="15" x14ac:dyDescent="0.25">
      <c r="A597" s="12" t="s">
        <v>645</v>
      </c>
    </row>
    <row r="598" spans="1:1" ht="15" x14ac:dyDescent="0.25">
      <c r="A598" s="12" t="s">
        <v>646</v>
      </c>
    </row>
    <row r="599" spans="1:1" ht="15" x14ac:dyDescent="0.25">
      <c r="A599" s="12" t="s">
        <v>647</v>
      </c>
    </row>
    <row r="600" spans="1:1" ht="15" x14ac:dyDescent="0.25">
      <c r="A600" s="12" t="s">
        <v>648</v>
      </c>
    </row>
    <row r="601" spans="1:1" ht="15" x14ac:dyDescent="0.25">
      <c r="A601" s="12" t="s">
        <v>649</v>
      </c>
    </row>
    <row r="602" spans="1:1" ht="15" x14ac:dyDescent="0.25">
      <c r="A602" s="12" t="s">
        <v>650</v>
      </c>
    </row>
    <row r="603" spans="1:1" ht="15" x14ac:dyDescent="0.25">
      <c r="A603" s="12" t="s">
        <v>651</v>
      </c>
    </row>
    <row r="604" spans="1:1" ht="15" x14ac:dyDescent="0.25">
      <c r="A604" s="12" t="s">
        <v>652</v>
      </c>
    </row>
    <row r="605" spans="1:1" ht="15" x14ac:dyDescent="0.25">
      <c r="A605" s="12" t="s">
        <v>653</v>
      </c>
    </row>
    <row r="606" spans="1:1" ht="15" x14ac:dyDescent="0.25">
      <c r="A606" s="12" t="s">
        <v>654</v>
      </c>
    </row>
    <row r="607" spans="1:1" ht="15" x14ac:dyDescent="0.25">
      <c r="A607" s="12" t="s">
        <v>655</v>
      </c>
    </row>
    <row r="608" spans="1:1" ht="15" x14ac:dyDescent="0.25">
      <c r="A608" s="12" t="s">
        <v>656</v>
      </c>
    </row>
    <row r="609" spans="1:1" ht="15" x14ac:dyDescent="0.25">
      <c r="A609" s="12" t="s">
        <v>657</v>
      </c>
    </row>
    <row r="610" spans="1:1" ht="15" x14ac:dyDescent="0.25">
      <c r="A610" s="12" t="s">
        <v>658</v>
      </c>
    </row>
    <row r="611" spans="1:1" ht="15" x14ac:dyDescent="0.25">
      <c r="A611" s="12" t="s">
        <v>659</v>
      </c>
    </row>
    <row r="612" spans="1:1" ht="15" x14ac:dyDescent="0.25">
      <c r="A612" s="12" t="s">
        <v>660</v>
      </c>
    </row>
    <row r="613" spans="1:1" ht="15" x14ac:dyDescent="0.25">
      <c r="A613" s="12" t="s">
        <v>661</v>
      </c>
    </row>
    <row r="614" spans="1:1" ht="15" x14ac:dyDescent="0.25">
      <c r="A614" s="12" t="s">
        <v>662</v>
      </c>
    </row>
    <row r="615" spans="1:1" ht="15" x14ac:dyDescent="0.25">
      <c r="A615" s="12" t="s">
        <v>663</v>
      </c>
    </row>
    <row r="616" spans="1:1" ht="15" x14ac:dyDescent="0.25">
      <c r="A616" s="12" t="s">
        <v>664</v>
      </c>
    </row>
    <row r="617" spans="1:1" ht="15" x14ac:dyDescent="0.25">
      <c r="A617" s="12" t="s">
        <v>665</v>
      </c>
    </row>
    <row r="618" spans="1:1" ht="15" x14ac:dyDescent="0.25">
      <c r="A618" s="12" t="s">
        <v>666</v>
      </c>
    </row>
    <row r="619" spans="1:1" ht="15" x14ac:dyDescent="0.25">
      <c r="A619" s="12" t="s">
        <v>667</v>
      </c>
    </row>
    <row r="620" spans="1:1" ht="15" x14ac:dyDescent="0.25">
      <c r="A620" s="12" t="s">
        <v>668</v>
      </c>
    </row>
    <row r="621" spans="1:1" ht="15" x14ac:dyDescent="0.25">
      <c r="A621" s="12" t="s">
        <v>669</v>
      </c>
    </row>
    <row r="622" spans="1:1" ht="15" x14ac:dyDescent="0.25">
      <c r="A622" s="12" t="s">
        <v>670</v>
      </c>
    </row>
    <row r="623" spans="1:1" ht="15" x14ac:dyDescent="0.25">
      <c r="A623" s="12" t="s">
        <v>671</v>
      </c>
    </row>
    <row r="624" spans="1:1" ht="15" x14ac:dyDescent="0.25">
      <c r="A624" s="12" t="s">
        <v>672</v>
      </c>
    </row>
    <row r="625" spans="1:1" ht="15" x14ac:dyDescent="0.25">
      <c r="A625" s="12" t="s">
        <v>673</v>
      </c>
    </row>
    <row r="626" spans="1:1" ht="15" x14ac:dyDescent="0.25">
      <c r="A626" s="12" t="s">
        <v>674</v>
      </c>
    </row>
    <row r="627" spans="1:1" ht="15" x14ac:dyDescent="0.25">
      <c r="A627" s="12" t="s">
        <v>675</v>
      </c>
    </row>
    <row r="628" spans="1:1" ht="15" x14ac:dyDescent="0.25">
      <c r="A628" s="12" t="s">
        <v>676</v>
      </c>
    </row>
    <row r="629" spans="1:1" ht="15" x14ac:dyDescent="0.25">
      <c r="A629" s="12" t="s">
        <v>677</v>
      </c>
    </row>
    <row r="630" spans="1:1" ht="15" x14ac:dyDescent="0.25">
      <c r="A630" s="12" t="s">
        <v>678</v>
      </c>
    </row>
    <row r="631" spans="1:1" ht="15" x14ac:dyDescent="0.25">
      <c r="A631" s="12" t="s">
        <v>679</v>
      </c>
    </row>
    <row r="632" spans="1:1" ht="15" x14ac:dyDescent="0.25">
      <c r="A632" s="12" t="s">
        <v>680</v>
      </c>
    </row>
    <row r="633" spans="1:1" ht="15" x14ac:dyDescent="0.25">
      <c r="A633" s="12" t="s">
        <v>681</v>
      </c>
    </row>
    <row r="634" spans="1:1" ht="15" x14ac:dyDescent="0.25">
      <c r="A634" s="12" t="s">
        <v>682</v>
      </c>
    </row>
    <row r="635" spans="1:1" ht="15" x14ac:dyDescent="0.25">
      <c r="A635" s="12" t="s">
        <v>683</v>
      </c>
    </row>
    <row r="636" spans="1:1" ht="15" x14ac:dyDescent="0.25">
      <c r="A636" s="12" t="s">
        <v>684</v>
      </c>
    </row>
    <row r="637" spans="1:1" ht="15" x14ac:dyDescent="0.25">
      <c r="A637" s="12" t="s">
        <v>685</v>
      </c>
    </row>
    <row r="638" spans="1:1" ht="15" x14ac:dyDescent="0.25">
      <c r="A638" s="12" t="s">
        <v>686</v>
      </c>
    </row>
    <row r="639" spans="1:1" ht="15" x14ac:dyDescent="0.25">
      <c r="A639" s="12" t="s">
        <v>687</v>
      </c>
    </row>
    <row r="640" spans="1:1" ht="15" x14ac:dyDescent="0.25">
      <c r="A640" s="12" t="s">
        <v>688</v>
      </c>
    </row>
    <row r="641" spans="1:1" ht="15" x14ac:dyDescent="0.25">
      <c r="A641" s="12" t="s">
        <v>689</v>
      </c>
    </row>
    <row r="642" spans="1:1" ht="15" x14ac:dyDescent="0.25">
      <c r="A642" s="12" t="s">
        <v>690</v>
      </c>
    </row>
    <row r="643" spans="1:1" ht="15" x14ac:dyDescent="0.25">
      <c r="A643" s="12" t="s">
        <v>691</v>
      </c>
    </row>
    <row r="644" spans="1:1" ht="15" x14ac:dyDescent="0.25">
      <c r="A644" s="12" t="s">
        <v>692</v>
      </c>
    </row>
    <row r="645" spans="1:1" ht="15" x14ac:dyDescent="0.25">
      <c r="A645" s="12" t="s">
        <v>693</v>
      </c>
    </row>
    <row r="646" spans="1:1" ht="15" x14ac:dyDescent="0.25">
      <c r="A646" s="12" t="s">
        <v>694</v>
      </c>
    </row>
    <row r="647" spans="1:1" ht="15" x14ac:dyDescent="0.25">
      <c r="A647" s="12" t="s">
        <v>695</v>
      </c>
    </row>
    <row r="648" spans="1:1" ht="15" x14ac:dyDescent="0.25">
      <c r="A648" s="12" t="s">
        <v>696</v>
      </c>
    </row>
    <row r="649" spans="1:1" ht="15" x14ac:dyDescent="0.25">
      <c r="A649" s="12" t="s">
        <v>697</v>
      </c>
    </row>
    <row r="650" spans="1:1" ht="15" x14ac:dyDescent="0.25">
      <c r="A650" s="12" t="s">
        <v>698</v>
      </c>
    </row>
    <row r="651" spans="1:1" ht="15" x14ac:dyDescent="0.25">
      <c r="A651" s="12" t="s">
        <v>699</v>
      </c>
    </row>
    <row r="652" spans="1:1" ht="15" x14ac:dyDescent="0.25">
      <c r="A652" s="12" t="s">
        <v>700</v>
      </c>
    </row>
    <row r="653" spans="1:1" ht="15" x14ac:dyDescent="0.25">
      <c r="A653" s="12" t="s">
        <v>701</v>
      </c>
    </row>
    <row r="654" spans="1:1" ht="15" x14ac:dyDescent="0.25">
      <c r="A654" s="12" t="s">
        <v>702</v>
      </c>
    </row>
    <row r="655" spans="1:1" ht="15" x14ac:dyDescent="0.25">
      <c r="A655" s="12" t="s">
        <v>703</v>
      </c>
    </row>
    <row r="656" spans="1:1" ht="15" x14ac:dyDescent="0.25">
      <c r="A656" s="12" t="s">
        <v>704</v>
      </c>
    </row>
    <row r="657" spans="1:1" ht="15" x14ac:dyDescent="0.25">
      <c r="A657" s="12" t="s">
        <v>705</v>
      </c>
    </row>
    <row r="658" spans="1:1" ht="15" x14ac:dyDescent="0.25">
      <c r="A658" s="12" t="s">
        <v>706</v>
      </c>
    </row>
    <row r="659" spans="1:1" ht="15" x14ac:dyDescent="0.25">
      <c r="A659" s="12" t="s">
        <v>707</v>
      </c>
    </row>
    <row r="660" spans="1:1" ht="15" x14ac:dyDescent="0.25">
      <c r="A660" s="12" t="s">
        <v>708</v>
      </c>
    </row>
    <row r="661" spans="1:1" ht="15" x14ac:dyDescent="0.25">
      <c r="A661" s="12" t="s">
        <v>709</v>
      </c>
    </row>
    <row r="662" spans="1:1" ht="15" x14ac:dyDescent="0.25">
      <c r="A662" s="12" t="s">
        <v>710</v>
      </c>
    </row>
    <row r="663" spans="1:1" ht="15" x14ac:dyDescent="0.25">
      <c r="A663" s="12" t="s">
        <v>711</v>
      </c>
    </row>
    <row r="664" spans="1:1" ht="15" x14ac:dyDescent="0.25">
      <c r="A664" s="12" t="s">
        <v>712</v>
      </c>
    </row>
    <row r="665" spans="1:1" ht="15" x14ac:dyDescent="0.25">
      <c r="A665" s="12" t="s">
        <v>713</v>
      </c>
    </row>
    <row r="666" spans="1:1" ht="15" x14ac:dyDescent="0.25">
      <c r="A666" s="12" t="s">
        <v>714</v>
      </c>
    </row>
    <row r="667" spans="1:1" ht="15" x14ac:dyDescent="0.25">
      <c r="A667" s="12" t="s">
        <v>715</v>
      </c>
    </row>
    <row r="668" spans="1:1" ht="15" x14ac:dyDescent="0.25">
      <c r="A668" s="12" t="s">
        <v>716</v>
      </c>
    </row>
    <row r="669" spans="1:1" ht="15" x14ac:dyDescent="0.25">
      <c r="A669" s="12" t="s">
        <v>717</v>
      </c>
    </row>
    <row r="670" spans="1:1" ht="15" x14ac:dyDescent="0.25">
      <c r="A670" s="12" t="s">
        <v>718</v>
      </c>
    </row>
    <row r="671" spans="1:1" ht="15" x14ac:dyDescent="0.25">
      <c r="A671" s="12" t="s">
        <v>719</v>
      </c>
    </row>
    <row r="672" spans="1:1" ht="15" x14ac:dyDescent="0.25">
      <c r="A672" s="12" t="s">
        <v>720</v>
      </c>
    </row>
    <row r="673" spans="1:1" ht="15" x14ac:dyDescent="0.25">
      <c r="A673" s="12" t="s">
        <v>721</v>
      </c>
    </row>
    <row r="674" spans="1:1" ht="15" x14ac:dyDescent="0.25">
      <c r="A674" s="12" t="s">
        <v>722</v>
      </c>
    </row>
    <row r="675" spans="1:1" ht="15" x14ac:dyDescent="0.25">
      <c r="A675" s="12" t="s">
        <v>723</v>
      </c>
    </row>
    <row r="676" spans="1:1" ht="15" x14ac:dyDescent="0.25">
      <c r="A676" s="12" t="s">
        <v>724</v>
      </c>
    </row>
    <row r="677" spans="1:1" ht="15" x14ac:dyDescent="0.25">
      <c r="A677" s="12" t="s">
        <v>725</v>
      </c>
    </row>
    <row r="678" spans="1:1" ht="15" x14ac:dyDescent="0.25">
      <c r="A678" s="12" t="s">
        <v>726</v>
      </c>
    </row>
    <row r="679" spans="1:1" ht="15" x14ac:dyDescent="0.25">
      <c r="A679" s="12" t="s">
        <v>727</v>
      </c>
    </row>
    <row r="680" spans="1:1" ht="15" x14ac:dyDescent="0.25">
      <c r="A680" s="12" t="s">
        <v>728</v>
      </c>
    </row>
    <row r="681" spans="1:1" ht="15" x14ac:dyDescent="0.25">
      <c r="A681" s="12" t="s">
        <v>729</v>
      </c>
    </row>
    <row r="682" spans="1:1" ht="15" x14ac:dyDescent="0.25">
      <c r="A682" s="12" t="s">
        <v>730</v>
      </c>
    </row>
    <row r="683" spans="1:1" ht="15" x14ac:dyDescent="0.25">
      <c r="A683" s="12" t="s">
        <v>731</v>
      </c>
    </row>
    <row r="684" spans="1:1" ht="15" x14ac:dyDescent="0.25">
      <c r="A684" s="12" t="s">
        <v>732</v>
      </c>
    </row>
    <row r="685" spans="1:1" ht="15" x14ac:dyDescent="0.25">
      <c r="A685" s="12" t="s">
        <v>733</v>
      </c>
    </row>
    <row r="686" spans="1:1" ht="15" x14ac:dyDescent="0.25">
      <c r="A686" s="12" t="s">
        <v>734</v>
      </c>
    </row>
    <row r="687" spans="1:1" ht="15" x14ac:dyDescent="0.25">
      <c r="A687" s="12" t="s">
        <v>735</v>
      </c>
    </row>
    <row r="688" spans="1:1" ht="15" x14ac:dyDescent="0.25">
      <c r="A688" s="12" t="s">
        <v>736</v>
      </c>
    </row>
    <row r="689" spans="1:1" ht="15" x14ac:dyDescent="0.25">
      <c r="A689" s="12" t="s">
        <v>737</v>
      </c>
    </row>
    <row r="690" spans="1:1" ht="15" x14ac:dyDescent="0.25">
      <c r="A690" s="12" t="s">
        <v>738</v>
      </c>
    </row>
    <row r="691" spans="1:1" ht="15" x14ac:dyDescent="0.25">
      <c r="A691" s="12" t="s">
        <v>739</v>
      </c>
    </row>
    <row r="692" spans="1:1" ht="15" x14ac:dyDescent="0.25">
      <c r="A692" s="12" t="s">
        <v>740</v>
      </c>
    </row>
    <row r="693" spans="1:1" ht="15" x14ac:dyDescent="0.25">
      <c r="A693" s="12" t="s">
        <v>741</v>
      </c>
    </row>
    <row r="694" spans="1:1" ht="15" x14ac:dyDescent="0.25">
      <c r="A694" s="12" t="s">
        <v>742</v>
      </c>
    </row>
    <row r="695" spans="1:1" ht="15" x14ac:dyDescent="0.25">
      <c r="A695" s="12" t="s">
        <v>743</v>
      </c>
    </row>
    <row r="696" spans="1:1" ht="15" x14ac:dyDescent="0.25">
      <c r="A696" s="12" t="s">
        <v>744</v>
      </c>
    </row>
    <row r="697" spans="1:1" ht="15" x14ac:dyDescent="0.25">
      <c r="A697" s="12" t="s">
        <v>745</v>
      </c>
    </row>
    <row r="698" spans="1:1" ht="15" x14ac:dyDescent="0.25">
      <c r="A698" s="12" t="s">
        <v>746</v>
      </c>
    </row>
    <row r="699" spans="1:1" ht="15" x14ac:dyDescent="0.25">
      <c r="A699" s="12" t="s">
        <v>747</v>
      </c>
    </row>
    <row r="700" spans="1:1" ht="15" x14ac:dyDescent="0.25">
      <c r="A700" s="12" t="s">
        <v>748</v>
      </c>
    </row>
    <row r="701" spans="1:1" ht="15" x14ac:dyDescent="0.25">
      <c r="A701" s="12" t="s">
        <v>749</v>
      </c>
    </row>
    <row r="702" spans="1:1" ht="15" x14ac:dyDescent="0.25">
      <c r="A702" s="12" t="s">
        <v>750</v>
      </c>
    </row>
    <row r="703" spans="1:1" ht="15" x14ac:dyDescent="0.25">
      <c r="A703" s="12" t="s">
        <v>751</v>
      </c>
    </row>
    <row r="704" spans="1:1" ht="15" x14ac:dyDescent="0.25">
      <c r="A704" s="12" t="s">
        <v>752</v>
      </c>
    </row>
    <row r="705" spans="1:1" ht="15" x14ac:dyDescent="0.25">
      <c r="A705" s="12" t="s">
        <v>753</v>
      </c>
    </row>
    <row r="706" spans="1:1" ht="15" x14ac:dyDescent="0.25">
      <c r="A706" s="12" t="s">
        <v>754</v>
      </c>
    </row>
    <row r="707" spans="1:1" ht="15" x14ac:dyDescent="0.25">
      <c r="A707" s="12" t="s">
        <v>755</v>
      </c>
    </row>
    <row r="708" spans="1:1" ht="15" x14ac:dyDescent="0.25">
      <c r="A708" s="12" t="s">
        <v>756</v>
      </c>
    </row>
    <row r="709" spans="1:1" ht="15" x14ac:dyDescent="0.25">
      <c r="A709" s="12" t="s">
        <v>757</v>
      </c>
    </row>
    <row r="710" spans="1:1" ht="15" x14ac:dyDescent="0.25">
      <c r="A710" s="12" t="s">
        <v>758</v>
      </c>
    </row>
    <row r="711" spans="1:1" ht="15" x14ac:dyDescent="0.25">
      <c r="A711" s="12" t="s">
        <v>759</v>
      </c>
    </row>
    <row r="712" spans="1:1" ht="15" x14ac:dyDescent="0.25">
      <c r="A712" s="12" t="s">
        <v>760</v>
      </c>
    </row>
    <row r="713" spans="1:1" ht="15" x14ac:dyDescent="0.25">
      <c r="A713" s="12" t="s">
        <v>761</v>
      </c>
    </row>
    <row r="714" spans="1:1" ht="15" x14ac:dyDescent="0.25">
      <c r="A714" s="12" t="s">
        <v>762</v>
      </c>
    </row>
    <row r="715" spans="1:1" ht="15" x14ac:dyDescent="0.25">
      <c r="A715" s="12" t="s">
        <v>763</v>
      </c>
    </row>
    <row r="716" spans="1:1" ht="15" x14ac:dyDescent="0.25">
      <c r="A716" s="12" t="s">
        <v>764</v>
      </c>
    </row>
    <row r="717" spans="1:1" ht="15" x14ac:dyDescent="0.25">
      <c r="A717" s="12" t="s">
        <v>765</v>
      </c>
    </row>
    <row r="718" spans="1:1" ht="15" x14ac:dyDescent="0.25">
      <c r="A718" s="12" t="s">
        <v>766</v>
      </c>
    </row>
    <row r="719" spans="1:1" ht="15" x14ac:dyDescent="0.25">
      <c r="A719" s="12" t="s">
        <v>767</v>
      </c>
    </row>
    <row r="720" spans="1:1" ht="15" x14ac:dyDescent="0.25">
      <c r="A720" s="12" t="s">
        <v>768</v>
      </c>
    </row>
    <row r="721" spans="1:1" ht="15" x14ac:dyDescent="0.25">
      <c r="A721" s="12" t="s">
        <v>769</v>
      </c>
    </row>
    <row r="722" spans="1:1" ht="15" x14ac:dyDescent="0.25">
      <c r="A722" s="12" t="s">
        <v>770</v>
      </c>
    </row>
    <row r="723" spans="1:1" ht="15" x14ac:dyDescent="0.25">
      <c r="A723" s="12" t="s">
        <v>771</v>
      </c>
    </row>
    <row r="724" spans="1:1" ht="15" x14ac:dyDescent="0.25">
      <c r="A724" s="12" t="s">
        <v>772</v>
      </c>
    </row>
    <row r="725" spans="1:1" ht="15" x14ac:dyDescent="0.25">
      <c r="A725" s="12" t="s">
        <v>773</v>
      </c>
    </row>
    <row r="726" spans="1:1" ht="15" x14ac:dyDescent="0.25">
      <c r="A726" s="12" t="s">
        <v>774</v>
      </c>
    </row>
    <row r="727" spans="1:1" ht="15" x14ac:dyDescent="0.25">
      <c r="A727" s="12" t="s">
        <v>775</v>
      </c>
    </row>
    <row r="728" spans="1:1" ht="15" x14ac:dyDescent="0.25">
      <c r="A728" s="12" t="s">
        <v>776</v>
      </c>
    </row>
    <row r="729" spans="1:1" ht="15" x14ac:dyDescent="0.25">
      <c r="A729" s="12" t="s">
        <v>777</v>
      </c>
    </row>
    <row r="730" spans="1:1" ht="15" x14ac:dyDescent="0.25">
      <c r="A730" s="12" t="s">
        <v>778</v>
      </c>
    </row>
    <row r="731" spans="1:1" ht="15" x14ac:dyDescent="0.25">
      <c r="A731" s="12" t="s">
        <v>779</v>
      </c>
    </row>
    <row r="732" spans="1:1" ht="15" x14ac:dyDescent="0.25">
      <c r="A732" s="12" t="s">
        <v>780</v>
      </c>
    </row>
    <row r="733" spans="1:1" ht="15" x14ac:dyDescent="0.25">
      <c r="A733" s="12" t="s">
        <v>781</v>
      </c>
    </row>
    <row r="734" spans="1:1" ht="15" x14ac:dyDescent="0.25">
      <c r="A734" s="12" t="s">
        <v>782</v>
      </c>
    </row>
    <row r="735" spans="1:1" ht="15" x14ac:dyDescent="0.25">
      <c r="A735" s="12" t="s">
        <v>783</v>
      </c>
    </row>
    <row r="736" spans="1:1" ht="15" x14ac:dyDescent="0.25">
      <c r="A736" s="12" t="s">
        <v>784</v>
      </c>
    </row>
    <row r="737" spans="1:1" ht="15" x14ac:dyDescent="0.25">
      <c r="A737" s="12" t="s">
        <v>785</v>
      </c>
    </row>
    <row r="738" spans="1:1" ht="15" x14ac:dyDescent="0.25">
      <c r="A738" s="12" t="s">
        <v>786</v>
      </c>
    </row>
    <row r="739" spans="1:1" ht="15" x14ac:dyDescent="0.25">
      <c r="A739" s="12" t="s">
        <v>787</v>
      </c>
    </row>
    <row r="740" spans="1:1" ht="15" x14ac:dyDescent="0.25">
      <c r="A740" s="12" t="s">
        <v>788</v>
      </c>
    </row>
    <row r="741" spans="1:1" ht="15" x14ac:dyDescent="0.25">
      <c r="A741" s="12" t="s">
        <v>789</v>
      </c>
    </row>
    <row r="742" spans="1:1" ht="15" x14ac:dyDescent="0.25">
      <c r="A742" s="12" t="s">
        <v>790</v>
      </c>
    </row>
    <row r="743" spans="1:1" ht="15" x14ac:dyDescent="0.25">
      <c r="A743" s="12" t="s">
        <v>791</v>
      </c>
    </row>
    <row r="744" spans="1:1" ht="15" x14ac:dyDescent="0.25">
      <c r="A744" s="12" t="s">
        <v>792</v>
      </c>
    </row>
    <row r="745" spans="1:1" ht="15" x14ac:dyDescent="0.25">
      <c r="A745" s="12" t="s">
        <v>793</v>
      </c>
    </row>
    <row r="746" spans="1:1" ht="15" x14ac:dyDescent="0.25">
      <c r="A746" s="12" t="s">
        <v>794</v>
      </c>
    </row>
    <row r="747" spans="1:1" ht="15" x14ac:dyDescent="0.25">
      <c r="A747" s="12" t="s">
        <v>795</v>
      </c>
    </row>
    <row r="748" spans="1:1" ht="15" x14ac:dyDescent="0.25">
      <c r="A748" s="12" t="s">
        <v>796</v>
      </c>
    </row>
    <row r="749" spans="1:1" ht="15" x14ac:dyDescent="0.25">
      <c r="A749" s="12" t="s">
        <v>797</v>
      </c>
    </row>
    <row r="750" spans="1:1" ht="15" x14ac:dyDescent="0.25">
      <c r="A750" s="12" t="s">
        <v>798</v>
      </c>
    </row>
    <row r="751" spans="1:1" ht="15" x14ac:dyDescent="0.25">
      <c r="A751" s="12" t="s">
        <v>799</v>
      </c>
    </row>
    <row r="752" spans="1:1" ht="15" x14ac:dyDescent="0.25">
      <c r="A752" s="12" t="s">
        <v>800</v>
      </c>
    </row>
    <row r="753" spans="1:1" ht="15" x14ac:dyDescent="0.25">
      <c r="A753" s="12" t="s">
        <v>801</v>
      </c>
    </row>
    <row r="754" spans="1:1" ht="15" x14ac:dyDescent="0.25">
      <c r="A754" s="12" t="s">
        <v>802</v>
      </c>
    </row>
    <row r="755" spans="1:1" ht="15" x14ac:dyDescent="0.25">
      <c r="A755" s="12" t="s">
        <v>803</v>
      </c>
    </row>
    <row r="756" spans="1:1" ht="15" x14ac:dyDescent="0.25">
      <c r="A756" s="12" t="s">
        <v>804</v>
      </c>
    </row>
    <row r="757" spans="1:1" ht="15" x14ac:dyDescent="0.25">
      <c r="A757" s="12" t="s">
        <v>805</v>
      </c>
    </row>
    <row r="758" spans="1:1" ht="15" x14ac:dyDescent="0.25">
      <c r="A758" s="12" t="s">
        <v>806</v>
      </c>
    </row>
    <row r="759" spans="1:1" ht="15" x14ac:dyDescent="0.25">
      <c r="A759" s="12" t="s">
        <v>807</v>
      </c>
    </row>
    <row r="760" spans="1:1" ht="15" x14ac:dyDescent="0.25">
      <c r="A760" s="12" t="s">
        <v>808</v>
      </c>
    </row>
    <row r="761" spans="1:1" ht="15" x14ac:dyDescent="0.25">
      <c r="A761" s="12" t="s">
        <v>809</v>
      </c>
    </row>
    <row r="762" spans="1:1" ht="15" x14ac:dyDescent="0.25">
      <c r="A762" s="12" t="s">
        <v>810</v>
      </c>
    </row>
    <row r="763" spans="1:1" ht="15" x14ac:dyDescent="0.25">
      <c r="A763" s="12" t="s">
        <v>811</v>
      </c>
    </row>
    <row r="764" spans="1:1" ht="15" x14ac:dyDescent="0.25">
      <c r="A764" s="12" t="s">
        <v>812</v>
      </c>
    </row>
    <row r="765" spans="1:1" ht="15" x14ac:dyDescent="0.25">
      <c r="A765" s="12" t="s">
        <v>813</v>
      </c>
    </row>
    <row r="766" spans="1:1" ht="15" x14ac:dyDescent="0.25">
      <c r="A766" s="12" t="s">
        <v>814</v>
      </c>
    </row>
    <row r="767" spans="1:1" ht="15" x14ac:dyDescent="0.25">
      <c r="A767" s="12" t="s">
        <v>815</v>
      </c>
    </row>
    <row r="768" spans="1:1" ht="15" x14ac:dyDescent="0.25">
      <c r="A768" s="12" t="s">
        <v>816</v>
      </c>
    </row>
    <row r="769" spans="1:1" ht="15" x14ac:dyDescent="0.25">
      <c r="A769" s="12" t="s">
        <v>817</v>
      </c>
    </row>
    <row r="770" spans="1:1" ht="15" x14ac:dyDescent="0.25">
      <c r="A770" s="12" t="s">
        <v>818</v>
      </c>
    </row>
    <row r="771" spans="1:1" ht="15" x14ac:dyDescent="0.25">
      <c r="A771" s="12" t="s">
        <v>819</v>
      </c>
    </row>
    <row r="772" spans="1:1" ht="15" x14ac:dyDescent="0.25">
      <c r="A772" s="12" t="s">
        <v>820</v>
      </c>
    </row>
    <row r="773" spans="1:1" ht="15" x14ac:dyDescent="0.25">
      <c r="A773" s="12" t="s">
        <v>821</v>
      </c>
    </row>
    <row r="774" spans="1:1" ht="15" x14ac:dyDescent="0.25">
      <c r="A774" s="12" t="s">
        <v>822</v>
      </c>
    </row>
    <row r="775" spans="1:1" ht="15" x14ac:dyDescent="0.25">
      <c r="A775" s="12" t="s">
        <v>822</v>
      </c>
    </row>
    <row r="776" spans="1:1" ht="15" x14ac:dyDescent="0.25">
      <c r="A776" s="12" t="s">
        <v>823</v>
      </c>
    </row>
    <row r="777" spans="1:1" ht="15" x14ac:dyDescent="0.25">
      <c r="A777" s="12" t="s">
        <v>824</v>
      </c>
    </row>
    <row r="778" spans="1:1" ht="15" x14ac:dyDescent="0.25">
      <c r="A778" s="12" t="s">
        <v>825</v>
      </c>
    </row>
    <row r="779" spans="1:1" ht="15" x14ac:dyDescent="0.25">
      <c r="A779" s="12" t="s">
        <v>826</v>
      </c>
    </row>
    <row r="780" spans="1:1" ht="15" x14ac:dyDescent="0.25">
      <c r="A780" s="12" t="s">
        <v>827</v>
      </c>
    </row>
    <row r="781" spans="1:1" ht="15" x14ac:dyDescent="0.25">
      <c r="A781" s="12" t="s">
        <v>828</v>
      </c>
    </row>
    <row r="782" spans="1:1" ht="15" x14ac:dyDescent="0.25">
      <c r="A782" s="12" t="s">
        <v>829</v>
      </c>
    </row>
    <row r="783" spans="1:1" ht="15" x14ac:dyDescent="0.25">
      <c r="A783" s="12" t="s">
        <v>830</v>
      </c>
    </row>
    <row r="784" spans="1:1" ht="15" x14ac:dyDescent="0.25">
      <c r="A784" s="12" t="s">
        <v>831</v>
      </c>
    </row>
    <row r="785" spans="1:1" ht="15" x14ac:dyDescent="0.25">
      <c r="A785" s="12" t="s">
        <v>832</v>
      </c>
    </row>
    <row r="786" spans="1:1" ht="15" x14ac:dyDescent="0.25">
      <c r="A786" s="12" t="s">
        <v>833</v>
      </c>
    </row>
    <row r="787" spans="1:1" ht="15" x14ac:dyDescent="0.25">
      <c r="A787" s="12" t="s">
        <v>834</v>
      </c>
    </row>
    <row r="788" spans="1:1" ht="15" x14ac:dyDescent="0.25">
      <c r="A788" s="12" t="s">
        <v>835</v>
      </c>
    </row>
    <row r="789" spans="1:1" ht="15" x14ac:dyDescent="0.25">
      <c r="A789" s="12" t="s">
        <v>836</v>
      </c>
    </row>
    <row r="790" spans="1:1" ht="15" x14ac:dyDescent="0.25">
      <c r="A790" s="12" t="s">
        <v>837</v>
      </c>
    </row>
    <row r="791" spans="1:1" ht="15" x14ac:dyDescent="0.25">
      <c r="A791" s="12" t="s">
        <v>838</v>
      </c>
    </row>
    <row r="792" spans="1:1" ht="15" x14ac:dyDescent="0.25">
      <c r="A792" s="12" t="s">
        <v>839</v>
      </c>
    </row>
    <row r="793" spans="1:1" ht="15" x14ac:dyDescent="0.25">
      <c r="A793" s="12" t="s">
        <v>840</v>
      </c>
    </row>
    <row r="794" spans="1:1" ht="15" x14ac:dyDescent="0.25">
      <c r="A794" s="12" t="s">
        <v>841</v>
      </c>
    </row>
    <row r="795" spans="1:1" ht="15" x14ac:dyDescent="0.25">
      <c r="A795" s="12" t="s">
        <v>842</v>
      </c>
    </row>
    <row r="796" spans="1:1" ht="15" x14ac:dyDescent="0.25">
      <c r="A796" s="12" t="s">
        <v>843</v>
      </c>
    </row>
    <row r="797" spans="1:1" ht="15" x14ac:dyDescent="0.25">
      <c r="A797" s="12" t="s">
        <v>844</v>
      </c>
    </row>
    <row r="798" spans="1:1" ht="15" x14ac:dyDescent="0.25">
      <c r="A798" s="12" t="s">
        <v>845</v>
      </c>
    </row>
    <row r="799" spans="1:1" ht="15" x14ac:dyDescent="0.25">
      <c r="A799" s="12" t="s">
        <v>846</v>
      </c>
    </row>
    <row r="800" spans="1:1" ht="15" x14ac:dyDescent="0.25">
      <c r="A800" s="12" t="s">
        <v>847</v>
      </c>
    </row>
    <row r="801" spans="1:1" ht="15" x14ac:dyDescent="0.25">
      <c r="A801" s="12" t="s">
        <v>848</v>
      </c>
    </row>
    <row r="802" spans="1:1" ht="15" x14ac:dyDescent="0.25">
      <c r="A802" s="12" t="s">
        <v>849</v>
      </c>
    </row>
    <row r="803" spans="1:1" ht="15" x14ac:dyDescent="0.25">
      <c r="A803" s="12" t="s">
        <v>850</v>
      </c>
    </row>
    <row r="804" spans="1:1" ht="15" x14ac:dyDescent="0.25">
      <c r="A804" s="12" t="s">
        <v>851</v>
      </c>
    </row>
    <row r="805" spans="1:1" ht="15" x14ac:dyDescent="0.25">
      <c r="A805" s="12" t="s">
        <v>852</v>
      </c>
    </row>
    <row r="806" spans="1:1" ht="15" x14ac:dyDescent="0.25">
      <c r="A806" s="12" t="s">
        <v>853</v>
      </c>
    </row>
    <row r="807" spans="1:1" ht="15" x14ac:dyDescent="0.25">
      <c r="A807" s="12" t="s">
        <v>854</v>
      </c>
    </row>
    <row r="808" spans="1:1" ht="15" x14ac:dyDescent="0.25">
      <c r="A808" s="12" t="s">
        <v>855</v>
      </c>
    </row>
    <row r="809" spans="1:1" ht="15" x14ac:dyDescent="0.25">
      <c r="A809" s="12" t="s">
        <v>856</v>
      </c>
    </row>
    <row r="810" spans="1:1" ht="15" x14ac:dyDescent="0.25">
      <c r="A810" s="12" t="s">
        <v>857</v>
      </c>
    </row>
    <row r="811" spans="1:1" ht="15" x14ac:dyDescent="0.25">
      <c r="A811" s="12" t="s">
        <v>858</v>
      </c>
    </row>
    <row r="812" spans="1:1" ht="15" x14ac:dyDescent="0.25">
      <c r="A812" s="12" t="s">
        <v>859</v>
      </c>
    </row>
    <row r="813" spans="1:1" ht="15" x14ac:dyDescent="0.25">
      <c r="A813" s="12" t="s">
        <v>860</v>
      </c>
    </row>
    <row r="814" spans="1:1" ht="15" x14ac:dyDescent="0.25">
      <c r="A814" s="12" t="s">
        <v>861</v>
      </c>
    </row>
    <row r="815" spans="1:1" ht="15" x14ac:dyDescent="0.25">
      <c r="A815" s="12" t="s">
        <v>862</v>
      </c>
    </row>
    <row r="816" spans="1:1" ht="15" x14ac:dyDescent="0.25">
      <c r="A816" s="12" t="s">
        <v>863</v>
      </c>
    </row>
    <row r="817" spans="1:1" ht="15" x14ac:dyDescent="0.25">
      <c r="A817" s="12" t="s">
        <v>864</v>
      </c>
    </row>
    <row r="818" spans="1:1" ht="15" x14ac:dyDescent="0.25">
      <c r="A818" s="12" t="s">
        <v>865</v>
      </c>
    </row>
    <row r="819" spans="1:1" ht="15" x14ac:dyDescent="0.25">
      <c r="A819" s="12" t="s">
        <v>866</v>
      </c>
    </row>
    <row r="820" spans="1:1" ht="15" x14ac:dyDescent="0.25">
      <c r="A820" s="12" t="s">
        <v>867</v>
      </c>
    </row>
    <row r="821" spans="1:1" ht="15" x14ac:dyDescent="0.25">
      <c r="A821" s="12" t="s">
        <v>868</v>
      </c>
    </row>
    <row r="822" spans="1:1" ht="15" x14ac:dyDescent="0.25">
      <c r="A822" s="12" t="s">
        <v>869</v>
      </c>
    </row>
    <row r="823" spans="1:1" ht="15" x14ac:dyDescent="0.25">
      <c r="A823" s="12" t="s">
        <v>870</v>
      </c>
    </row>
    <row r="824" spans="1:1" ht="15" x14ac:dyDescent="0.25">
      <c r="A824" s="12" t="s">
        <v>871</v>
      </c>
    </row>
    <row r="825" spans="1:1" ht="15" x14ac:dyDescent="0.25">
      <c r="A825" s="12" t="s">
        <v>872</v>
      </c>
    </row>
    <row r="826" spans="1:1" ht="15" x14ac:dyDescent="0.25">
      <c r="A826" s="12" t="s">
        <v>873</v>
      </c>
    </row>
    <row r="827" spans="1:1" ht="15" x14ac:dyDescent="0.25">
      <c r="A827" s="12" t="s">
        <v>874</v>
      </c>
    </row>
    <row r="828" spans="1:1" ht="15" x14ac:dyDescent="0.25">
      <c r="A828" s="12" t="s">
        <v>875</v>
      </c>
    </row>
    <row r="829" spans="1:1" ht="15" x14ac:dyDescent="0.25">
      <c r="A829" s="12" t="s">
        <v>876</v>
      </c>
    </row>
    <row r="830" spans="1:1" ht="15" x14ac:dyDescent="0.25">
      <c r="A830" s="12" t="s">
        <v>877</v>
      </c>
    </row>
    <row r="831" spans="1:1" ht="15" x14ac:dyDescent="0.25">
      <c r="A831" s="12" t="s">
        <v>878</v>
      </c>
    </row>
    <row r="832" spans="1:1" ht="15" x14ac:dyDescent="0.25">
      <c r="A832" s="12" t="s">
        <v>879</v>
      </c>
    </row>
    <row r="833" spans="1:1" ht="15" x14ac:dyDescent="0.25">
      <c r="A833" s="12" t="s">
        <v>880</v>
      </c>
    </row>
    <row r="834" spans="1:1" ht="15" x14ac:dyDescent="0.25">
      <c r="A834" s="12" t="s">
        <v>881</v>
      </c>
    </row>
    <row r="835" spans="1:1" ht="15" x14ac:dyDescent="0.25">
      <c r="A835" s="12" t="s">
        <v>882</v>
      </c>
    </row>
    <row r="836" spans="1:1" ht="15" x14ac:dyDescent="0.25">
      <c r="A836" s="12" t="s">
        <v>883</v>
      </c>
    </row>
    <row r="837" spans="1:1" ht="15" x14ac:dyDescent="0.25">
      <c r="A837" s="12" t="s">
        <v>884</v>
      </c>
    </row>
    <row r="838" spans="1:1" ht="15" x14ac:dyDescent="0.25">
      <c r="A838" s="12" t="s">
        <v>884</v>
      </c>
    </row>
    <row r="839" spans="1:1" ht="15" x14ac:dyDescent="0.25">
      <c r="A839" s="12" t="s">
        <v>885</v>
      </c>
    </row>
    <row r="840" spans="1:1" ht="15" x14ac:dyDescent="0.25">
      <c r="A840" s="12" t="s">
        <v>885</v>
      </c>
    </row>
    <row r="841" spans="1:1" ht="15" x14ac:dyDescent="0.25">
      <c r="A841" s="12" t="s">
        <v>886</v>
      </c>
    </row>
    <row r="842" spans="1:1" ht="15" x14ac:dyDescent="0.25">
      <c r="A842" s="12" t="s">
        <v>887</v>
      </c>
    </row>
    <row r="843" spans="1:1" ht="15" x14ac:dyDescent="0.25">
      <c r="A843" s="12" t="s">
        <v>888</v>
      </c>
    </row>
    <row r="844" spans="1:1" ht="15" x14ac:dyDescent="0.25">
      <c r="A844" s="12" t="s">
        <v>889</v>
      </c>
    </row>
    <row r="845" spans="1:1" ht="15" x14ac:dyDescent="0.25">
      <c r="A845" s="12" t="s">
        <v>890</v>
      </c>
    </row>
    <row r="846" spans="1:1" ht="15" x14ac:dyDescent="0.25">
      <c r="A846" s="12" t="s">
        <v>891</v>
      </c>
    </row>
    <row r="847" spans="1:1" ht="15" x14ac:dyDescent="0.25">
      <c r="A847" s="12" t="s">
        <v>892</v>
      </c>
    </row>
    <row r="848" spans="1:1" ht="15" x14ac:dyDescent="0.25">
      <c r="A848" s="12" t="s">
        <v>893</v>
      </c>
    </row>
    <row r="849" spans="1:1" ht="15" x14ac:dyDescent="0.25">
      <c r="A849" s="12" t="s">
        <v>894</v>
      </c>
    </row>
    <row r="850" spans="1:1" ht="15" x14ac:dyDescent="0.25">
      <c r="A850" s="12" t="s">
        <v>895</v>
      </c>
    </row>
    <row r="851" spans="1:1" ht="15" x14ac:dyDescent="0.25">
      <c r="A851" s="12" t="s">
        <v>896</v>
      </c>
    </row>
    <row r="852" spans="1:1" ht="15" x14ac:dyDescent="0.25">
      <c r="A852" s="12" t="s">
        <v>897</v>
      </c>
    </row>
    <row r="853" spans="1:1" ht="15" x14ac:dyDescent="0.25">
      <c r="A853" s="12" t="s">
        <v>898</v>
      </c>
    </row>
    <row r="854" spans="1:1" ht="15" x14ac:dyDescent="0.25">
      <c r="A854" s="12" t="s">
        <v>899</v>
      </c>
    </row>
    <row r="855" spans="1:1" ht="15" x14ac:dyDescent="0.25">
      <c r="A855" s="12" t="s">
        <v>900</v>
      </c>
    </row>
    <row r="856" spans="1:1" ht="15" x14ac:dyDescent="0.25">
      <c r="A856" s="12" t="s">
        <v>901</v>
      </c>
    </row>
    <row r="857" spans="1:1" ht="15" x14ac:dyDescent="0.25">
      <c r="A857" s="12" t="s">
        <v>902</v>
      </c>
    </row>
    <row r="858" spans="1:1" ht="15" x14ac:dyDescent="0.25">
      <c r="A858" s="12" t="s">
        <v>903</v>
      </c>
    </row>
    <row r="859" spans="1:1" ht="15" x14ac:dyDescent="0.25">
      <c r="A859" s="12" t="s">
        <v>904</v>
      </c>
    </row>
    <row r="860" spans="1:1" ht="15" x14ac:dyDescent="0.25">
      <c r="A860" s="12" t="s">
        <v>905</v>
      </c>
    </row>
    <row r="861" spans="1:1" ht="15" x14ac:dyDescent="0.25">
      <c r="A861" s="12" t="s">
        <v>906</v>
      </c>
    </row>
    <row r="862" spans="1:1" ht="15" x14ac:dyDescent="0.25">
      <c r="A862" s="12" t="s">
        <v>907</v>
      </c>
    </row>
    <row r="863" spans="1:1" ht="15" x14ac:dyDescent="0.25">
      <c r="A863" s="12" t="s">
        <v>908</v>
      </c>
    </row>
    <row r="864" spans="1:1" ht="15" x14ac:dyDescent="0.25">
      <c r="A864" s="12" t="s">
        <v>909</v>
      </c>
    </row>
    <row r="865" spans="1:1" ht="15" x14ac:dyDescent="0.25">
      <c r="A865" s="12" t="s">
        <v>910</v>
      </c>
    </row>
    <row r="866" spans="1:1" ht="15" x14ac:dyDescent="0.25">
      <c r="A866" s="12" t="s">
        <v>911</v>
      </c>
    </row>
    <row r="867" spans="1:1" ht="15" x14ac:dyDescent="0.25">
      <c r="A867" s="12" t="s">
        <v>912</v>
      </c>
    </row>
    <row r="868" spans="1:1" ht="15" x14ac:dyDescent="0.25">
      <c r="A868" s="12" t="s">
        <v>913</v>
      </c>
    </row>
    <row r="869" spans="1:1" ht="15" x14ac:dyDescent="0.25">
      <c r="A869" s="12" t="s">
        <v>914</v>
      </c>
    </row>
    <row r="870" spans="1:1" ht="15" x14ac:dyDescent="0.25">
      <c r="A870" s="12" t="s">
        <v>915</v>
      </c>
    </row>
    <row r="871" spans="1:1" ht="15" x14ac:dyDescent="0.25">
      <c r="A871" s="12" t="s">
        <v>916</v>
      </c>
    </row>
    <row r="872" spans="1:1" ht="15" x14ac:dyDescent="0.25">
      <c r="A872" s="12" t="s">
        <v>917</v>
      </c>
    </row>
    <row r="873" spans="1:1" ht="15" x14ac:dyDescent="0.25">
      <c r="A873" s="12" t="s">
        <v>918</v>
      </c>
    </row>
    <row r="874" spans="1:1" ht="15" x14ac:dyDescent="0.25">
      <c r="A874" s="12" t="s">
        <v>919</v>
      </c>
    </row>
    <row r="875" spans="1:1" ht="15" x14ac:dyDescent="0.25">
      <c r="A875" s="12" t="s">
        <v>920</v>
      </c>
    </row>
    <row r="876" spans="1:1" ht="15" x14ac:dyDescent="0.25">
      <c r="A876" s="12" t="s">
        <v>921</v>
      </c>
    </row>
    <row r="877" spans="1:1" ht="15" x14ac:dyDescent="0.25">
      <c r="A877" s="12" t="s">
        <v>922</v>
      </c>
    </row>
    <row r="878" spans="1:1" ht="15" x14ac:dyDescent="0.25">
      <c r="A878" s="12" t="s">
        <v>923</v>
      </c>
    </row>
    <row r="879" spans="1:1" ht="15" x14ac:dyDescent="0.25">
      <c r="A879" s="12" t="s">
        <v>924</v>
      </c>
    </row>
    <row r="880" spans="1:1" ht="15" x14ac:dyDescent="0.25">
      <c r="A880" s="12" t="s">
        <v>925</v>
      </c>
    </row>
    <row r="881" spans="1:1" ht="15" x14ac:dyDescent="0.25">
      <c r="A881" s="12" t="s">
        <v>926</v>
      </c>
    </row>
    <row r="882" spans="1:1" ht="15" x14ac:dyDescent="0.25">
      <c r="A882" s="12" t="s">
        <v>927</v>
      </c>
    </row>
    <row r="883" spans="1:1" ht="15" x14ac:dyDescent="0.25">
      <c r="A883" s="12" t="s">
        <v>928</v>
      </c>
    </row>
    <row r="884" spans="1:1" ht="15" x14ac:dyDescent="0.25">
      <c r="A884" s="12" t="s">
        <v>929</v>
      </c>
    </row>
    <row r="885" spans="1:1" ht="15" x14ac:dyDescent="0.25">
      <c r="A885" s="12" t="s">
        <v>930</v>
      </c>
    </row>
    <row r="886" spans="1:1" ht="15" x14ac:dyDescent="0.25">
      <c r="A886" s="12" t="s">
        <v>931</v>
      </c>
    </row>
    <row r="887" spans="1:1" ht="15" x14ac:dyDescent="0.25">
      <c r="A887" s="12" t="s">
        <v>932</v>
      </c>
    </row>
    <row r="888" spans="1:1" ht="15" x14ac:dyDescent="0.25">
      <c r="A888" s="12" t="s">
        <v>933</v>
      </c>
    </row>
    <row r="889" spans="1:1" ht="15" x14ac:dyDescent="0.25">
      <c r="A889" s="12" t="s">
        <v>934</v>
      </c>
    </row>
    <row r="890" spans="1:1" ht="15" x14ac:dyDescent="0.25">
      <c r="A890" s="12" t="s">
        <v>935</v>
      </c>
    </row>
    <row r="891" spans="1:1" ht="15" x14ac:dyDescent="0.25">
      <c r="A891" s="12" t="s">
        <v>936</v>
      </c>
    </row>
    <row r="892" spans="1:1" ht="15" x14ac:dyDescent="0.25">
      <c r="A892" s="12" t="s">
        <v>937</v>
      </c>
    </row>
    <row r="893" spans="1:1" ht="15" x14ac:dyDescent="0.25">
      <c r="A893" s="12" t="s">
        <v>938</v>
      </c>
    </row>
    <row r="894" spans="1:1" ht="15" x14ac:dyDescent="0.25">
      <c r="A894" s="12" t="s">
        <v>939</v>
      </c>
    </row>
    <row r="895" spans="1:1" ht="15" x14ac:dyDescent="0.25">
      <c r="A895" s="12" t="s">
        <v>940</v>
      </c>
    </row>
    <row r="896" spans="1:1" ht="15" x14ac:dyDescent="0.25">
      <c r="A896" s="12" t="s">
        <v>941</v>
      </c>
    </row>
    <row r="897" spans="1:1" ht="15" x14ac:dyDescent="0.25">
      <c r="A897" s="12" t="s">
        <v>942</v>
      </c>
    </row>
    <row r="898" spans="1:1" ht="15" x14ac:dyDescent="0.25">
      <c r="A898" s="12" t="s">
        <v>943</v>
      </c>
    </row>
    <row r="899" spans="1:1" ht="15" x14ac:dyDescent="0.25">
      <c r="A899" s="12" t="s">
        <v>944</v>
      </c>
    </row>
    <row r="900" spans="1:1" ht="15" x14ac:dyDescent="0.25">
      <c r="A900" s="12" t="s">
        <v>945</v>
      </c>
    </row>
    <row r="901" spans="1:1" ht="15" x14ac:dyDescent="0.25">
      <c r="A901" s="12" t="s">
        <v>946</v>
      </c>
    </row>
    <row r="902" spans="1:1" ht="15" x14ac:dyDescent="0.25">
      <c r="A902" s="12" t="s">
        <v>947</v>
      </c>
    </row>
    <row r="903" spans="1:1" ht="15" x14ac:dyDescent="0.25">
      <c r="A903" s="12" t="s">
        <v>948</v>
      </c>
    </row>
    <row r="904" spans="1:1" ht="15" x14ac:dyDescent="0.25">
      <c r="A904" s="12" t="s">
        <v>949</v>
      </c>
    </row>
    <row r="905" spans="1:1" ht="15" x14ac:dyDescent="0.25">
      <c r="A905" s="12" t="s">
        <v>950</v>
      </c>
    </row>
    <row r="906" spans="1:1" ht="15" x14ac:dyDescent="0.25">
      <c r="A906" s="12" t="s">
        <v>951</v>
      </c>
    </row>
    <row r="907" spans="1:1" ht="15" x14ac:dyDescent="0.25">
      <c r="A907" s="12" t="s">
        <v>952</v>
      </c>
    </row>
    <row r="908" spans="1:1" ht="15" x14ac:dyDescent="0.25">
      <c r="A908" s="12" t="s">
        <v>953</v>
      </c>
    </row>
    <row r="909" spans="1:1" ht="15" x14ac:dyDescent="0.25">
      <c r="A909" s="12" t="s">
        <v>954</v>
      </c>
    </row>
    <row r="910" spans="1:1" ht="15" x14ac:dyDescent="0.25">
      <c r="A910" s="12" t="s">
        <v>955</v>
      </c>
    </row>
    <row r="911" spans="1:1" ht="15" x14ac:dyDescent="0.25">
      <c r="A911" s="12" t="s">
        <v>956</v>
      </c>
    </row>
    <row r="912" spans="1:1" ht="15" x14ac:dyDescent="0.25">
      <c r="A912" s="12" t="s">
        <v>957</v>
      </c>
    </row>
    <row r="913" spans="1:1" ht="15" x14ac:dyDescent="0.25">
      <c r="A913" s="12" t="s">
        <v>958</v>
      </c>
    </row>
    <row r="914" spans="1:1" ht="15" x14ac:dyDescent="0.25">
      <c r="A914" s="12" t="s">
        <v>959</v>
      </c>
    </row>
    <row r="915" spans="1:1" ht="15" x14ac:dyDescent="0.25">
      <c r="A915" s="12" t="s">
        <v>960</v>
      </c>
    </row>
    <row r="916" spans="1:1" ht="15" x14ac:dyDescent="0.25">
      <c r="A916" s="12" t="s">
        <v>961</v>
      </c>
    </row>
    <row r="917" spans="1:1" ht="15" x14ac:dyDescent="0.25">
      <c r="A917" s="12" t="s">
        <v>962</v>
      </c>
    </row>
    <row r="918" spans="1:1" ht="15" x14ac:dyDescent="0.25">
      <c r="A918" s="12" t="s">
        <v>963</v>
      </c>
    </row>
    <row r="919" spans="1:1" ht="15" x14ac:dyDescent="0.25">
      <c r="A919" s="12" t="s">
        <v>964</v>
      </c>
    </row>
    <row r="920" spans="1:1" ht="15" x14ac:dyDescent="0.25">
      <c r="A920" s="12" t="s">
        <v>965</v>
      </c>
    </row>
    <row r="921" spans="1:1" ht="15" x14ac:dyDescent="0.25">
      <c r="A921" s="12" t="s">
        <v>966</v>
      </c>
    </row>
    <row r="922" spans="1:1" ht="15" x14ac:dyDescent="0.25">
      <c r="A922" s="12" t="s">
        <v>967</v>
      </c>
    </row>
    <row r="923" spans="1:1" ht="15" x14ac:dyDescent="0.25">
      <c r="A923" s="12" t="s">
        <v>968</v>
      </c>
    </row>
    <row r="924" spans="1:1" ht="15" x14ac:dyDescent="0.25">
      <c r="A924" s="12" t="s">
        <v>969</v>
      </c>
    </row>
    <row r="925" spans="1:1" ht="15" x14ac:dyDescent="0.25">
      <c r="A925" s="12" t="s">
        <v>970</v>
      </c>
    </row>
    <row r="926" spans="1:1" ht="15" x14ac:dyDescent="0.25">
      <c r="A926" s="12" t="s">
        <v>971</v>
      </c>
    </row>
    <row r="927" spans="1:1" ht="15" x14ac:dyDescent="0.25">
      <c r="A927" s="12" t="s">
        <v>972</v>
      </c>
    </row>
    <row r="928" spans="1:1" ht="15" x14ac:dyDescent="0.25">
      <c r="A928" s="12" t="s">
        <v>973</v>
      </c>
    </row>
    <row r="929" spans="1:1" ht="15" x14ac:dyDescent="0.25">
      <c r="A929" s="12" t="s">
        <v>974</v>
      </c>
    </row>
    <row r="930" spans="1:1" ht="15" x14ac:dyDescent="0.25">
      <c r="A930" s="12" t="s">
        <v>975</v>
      </c>
    </row>
    <row r="931" spans="1:1" ht="15" x14ac:dyDescent="0.25">
      <c r="A931" s="12" t="s">
        <v>976</v>
      </c>
    </row>
    <row r="932" spans="1:1" ht="15" x14ac:dyDescent="0.25">
      <c r="A932" s="12" t="s">
        <v>977</v>
      </c>
    </row>
    <row r="933" spans="1:1" ht="15" x14ac:dyDescent="0.25">
      <c r="A933" s="12" t="s">
        <v>978</v>
      </c>
    </row>
    <row r="934" spans="1:1" ht="15" x14ac:dyDescent="0.25">
      <c r="A934" s="12" t="s">
        <v>979</v>
      </c>
    </row>
    <row r="935" spans="1:1" ht="15" x14ac:dyDescent="0.25">
      <c r="A935" s="12" t="s">
        <v>980</v>
      </c>
    </row>
    <row r="936" spans="1:1" ht="15" x14ac:dyDescent="0.25">
      <c r="A936" s="12" t="s">
        <v>981</v>
      </c>
    </row>
    <row r="937" spans="1:1" ht="15" x14ac:dyDescent="0.25">
      <c r="A937" s="12" t="s">
        <v>982</v>
      </c>
    </row>
    <row r="938" spans="1:1" ht="15" x14ac:dyDescent="0.25">
      <c r="A938" s="12" t="s">
        <v>983</v>
      </c>
    </row>
    <row r="939" spans="1:1" ht="15" x14ac:dyDescent="0.25">
      <c r="A939" s="12" t="s">
        <v>984</v>
      </c>
    </row>
    <row r="940" spans="1:1" ht="15" x14ac:dyDescent="0.25">
      <c r="A940" s="12" t="s">
        <v>985</v>
      </c>
    </row>
    <row r="941" spans="1:1" ht="15" x14ac:dyDescent="0.25">
      <c r="A941" s="12" t="s">
        <v>986</v>
      </c>
    </row>
    <row r="942" spans="1:1" ht="15" x14ac:dyDescent="0.25">
      <c r="A942" s="12" t="s">
        <v>987</v>
      </c>
    </row>
    <row r="943" spans="1:1" ht="15" x14ac:dyDescent="0.25">
      <c r="A943" s="12" t="s">
        <v>988</v>
      </c>
    </row>
    <row r="944" spans="1:1" ht="15" x14ac:dyDescent="0.25">
      <c r="A944" s="12" t="s">
        <v>989</v>
      </c>
    </row>
    <row r="945" spans="1:1" ht="15" x14ac:dyDescent="0.25">
      <c r="A945" s="12" t="s">
        <v>990</v>
      </c>
    </row>
    <row r="946" spans="1:1" ht="15" x14ac:dyDescent="0.25">
      <c r="A946" s="12" t="s">
        <v>991</v>
      </c>
    </row>
    <row r="947" spans="1:1" ht="15" x14ac:dyDescent="0.25">
      <c r="A947" s="12" t="s">
        <v>992</v>
      </c>
    </row>
    <row r="948" spans="1:1" ht="15" x14ac:dyDescent="0.25">
      <c r="A948" s="12" t="s">
        <v>993</v>
      </c>
    </row>
    <row r="949" spans="1:1" ht="15" x14ac:dyDescent="0.25">
      <c r="A949" s="12" t="s">
        <v>994</v>
      </c>
    </row>
    <row r="950" spans="1:1" ht="15" x14ac:dyDescent="0.25">
      <c r="A950" s="12" t="s">
        <v>995</v>
      </c>
    </row>
    <row r="951" spans="1:1" ht="15" x14ac:dyDescent="0.25">
      <c r="A951" s="12" t="s">
        <v>996</v>
      </c>
    </row>
    <row r="952" spans="1:1" ht="15" x14ac:dyDescent="0.25">
      <c r="A952" s="12" t="s">
        <v>997</v>
      </c>
    </row>
    <row r="953" spans="1:1" ht="15" x14ac:dyDescent="0.25">
      <c r="A953" s="12" t="s">
        <v>998</v>
      </c>
    </row>
    <row r="954" spans="1:1" ht="15" x14ac:dyDescent="0.25">
      <c r="A954" s="12" t="s">
        <v>999</v>
      </c>
    </row>
    <row r="955" spans="1:1" ht="15" x14ac:dyDescent="0.25">
      <c r="A955" s="12" t="s">
        <v>1000</v>
      </c>
    </row>
    <row r="956" spans="1:1" ht="15" x14ac:dyDescent="0.25">
      <c r="A956" s="12" t="s">
        <v>1001</v>
      </c>
    </row>
    <row r="957" spans="1:1" ht="15" x14ac:dyDescent="0.25">
      <c r="A957" s="12" t="s">
        <v>1002</v>
      </c>
    </row>
    <row r="958" spans="1:1" ht="15" x14ac:dyDescent="0.25">
      <c r="A958" s="12" t="s">
        <v>1003</v>
      </c>
    </row>
    <row r="959" spans="1:1" ht="15" x14ac:dyDescent="0.25">
      <c r="A959" s="12" t="s">
        <v>1004</v>
      </c>
    </row>
    <row r="960" spans="1:1" ht="15" x14ac:dyDescent="0.25">
      <c r="A960" s="12" t="s">
        <v>1005</v>
      </c>
    </row>
    <row r="961" spans="1:1" ht="15" x14ac:dyDescent="0.25">
      <c r="A961" s="12" t="s">
        <v>1006</v>
      </c>
    </row>
    <row r="962" spans="1:1" ht="15" x14ac:dyDescent="0.25">
      <c r="A962" s="12" t="s">
        <v>1007</v>
      </c>
    </row>
    <row r="963" spans="1:1" ht="15" x14ac:dyDescent="0.25">
      <c r="A963" s="12" t="s">
        <v>1008</v>
      </c>
    </row>
    <row r="964" spans="1:1" ht="15" x14ac:dyDescent="0.25">
      <c r="A964" s="12" t="s">
        <v>1009</v>
      </c>
    </row>
    <row r="965" spans="1:1" ht="15" x14ac:dyDescent="0.25">
      <c r="A965" s="12" t="s">
        <v>1010</v>
      </c>
    </row>
    <row r="966" spans="1:1" ht="15" x14ac:dyDescent="0.25">
      <c r="A966" s="12" t="s">
        <v>1011</v>
      </c>
    </row>
    <row r="967" spans="1:1" ht="15" x14ac:dyDescent="0.25">
      <c r="A967" s="12" t="s">
        <v>1012</v>
      </c>
    </row>
    <row r="968" spans="1:1" ht="15" x14ac:dyDescent="0.25">
      <c r="A968" s="12" t="s">
        <v>1013</v>
      </c>
    </row>
    <row r="969" spans="1:1" ht="15" x14ac:dyDescent="0.25">
      <c r="A969" s="12" t="s">
        <v>1014</v>
      </c>
    </row>
    <row r="970" spans="1:1" ht="15" x14ac:dyDescent="0.25">
      <c r="A970" s="12" t="s">
        <v>1015</v>
      </c>
    </row>
    <row r="971" spans="1:1" ht="15" x14ac:dyDescent="0.25">
      <c r="A971" s="12" t="s">
        <v>1016</v>
      </c>
    </row>
    <row r="972" spans="1:1" ht="15" x14ac:dyDescent="0.25">
      <c r="A972" s="12" t="s">
        <v>1017</v>
      </c>
    </row>
    <row r="973" spans="1:1" ht="15" x14ac:dyDescent="0.25">
      <c r="A973" s="12" t="s">
        <v>1018</v>
      </c>
    </row>
    <row r="974" spans="1:1" ht="15" x14ac:dyDescent="0.25">
      <c r="A974" s="12" t="s">
        <v>1019</v>
      </c>
    </row>
    <row r="975" spans="1:1" ht="15" x14ac:dyDescent="0.25">
      <c r="A975" s="12" t="s">
        <v>1020</v>
      </c>
    </row>
    <row r="976" spans="1:1" ht="15" x14ac:dyDescent="0.25">
      <c r="A976" s="12" t="s">
        <v>1021</v>
      </c>
    </row>
    <row r="977" spans="1:1" ht="15" x14ac:dyDescent="0.25">
      <c r="A977" s="12" t="s">
        <v>1022</v>
      </c>
    </row>
    <row r="978" spans="1:1" ht="15" x14ac:dyDescent="0.25">
      <c r="A978" s="12" t="s">
        <v>1023</v>
      </c>
    </row>
    <row r="979" spans="1:1" ht="15" x14ac:dyDescent="0.25">
      <c r="A979" s="12" t="s">
        <v>1024</v>
      </c>
    </row>
    <row r="980" spans="1:1" ht="15" x14ac:dyDescent="0.25">
      <c r="A980" s="12" t="s">
        <v>1025</v>
      </c>
    </row>
    <row r="981" spans="1:1" ht="15" x14ac:dyDescent="0.25">
      <c r="A981" s="12" t="s">
        <v>1026</v>
      </c>
    </row>
    <row r="982" spans="1:1" ht="15" x14ac:dyDescent="0.25">
      <c r="A982" s="12" t="s">
        <v>1027</v>
      </c>
    </row>
    <row r="983" spans="1:1" ht="15" x14ac:dyDescent="0.25">
      <c r="A983" s="12" t="s">
        <v>1028</v>
      </c>
    </row>
    <row r="984" spans="1:1" ht="15" x14ac:dyDescent="0.25">
      <c r="A984" s="12" t="s">
        <v>1029</v>
      </c>
    </row>
    <row r="985" spans="1:1" ht="15" x14ac:dyDescent="0.25">
      <c r="A985" s="12" t="s">
        <v>1030</v>
      </c>
    </row>
    <row r="986" spans="1:1" ht="15" x14ac:dyDescent="0.25">
      <c r="A986" s="12" t="s">
        <v>1031</v>
      </c>
    </row>
    <row r="987" spans="1:1" ht="15" x14ac:dyDescent="0.25">
      <c r="A987" s="12" t="s">
        <v>1032</v>
      </c>
    </row>
    <row r="988" spans="1:1" ht="15" x14ac:dyDescent="0.25">
      <c r="A988" s="12" t="s">
        <v>1033</v>
      </c>
    </row>
    <row r="989" spans="1:1" ht="15" x14ac:dyDescent="0.25">
      <c r="A989" s="12" t="s">
        <v>1034</v>
      </c>
    </row>
    <row r="990" spans="1:1" ht="15" x14ac:dyDescent="0.25">
      <c r="A990" s="12" t="s">
        <v>1035</v>
      </c>
    </row>
    <row r="991" spans="1:1" ht="15" x14ac:dyDescent="0.25">
      <c r="A991" s="12" t="s">
        <v>1036</v>
      </c>
    </row>
    <row r="992" spans="1:1" ht="15" x14ac:dyDescent="0.25">
      <c r="A992" s="12" t="s">
        <v>1037</v>
      </c>
    </row>
    <row r="993" spans="1:1" ht="15" x14ac:dyDescent="0.25">
      <c r="A993" s="12" t="s">
        <v>1038</v>
      </c>
    </row>
    <row r="994" spans="1:1" ht="15" x14ac:dyDescent="0.25">
      <c r="A994" s="12" t="s">
        <v>1039</v>
      </c>
    </row>
    <row r="995" spans="1:1" ht="15" x14ac:dyDescent="0.25">
      <c r="A995" s="12" t="s">
        <v>1040</v>
      </c>
    </row>
    <row r="996" spans="1:1" ht="15" x14ac:dyDescent="0.25">
      <c r="A996" s="12" t="s">
        <v>1041</v>
      </c>
    </row>
    <row r="997" spans="1:1" ht="15" x14ac:dyDescent="0.25">
      <c r="A997" s="12" t="s">
        <v>1042</v>
      </c>
    </row>
    <row r="998" spans="1:1" ht="15" x14ac:dyDescent="0.25">
      <c r="A998" s="12" t="s">
        <v>1043</v>
      </c>
    </row>
    <row r="999" spans="1:1" ht="15" x14ac:dyDescent="0.25">
      <c r="A999" s="12" t="s">
        <v>1044</v>
      </c>
    </row>
    <row r="1000" spans="1:1" ht="15" x14ac:dyDescent="0.25">
      <c r="A1000" s="12" t="s">
        <v>1045</v>
      </c>
    </row>
    <row r="1001" spans="1:1" ht="15" x14ac:dyDescent="0.25">
      <c r="A1001" s="12" t="s">
        <v>1046</v>
      </c>
    </row>
    <row r="1002" spans="1:1" ht="15" x14ac:dyDescent="0.25">
      <c r="A1002" s="12" t="s">
        <v>1047</v>
      </c>
    </row>
    <row r="1003" spans="1:1" ht="15" x14ac:dyDescent="0.25">
      <c r="A1003" s="12" t="s">
        <v>1047</v>
      </c>
    </row>
    <row r="1004" spans="1:1" ht="15" x14ac:dyDescent="0.25">
      <c r="A1004" s="12" t="s">
        <v>1048</v>
      </c>
    </row>
    <row r="1005" spans="1:1" ht="15" x14ac:dyDescent="0.25">
      <c r="A1005" s="12" t="s">
        <v>1048</v>
      </c>
    </row>
    <row r="1006" spans="1:1" ht="15" x14ac:dyDescent="0.25">
      <c r="A1006" s="12" t="s">
        <v>1049</v>
      </c>
    </row>
    <row r="1007" spans="1:1" ht="15" x14ac:dyDescent="0.25">
      <c r="A1007" s="12" t="s">
        <v>1049</v>
      </c>
    </row>
    <row r="1008" spans="1:1" ht="15" x14ac:dyDescent="0.25">
      <c r="A1008" s="12" t="s">
        <v>1050</v>
      </c>
    </row>
    <row r="1009" spans="1:1" ht="15" x14ac:dyDescent="0.25">
      <c r="A1009" s="12" t="s">
        <v>1050</v>
      </c>
    </row>
    <row r="1010" spans="1:1" ht="15" x14ac:dyDescent="0.25">
      <c r="A1010" s="12" t="s">
        <v>1051</v>
      </c>
    </row>
    <row r="1011" spans="1:1" ht="15" x14ac:dyDescent="0.25">
      <c r="A1011" s="12" t="s">
        <v>1051</v>
      </c>
    </row>
    <row r="1012" spans="1:1" ht="15" x14ac:dyDescent="0.25">
      <c r="A1012" s="12" t="s">
        <v>1052</v>
      </c>
    </row>
    <row r="1013" spans="1:1" ht="15" x14ac:dyDescent="0.25">
      <c r="A1013" s="12" t="s">
        <v>1052</v>
      </c>
    </row>
    <row r="1014" spans="1:1" ht="15" x14ac:dyDescent="0.25">
      <c r="A1014" s="12" t="s">
        <v>1053</v>
      </c>
    </row>
    <row r="1015" spans="1:1" ht="15" x14ac:dyDescent="0.25">
      <c r="A1015" s="12" t="s">
        <v>1053</v>
      </c>
    </row>
    <row r="1016" spans="1:1" ht="15" x14ac:dyDescent="0.25">
      <c r="A1016" s="12" t="s">
        <v>1054</v>
      </c>
    </row>
    <row r="1017" spans="1:1" ht="15" x14ac:dyDescent="0.25">
      <c r="A1017" s="12" t="s">
        <v>1054</v>
      </c>
    </row>
    <row r="1018" spans="1:1" ht="15" x14ac:dyDescent="0.25">
      <c r="A1018" s="12" t="s">
        <v>1055</v>
      </c>
    </row>
    <row r="1019" spans="1:1" ht="15" x14ac:dyDescent="0.25">
      <c r="A1019" s="12" t="s">
        <v>1055</v>
      </c>
    </row>
    <row r="1020" spans="1:1" ht="15" x14ac:dyDescent="0.25">
      <c r="A1020" s="12" t="s">
        <v>1056</v>
      </c>
    </row>
    <row r="1021" spans="1:1" ht="15" x14ac:dyDescent="0.25">
      <c r="A1021" s="12" t="s">
        <v>1056</v>
      </c>
    </row>
    <row r="1022" spans="1:1" ht="15" x14ac:dyDescent="0.25">
      <c r="A1022" s="12" t="s">
        <v>1057</v>
      </c>
    </row>
    <row r="1023" spans="1:1" ht="15" x14ac:dyDescent="0.25">
      <c r="A1023" s="12" t="s">
        <v>1057</v>
      </c>
    </row>
    <row r="1024" spans="1:1" ht="15" x14ac:dyDescent="0.25">
      <c r="A1024" s="12" t="s">
        <v>1058</v>
      </c>
    </row>
    <row r="1025" spans="1:1" ht="15" x14ac:dyDescent="0.25">
      <c r="A1025" s="12" t="s">
        <v>1059</v>
      </c>
    </row>
    <row r="1026" spans="1:1" ht="15" x14ac:dyDescent="0.25">
      <c r="A1026" s="12" t="s">
        <v>1060</v>
      </c>
    </row>
    <row r="1027" spans="1:1" ht="15" x14ac:dyDescent="0.25">
      <c r="A1027" s="12" t="s">
        <v>1061</v>
      </c>
    </row>
    <row r="1028" spans="1:1" ht="15" x14ac:dyDescent="0.25">
      <c r="A1028" s="12" t="s">
        <v>1062</v>
      </c>
    </row>
    <row r="1029" spans="1:1" ht="15" x14ac:dyDescent="0.25">
      <c r="A1029" s="12" t="s">
        <v>1063</v>
      </c>
    </row>
    <row r="1030" spans="1:1" ht="15" x14ac:dyDescent="0.25">
      <c r="A1030" s="12" t="s">
        <v>1064</v>
      </c>
    </row>
    <row r="1031" spans="1:1" ht="15" x14ac:dyDescent="0.25">
      <c r="A1031" s="12" t="s">
        <v>1065</v>
      </c>
    </row>
    <row r="1032" spans="1:1" ht="15" x14ac:dyDescent="0.25">
      <c r="A1032" s="12" t="s">
        <v>1066</v>
      </c>
    </row>
    <row r="1033" spans="1:1" ht="15" x14ac:dyDescent="0.25">
      <c r="A1033" s="12" t="s">
        <v>1067</v>
      </c>
    </row>
    <row r="1034" spans="1:1" ht="15" x14ac:dyDescent="0.25">
      <c r="A1034" s="12" t="s">
        <v>1068</v>
      </c>
    </row>
    <row r="1035" spans="1:1" ht="15" x14ac:dyDescent="0.25">
      <c r="A1035" s="12" t="s">
        <v>1069</v>
      </c>
    </row>
    <row r="1036" spans="1:1" ht="15" x14ac:dyDescent="0.25">
      <c r="A1036" s="12" t="s">
        <v>1070</v>
      </c>
    </row>
    <row r="1037" spans="1:1" ht="15" x14ac:dyDescent="0.25">
      <c r="A1037" s="12" t="s">
        <v>1071</v>
      </c>
    </row>
    <row r="1038" spans="1:1" ht="15" x14ac:dyDescent="0.25">
      <c r="A1038" s="12" t="s">
        <v>1072</v>
      </c>
    </row>
    <row r="1039" spans="1:1" ht="15" x14ac:dyDescent="0.25">
      <c r="A1039" s="12" t="s">
        <v>1073</v>
      </c>
    </row>
    <row r="1040" spans="1:1" ht="15" x14ac:dyDescent="0.25">
      <c r="A1040" s="12" t="s">
        <v>1074</v>
      </c>
    </row>
    <row r="1041" spans="1:1" ht="15" x14ac:dyDescent="0.25">
      <c r="A1041" s="12" t="s">
        <v>1075</v>
      </c>
    </row>
    <row r="1042" spans="1:1" ht="15" x14ac:dyDescent="0.25">
      <c r="A1042" s="12" t="s">
        <v>1076</v>
      </c>
    </row>
    <row r="1043" spans="1:1" ht="15" x14ac:dyDescent="0.25">
      <c r="A1043" s="12" t="s">
        <v>1077</v>
      </c>
    </row>
    <row r="1044" spans="1:1" ht="15" x14ac:dyDescent="0.25">
      <c r="A1044" s="12" t="s">
        <v>1078</v>
      </c>
    </row>
    <row r="1045" spans="1:1" ht="15" x14ac:dyDescent="0.25">
      <c r="A1045" s="12" t="s">
        <v>1079</v>
      </c>
    </row>
    <row r="1046" spans="1:1" ht="15" x14ac:dyDescent="0.25">
      <c r="A1046" s="12" t="s">
        <v>1080</v>
      </c>
    </row>
    <row r="1047" spans="1:1" ht="15" x14ac:dyDescent="0.25">
      <c r="A1047" s="12" t="s">
        <v>1081</v>
      </c>
    </row>
    <row r="1048" spans="1:1" ht="15" x14ac:dyDescent="0.25">
      <c r="A1048" s="12" t="s">
        <v>1082</v>
      </c>
    </row>
    <row r="1049" spans="1:1" ht="15" x14ac:dyDescent="0.25">
      <c r="A1049" s="12" t="s">
        <v>1083</v>
      </c>
    </row>
    <row r="1050" spans="1:1" ht="15" x14ac:dyDescent="0.25">
      <c r="A1050" s="12" t="s">
        <v>1084</v>
      </c>
    </row>
    <row r="1051" spans="1:1" ht="15" x14ac:dyDescent="0.25">
      <c r="A1051" s="12" t="s">
        <v>1085</v>
      </c>
    </row>
    <row r="1052" spans="1:1" ht="15" x14ac:dyDescent="0.25">
      <c r="A1052" s="12" t="s">
        <v>1086</v>
      </c>
    </row>
    <row r="1053" spans="1:1" ht="15" x14ac:dyDescent="0.25">
      <c r="A1053" s="12" t="s">
        <v>1087</v>
      </c>
    </row>
    <row r="1054" spans="1:1" ht="15" x14ac:dyDescent="0.25">
      <c r="A1054" s="12" t="s">
        <v>1088</v>
      </c>
    </row>
    <row r="1055" spans="1:1" ht="15" x14ac:dyDescent="0.25">
      <c r="A1055" s="12" t="s">
        <v>1089</v>
      </c>
    </row>
    <row r="1056" spans="1:1" ht="15" x14ac:dyDescent="0.25">
      <c r="A1056" s="12" t="s">
        <v>1090</v>
      </c>
    </row>
    <row r="1057" spans="1:1" ht="15" x14ac:dyDescent="0.25">
      <c r="A1057" s="12" t="s">
        <v>1091</v>
      </c>
    </row>
    <row r="1058" spans="1:1" ht="15" x14ac:dyDescent="0.25">
      <c r="A1058" s="12" t="s">
        <v>1092</v>
      </c>
    </row>
    <row r="1059" spans="1:1" ht="15" x14ac:dyDescent="0.25">
      <c r="A1059" s="12" t="s">
        <v>1093</v>
      </c>
    </row>
    <row r="1060" spans="1:1" ht="15" x14ac:dyDescent="0.25">
      <c r="A1060" s="12" t="s">
        <v>1094</v>
      </c>
    </row>
    <row r="1061" spans="1:1" ht="15" x14ac:dyDescent="0.25">
      <c r="A1061" s="12" t="s">
        <v>1095</v>
      </c>
    </row>
    <row r="1062" spans="1:1" ht="15" x14ac:dyDescent="0.25">
      <c r="A1062" s="12" t="s">
        <v>1096</v>
      </c>
    </row>
    <row r="1063" spans="1:1" ht="15" x14ac:dyDescent="0.25">
      <c r="A1063" s="12" t="s">
        <v>1097</v>
      </c>
    </row>
    <row r="1064" spans="1:1" ht="15" x14ac:dyDescent="0.25">
      <c r="A1064" s="12" t="s">
        <v>1098</v>
      </c>
    </row>
    <row r="1065" spans="1:1" ht="15" x14ac:dyDescent="0.25">
      <c r="A1065" s="12" t="s">
        <v>1099</v>
      </c>
    </row>
    <row r="1066" spans="1:1" ht="15" x14ac:dyDescent="0.25">
      <c r="A1066" s="12" t="s">
        <v>1100</v>
      </c>
    </row>
    <row r="1067" spans="1:1" ht="15" x14ac:dyDescent="0.25">
      <c r="A1067" s="12" t="s">
        <v>1101</v>
      </c>
    </row>
    <row r="1068" spans="1:1" ht="15" x14ac:dyDescent="0.25">
      <c r="A1068" s="12" t="s">
        <v>1102</v>
      </c>
    </row>
    <row r="1069" spans="1:1" ht="15" x14ac:dyDescent="0.25">
      <c r="A1069" s="12" t="s">
        <v>1103</v>
      </c>
    </row>
    <row r="1070" spans="1:1" ht="15" x14ac:dyDescent="0.25">
      <c r="A1070" s="12" t="s">
        <v>1104</v>
      </c>
    </row>
    <row r="1071" spans="1:1" ht="15" x14ac:dyDescent="0.25">
      <c r="A1071" s="12" t="s">
        <v>1105</v>
      </c>
    </row>
    <row r="1072" spans="1:1" ht="15" x14ac:dyDescent="0.25">
      <c r="A1072" s="12" t="s">
        <v>1106</v>
      </c>
    </row>
    <row r="1073" spans="1:1" ht="15" x14ac:dyDescent="0.25">
      <c r="A1073" s="12" t="s">
        <v>1107</v>
      </c>
    </row>
    <row r="1074" spans="1:1" ht="15" x14ac:dyDescent="0.25">
      <c r="A1074" s="12" t="s">
        <v>1108</v>
      </c>
    </row>
    <row r="1075" spans="1:1" ht="15" x14ac:dyDescent="0.25">
      <c r="A1075" s="12" t="s">
        <v>1109</v>
      </c>
    </row>
    <row r="1076" spans="1:1" ht="15" x14ac:dyDescent="0.25">
      <c r="A1076" s="12" t="s">
        <v>1110</v>
      </c>
    </row>
    <row r="1077" spans="1:1" ht="15" x14ac:dyDescent="0.25">
      <c r="A1077" s="12" t="s">
        <v>1111</v>
      </c>
    </row>
    <row r="1078" spans="1:1" ht="15" x14ac:dyDescent="0.25">
      <c r="A1078" s="12" t="s">
        <v>1112</v>
      </c>
    </row>
    <row r="1079" spans="1:1" ht="15" x14ac:dyDescent="0.25">
      <c r="A1079" s="12" t="s">
        <v>1113</v>
      </c>
    </row>
    <row r="1080" spans="1:1" ht="15" x14ac:dyDescent="0.25">
      <c r="A1080" s="12" t="s">
        <v>1114</v>
      </c>
    </row>
    <row r="1081" spans="1:1" ht="15" x14ac:dyDescent="0.25">
      <c r="A1081" s="12" t="s">
        <v>1115</v>
      </c>
    </row>
    <row r="1082" spans="1:1" ht="15" x14ac:dyDescent="0.25">
      <c r="A1082" s="12" t="s">
        <v>1116</v>
      </c>
    </row>
    <row r="1083" spans="1:1" ht="15" x14ac:dyDescent="0.25">
      <c r="A1083" s="12" t="s">
        <v>1117</v>
      </c>
    </row>
    <row r="1084" spans="1:1" ht="15" x14ac:dyDescent="0.25">
      <c r="A1084" s="12" t="s">
        <v>1118</v>
      </c>
    </row>
    <row r="1085" spans="1:1" ht="15" x14ac:dyDescent="0.25">
      <c r="A1085" s="12" t="s">
        <v>1119</v>
      </c>
    </row>
    <row r="1086" spans="1:1" ht="15" x14ac:dyDescent="0.25">
      <c r="A1086" s="12" t="s">
        <v>1120</v>
      </c>
    </row>
    <row r="1087" spans="1:1" ht="15" x14ac:dyDescent="0.25">
      <c r="A1087" s="12" t="s">
        <v>1121</v>
      </c>
    </row>
    <row r="1088" spans="1:1" ht="15" x14ac:dyDescent="0.25">
      <c r="A1088" s="12" t="s">
        <v>1122</v>
      </c>
    </row>
    <row r="1089" spans="1:1" ht="15" x14ac:dyDescent="0.25">
      <c r="A1089" s="12" t="s">
        <v>1123</v>
      </c>
    </row>
    <row r="1090" spans="1:1" ht="15" x14ac:dyDescent="0.25">
      <c r="A1090" s="12" t="s">
        <v>1124</v>
      </c>
    </row>
    <row r="1091" spans="1:1" ht="15" x14ac:dyDescent="0.25">
      <c r="A1091" s="12" t="s">
        <v>1125</v>
      </c>
    </row>
    <row r="1092" spans="1:1" ht="15" x14ac:dyDescent="0.25">
      <c r="A1092" s="12" t="s">
        <v>1126</v>
      </c>
    </row>
    <row r="1093" spans="1:1" ht="15" x14ac:dyDescent="0.25">
      <c r="A1093" s="12" t="s">
        <v>1127</v>
      </c>
    </row>
    <row r="1094" spans="1:1" ht="15" x14ac:dyDescent="0.25">
      <c r="A1094" s="12" t="s">
        <v>1128</v>
      </c>
    </row>
    <row r="1095" spans="1:1" ht="15" x14ac:dyDescent="0.25">
      <c r="A1095" s="12" t="s">
        <v>1129</v>
      </c>
    </row>
    <row r="1096" spans="1:1" ht="15" x14ac:dyDescent="0.25">
      <c r="A1096" s="12" t="s">
        <v>1130</v>
      </c>
    </row>
    <row r="1097" spans="1:1" ht="15" x14ac:dyDescent="0.25">
      <c r="A1097" s="12" t="s">
        <v>1131</v>
      </c>
    </row>
    <row r="1098" spans="1:1" ht="15" x14ac:dyDescent="0.25">
      <c r="A1098" s="12" t="s">
        <v>1132</v>
      </c>
    </row>
    <row r="1099" spans="1:1" ht="15" x14ac:dyDescent="0.25">
      <c r="A1099" s="12" t="s">
        <v>1133</v>
      </c>
    </row>
    <row r="1100" spans="1:1" ht="15" x14ac:dyDescent="0.25">
      <c r="A1100" s="12" t="s">
        <v>1134</v>
      </c>
    </row>
    <row r="1101" spans="1:1" ht="15" x14ac:dyDescent="0.25">
      <c r="A1101" s="12" t="s">
        <v>1135</v>
      </c>
    </row>
    <row r="1102" spans="1:1" ht="15" x14ac:dyDescent="0.25">
      <c r="A1102" s="12" t="s">
        <v>1136</v>
      </c>
    </row>
    <row r="1103" spans="1:1" ht="15" x14ac:dyDescent="0.25">
      <c r="A1103" s="12" t="s">
        <v>1137</v>
      </c>
    </row>
    <row r="1104" spans="1:1" ht="15" x14ac:dyDescent="0.25">
      <c r="A1104" s="12" t="s">
        <v>1138</v>
      </c>
    </row>
    <row r="1105" spans="1:1" ht="15" x14ac:dyDescent="0.25">
      <c r="A1105" s="12" t="s">
        <v>1139</v>
      </c>
    </row>
    <row r="1106" spans="1:1" ht="15" x14ac:dyDescent="0.25">
      <c r="A1106" s="12" t="s">
        <v>1140</v>
      </c>
    </row>
    <row r="1107" spans="1:1" ht="15" x14ac:dyDescent="0.25">
      <c r="A1107" s="12" t="s">
        <v>1141</v>
      </c>
    </row>
    <row r="1108" spans="1:1" ht="15" x14ac:dyDescent="0.25">
      <c r="A1108" s="12" t="s">
        <v>1142</v>
      </c>
    </row>
    <row r="1109" spans="1:1" ht="15" x14ac:dyDescent="0.25">
      <c r="A1109" s="12" t="s">
        <v>1143</v>
      </c>
    </row>
    <row r="1110" spans="1:1" ht="15" x14ac:dyDescent="0.25">
      <c r="A1110" s="12" t="s">
        <v>1144</v>
      </c>
    </row>
    <row r="1111" spans="1:1" ht="15" x14ac:dyDescent="0.25">
      <c r="A1111" s="12" t="s">
        <v>1145</v>
      </c>
    </row>
    <row r="1112" spans="1:1" ht="15" x14ac:dyDescent="0.25">
      <c r="A1112" s="12" t="s">
        <v>1146</v>
      </c>
    </row>
    <row r="1113" spans="1:1" ht="15" x14ac:dyDescent="0.25">
      <c r="A1113" s="12" t="s">
        <v>1147</v>
      </c>
    </row>
    <row r="1114" spans="1:1" ht="15" x14ac:dyDescent="0.25">
      <c r="A1114" s="12" t="s">
        <v>1148</v>
      </c>
    </row>
    <row r="1115" spans="1:1" ht="15" x14ac:dyDescent="0.25">
      <c r="A1115" s="12" t="s">
        <v>1149</v>
      </c>
    </row>
    <row r="1116" spans="1:1" ht="15" x14ac:dyDescent="0.25">
      <c r="A1116" s="12" t="s">
        <v>1150</v>
      </c>
    </row>
    <row r="1117" spans="1:1" ht="15" x14ac:dyDescent="0.25">
      <c r="A1117" s="12" t="s">
        <v>1151</v>
      </c>
    </row>
    <row r="1118" spans="1:1" ht="15" x14ac:dyDescent="0.25">
      <c r="A1118" s="12" t="s">
        <v>1152</v>
      </c>
    </row>
    <row r="1119" spans="1:1" ht="15" x14ac:dyDescent="0.25">
      <c r="A1119" s="12" t="s">
        <v>1153</v>
      </c>
    </row>
    <row r="1120" spans="1:1" ht="15" x14ac:dyDescent="0.25">
      <c r="A1120" s="12" t="s">
        <v>1154</v>
      </c>
    </row>
    <row r="1121" spans="1:1" ht="15" x14ac:dyDescent="0.25">
      <c r="A1121" s="12" t="s">
        <v>1155</v>
      </c>
    </row>
    <row r="1122" spans="1:1" ht="15" x14ac:dyDescent="0.25">
      <c r="A1122" s="12" t="s">
        <v>1156</v>
      </c>
    </row>
    <row r="1123" spans="1:1" ht="15" x14ac:dyDescent="0.25">
      <c r="A1123" s="12" t="s">
        <v>1157</v>
      </c>
    </row>
    <row r="1124" spans="1:1" ht="15" x14ac:dyDescent="0.25">
      <c r="A1124" s="12" t="s">
        <v>1158</v>
      </c>
    </row>
    <row r="1125" spans="1:1" ht="15" x14ac:dyDescent="0.25">
      <c r="A1125" s="12" t="s">
        <v>1159</v>
      </c>
    </row>
    <row r="1126" spans="1:1" ht="15" x14ac:dyDescent="0.25">
      <c r="A1126" s="12" t="s">
        <v>1160</v>
      </c>
    </row>
    <row r="1127" spans="1:1" ht="15" x14ac:dyDescent="0.25">
      <c r="A1127" s="12" t="s">
        <v>1161</v>
      </c>
    </row>
    <row r="1128" spans="1:1" ht="15" x14ac:dyDescent="0.25">
      <c r="A1128" s="12" t="s">
        <v>1162</v>
      </c>
    </row>
    <row r="1129" spans="1:1" ht="15" x14ac:dyDescent="0.25">
      <c r="A1129" s="12" t="s">
        <v>1163</v>
      </c>
    </row>
    <row r="1130" spans="1:1" ht="15" x14ac:dyDescent="0.25">
      <c r="A1130" s="12" t="s">
        <v>1164</v>
      </c>
    </row>
    <row r="1131" spans="1:1" ht="15" x14ac:dyDescent="0.25">
      <c r="A1131" s="12" t="s">
        <v>1165</v>
      </c>
    </row>
    <row r="1132" spans="1:1" ht="15" x14ac:dyDescent="0.25">
      <c r="A1132" s="12" t="s">
        <v>1166</v>
      </c>
    </row>
    <row r="1133" spans="1:1" ht="15" x14ac:dyDescent="0.25">
      <c r="A1133" s="12" t="s">
        <v>1167</v>
      </c>
    </row>
    <row r="1134" spans="1:1" ht="15" x14ac:dyDescent="0.25">
      <c r="A1134" s="12" t="s">
        <v>1168</v>
      </c>
    </row>
    <row r="1135" spans="1:1" ht="15" x14ac:dyDescent="0.25">
      <c r="A1135" s="12" t="s">
        <v>1169</v>
      </c>
    </row>
    <row r="1136" spans="1:1" ht="15" x14ac:dyDescent="0.25">
      <c r="A1136" s="12" t="s">
        <v>1170</v>
      </c>
    </row>
    <row r="1137" spans="1:1" ht="15" x14ac:dyDescent="0.25">
      <c r="A1137" s="12" t="s">
        <v>1171</v>
      </c>
    </row>
    <row r="1138" spans="1:1" ht="15" x14ac:dyDescent="0.25">
      <c r="A1138" s="12" t="s">
        <v>1172</v>
      </c>
    </row>
    <row r="1139" spans="1:1" ht="15" x14ac:dyDescent="0.25">
      <c r="A1139" s="12" t="s">
        <v>1173</v>
      </c>
    </row>
    <row r="1140" spans="1:1" ht="15" x14ac:dyDescent="0.25">
      <c r="A1140" s="12" t="s">
        <v>1174</v>
      </c>
    </row>
    <row r="1141" spans="1:1" ht="15" x14ac:dyDescent="0.25">
      <c r="A1141" s="12" t="s">
        <v>1175</v>
      </c>
    </row>
    <row r="1142" spans="1:1" ht="15" x14ac:dyDescent="0.25">
      <c r="A1142" s="12" t="s">
        <v>1176</v>
      </c>
    </row>
    <row r="1143" spans="1:1" ht="15" x14ac:dyDescent="0.25">
      <c r="A1143" s="12" t="s">
        <v>1177</v>
      </c>
    </row>
    <row r="1144" spans="1:1" ht="15" x14ac:dyDescent="0.25">
      <c r="A1144" s="12" t="s">
        <v>1178</v>
      </c>
    </row>
    <row r="1145" spans="1:1" ht="15" x14ac:dyDescent="0.25">
      <c r="A1145" s="12" t="s">
        <v>1179</v>
      </c>
    </row>
    <row r="1146" spans="1:1" ht="15" x14ac:dyDescent="0.25">
      <c r="A1146" s="12" t="s">
        <v>1180</v>
      </c>
    </row>
    <row r="1147" spans="1:1" ht="15" x14ac:dyDescent="0.25">
      <c r="A1147" s="12" t="s">
        <v>1181</v>
      </c>
    </row>
    <row r="1148" spans="1:1" ht="15" x14ac:dyDescent="0.25">
      <c r="A1148" s="12" t="s">
        <v>1182</v>
      </c>
    </row>
    <row r="1149" spans="1:1" ht="15" x14ac:dyDescent="0.25">
      <c r="A1149" s="12" t="s">
        <v>1183</v>
      </c>
    </row>
    <row r="1150" spans="1:1" ht="15" x14ac:dyDescent="0.25">
      <c r="A1150" s="12" t="s">
        <v>1184</v>
      </c>
    </row>
    <row r="1151" spans="1:1" ht="15" x14ac:dyDescent="0.25">
      <c r="A1151" s="12" t="s">
        <v>1185</v>
      </c>
    </row>
    <row r="1152" spans="1:1" ht="15" x14ac:dyDescent="0.25">
      <c r="A1152" s="12" t="s">
        <v>1186</v>
      </c>
    </row>
    <row r="1153" spans="1:1" ht="15" x14ac:dyDescent="0.25">
      <c r="A1153" s="12" t="s">
        <v>1187</v>
      </c>
    </row>
    <row r="1154" spans="1:1" ht="15" x14ac:dyDescent="0.25">
      <c r="A1154" s="12" t="s">
        <v>1188</v>
      </c>
    </row>
    <row r="1155" spans="1:1" ht="15" x14ac:dyDescent="0.25">
      <c r="A1155" s="12" t="s">
        <v>1189</v>
      </c>
    </row>
    <row r="1156" spans="1:1" ht="15" x14ac:dyDescent="0.25">
      <c r="A1156" s="12" t="s">
        <v>1190</v>
      </c>
    </row>
    <row r="1157" spans="1:1" ht="15" x14ac:dyDescent="0.25">
      <c r="A1157" s="12" t="s">
        <v>1191</v>
      </c>
    </row>
    <row r="1158" spans="1:1" ht="15" x14ac:dyDescent="0.25">
      <c r="A1158" s="12" t="s">
        <v>1192</v>
      </c>
    </row>
    <row r="1159" spans="1:1" ht="15" x14ac:dyDescent="0.25">
      <c r="A1159" s="12" t="s">
        <v>1193</v>
      </c>
    </row>
    <row r="1160" spans="1:1" ht="15" x14ac:dyDescent="0.25">
      <c r="A1160" s="12" t="s">
        <v>1194</v>
      </c>
    </row>
    <row r="1161" spans="1:1" ht="15" x14ac:dyDescent="0.25">
      <c r="A1161" s="12" t="s">
        <v>1195</v>
      </c>
    </row>
    <row r="1162" spans="1:1" ht="15" x14ac:dyDescent="0.25">
      <c r="A1162" s="12" t="s">
        <v>1196</v>
      </c>
    </row>
    <row r="1163" spans="1:1" ht="15" x14ac:dyDescent="0.25">
      <c r="A1163" s="12" t="s">
        <v>1197</v>
      </c>
    </row>
    <row r="1164" spans="1:1" ht="15" x14ac:dyDescent="0.25">
      <c r="A1164" s="12" t="s">
        <v>1198</v>
      </c>
    </row>
    <row r="1165" spans="1:1" ht="15" x14ac:dyDescent="0.25">
      <c r="A1165" s="12" t="s">
        <v>1199</v>
      </c>
    </row>
    <row r="1166" spans="1:1" ht="15" x14ac:dyDescent="0.25">
      <c r="A1166" s="12" t="s">
        <v>1200</v>
      </c>
    </row>
    <row r="1167" spans="1:1" ht="15" x14ac:dyDescent="0.25">
      <c r="A1167" s="12" t="s">
        <v>1201</v>
      </c>
    </row>
    <row r="1168" spans="1:1" ht="15" x14ac:dyDescent="0.25">
      <c r="A1168" s="12" t="s">
        <v>1202</v>
      </c>
    </row>
    <row r="1169" spans="1:1" ht="15" x14ac:dyDescent="0.25">
      <c r="A1169" s="12" t="s">
        <v>1203</v>
      </c>
    </row>
    <row r="1170" spans="1:1" ht="15" x14ac:dyDescent="0.25">
      <c r="A1170" s="12" t="s">
        <v>1204</v>
      </c>
    </row>
    <row r="1171" spans="1:1" ht="15" x14ac:dyDescent="0.25">
      <c r="A1171" s="12" t="s">
        <v>1205</v>
      </c>
    </row>
    <row r="1172" spans="1:1" ht="15" x14ac:dyDescent="0.25">
      <c r="A1172" s="12" t="s">
        <v>1206</v>
      </c>
    </row>
    <row r="1173" spans="1:1" ht="15" x14ac:dyDescent="0.25">
      <c r="A1173" s="12" t="s">
        <v>1207</v>
      </c>
    </row>
    <row r="1174" spans="1:1" ht="15" x14ac:dyDescent="0.25">
      <c r="A1174" s="12" t="s">
        <v>1208</v>
      </c>
    </row>
    <row r="1175" spans="1:1" ht="15" x14ac:dyDescent="0.25">
      <c r="A1175" s="12" t="s">
        <v>1209</v>
      </c>
    </row>
    <row r="1176" spans="1:1" ht="15" x14ac:dyDescent="0.25">
      <c r="A1176" s="12" t="s">
        <v>1210</v>
      </c>
    </row>
    <row r="1177" spans="1:1" ht="15" x14ac:dyDescent="0.25">
      <c r="A1177" s="12" t="s">
        <v>1211</v>
      </c>
    </row>
    <row r="1178" spans="1:1" ht="15" x14ac:dyDescent="0.25">
      <c r="A1178" s="12" t="s">
        <v>1212</v>
      </c>
    </row>
    <row r="1179" spans="1:1" ht="15" x14ac:dyDescent="0.25">
      <c r="A1179" s="12" t="s">
        <v>1213</v>
      </c>
    </row>
    <row r="1180" spans="1:1" ht="15" x14ac:dyDescent="0.25">
      <c r="A1180" s="12" t="s">
        <v>1214</v>
      </c>
    </row>
    <row r="1181" spans="1:1" ht="15" x14ac:dyDescent="0.25">
      <c r="A1181" s="12" t="s">
        <v>1215</v>
      </c>
    </row>
    <row r="1182" spans="1:1" ht="15" x14ac:dyDescent="0.25">
      <c r="A1182" s="12" t="s">
        <v>1216</v>
      </c>
    </row>
    <row r="1183" spans="1:1" ht="15" x14ac:dyDescent="0.25">
      <c r="A1183" s="12" t="s">
        <v>1217</v>
      </c>
    </row>
    <row r="1184" spans="1:1" ht="15" x14ac:dyDescent="0.25">
      <c r="A1184" s="12" t="s">
        <v>1218</v>
      </c>
    </row>
    <row r="1185" spans="1:1" ht="15" x14ac:dyDescent="0.25">
      <c r="A1185" s="12" t="s">
        <v>1219</v>
      </c>
    </row>
    <row r="1186" spans="1:1" ht="15" x14ac:dyDescent="0.25">
      <c r="A1186" s="12" t="s">
        <v>1220</v>
      </c>
    </row>
    <row r="1187" spans="1:1" ht="15" x14ac:dyDescent="0.25">
      <c r="A1187" s="12" t="s">
        <v>1221</v>
      </c>
    </row>
    <row r="1188" spans="1:1" ht="15" x14ac:dyDescent="0.25">
      <c r="A1188" s="12" t="s">
        <v>1222</v>
      </c>
    </row>
    <row r="1189" spans="1:1" ht="15" x14ac:dyDescent="0.25">
      <c r="A1189" s="12" t="s">
        <v>1223</v>
      </c>
    </row>
    <row r="1190" spans="1:1" ht="15" x14ac:dyDescent="0.25">
      <c r="A1190" s="12" t="s">
        <v>1224</v>
      </c>
    </row>
    <row r="1191" spans="1:1" ht="15" x14ac:dyDescent="0.25">
      <c r="A1191" s="12" t="s">
        <v>1225</v>
      </c>
    </row>
    <row r="1192" spans="1:1" ht="15" x14ac:dyDescent="0.25">
      <c r="A1192" s="12" t="s">
        <v>1226</v>
      </c>
    </row>
    <row r="1193" spans="1:1" ht="15" x14ac:dyDescent="0.25">
      <c r="A1193" s="12" t="s">
        <v>1227</v>
      </c>
    </row>
    <row r="1194" spans="1:1" ht="15" x14ac:dyDescent="0.25">
      <c r="A1194" s="12" t="s">
        <v>1228</v>
      </c>
    </row>
    <row r="1195" spans="1:1" ht="15" x14ac:dyDescent="0.25">
      <c r="A1195" s="12" t="s">
        <v>1229</v>
      </c>
    </row>
    <row r="1196" spans="1:1" ht="15" x14ac:dyDescent="0.25">
      <c r="A1196" s="12" t="s">
        <v>1230</v>
      </c>
    </row>
    <row r="1197" spans="1:1" ht="15" x14ac:dyDescent="0.25">
      <c r="A1197" s="12" t="s">
        <v>1231</v>
      </c>
    </row>
    <row r="1198" spans="1:1" ht="15" x14ac:dyDescent="0.25">
      <c r="A1198" s="12" t="s">
        <v>1232</v>
      </c>
    </row>
    <row r="1199" spans="1:1" ht="15" x14ac:dyDescent="0.25">
      <c r="A1199" s="12" t="s">
        <v>1233</v>
      </c>
    </row>
    <row r="1200" spans="1:1" ht="15" x14ac:dyDescent="0.25">
      <c r="A1200" s="12" t="s">
        <v>1234</v>
      </c>
    </row>
    <row r="1201" spans="1:1" ht="15" x14ac:dyDescent="0.25">
      <c r="A1201" s="12" t="s">
        <v>1235</v>
      </c>
    </row>
    <row r="1202" spans="1:1" ht="15" x14ac:dyDescent="0.25">
      <c r="A1202" s="12" t="s">
        <v>1236</v>
      </c>
    </row>
    <row r="1203" spans="1:1" ht="15" x14ac:dyDescent="0.25">
      <c r="A1203" s="12" t="s">
        <v>1237</v>
      </c>
    </row>
    <row r="1204" spans="1:1" ht="15" x14ac:dyDescent="0.25">
      <c r="A1204" s="12" t="s">
        <v>1238</v>
      </c>
    </row>
    <row r="1205" spans="1:1" ht="15" x14ac:dyDescent="0.25">
      <c r="A1205" s="12" t="s">
        <v>1239</v>
      </c>
    </row>
    <row r="1206" spans="1:1" ht="15" x14ac:dyDescent="0.25">
      <c r="A1206" s="12" t="s">
        <v>1240</v>
      </c>
    </row>
    <row r="1207" spans="1:1" ht="15" x14ac:dyDescent="0.25">
      <c r="A1207" s="12" t="s">
        <v>1241</v>
      </c>
    </row>
    <row r="1208" spans="1:1" ht="15" x14ac:dyDescent="0.25">
      <c r="A1208" s="12" t="s">
        <v>1242</v>
      </c>
    </row>
    <row r="1209" spans="1:1" ht="15" x14ac:dyDescent="0.25">
      <c r="A1209" s="12" t="s">
        <v>1243</v>
      </c>
    </row>
    <row r="1210" spans="1:1" ht="15" x14ac:dyDescent="0.25">
      <c r="A1210" s="12" t="s">
        <v>1244</v>
      </c>
    </row>
    <row r="1211" spans="1:1" ht="15" x14ac:dyDescent="0.25">
      <c r="A1211" s="12" t="s">
        <v>1245</v>
      </c>
    </row>
    <row r="1212" spans="1:1" ht="15" x14ac:dyDescent="0.25">
      <c r="A1212" s="12" t="s">
        <v>1246</v>
      </c>
    </row>
    <row r="1213" spans="1:1" ht="15" x14ac:dyDescent="0.25">
      <c r="A1213" s="12" t="s">
        <v>1247</v>
      </c>
    </row>
    <row r="1214" spans="1:1" ht="15" x14ac:dyDescent="0.25">
      <c r="A1214" s="12" t="s">
        <v>1248</v>
      </c>
    </row>
    <row r="1215" spans="1:1" ht="15" x14ac:dyDescent="0.25">
      <c r="A1215" s="12" t="s">
        <v>1249</v>
      </c>
    </row>
    <row r="1216" spans="1:1" ht="15" x14ac:dyDescent="0.25">
      <c r="A1216" s="12" t="s">
        <v>1250</v>
      </c>
    </row>
    <row r="1217" spans="1:1" ht="15" x14ac:dyDescent="0.25">
      <c r="A1217" s="12" t="s">
        <v>1251</v>
      </c>
    </row>
    <row r="1218" spans="1:1" ht="15" x14ac:dyDescent="0.25">
      <c r="A1218" s="12" t="s">
        <v>1252</v>
      </c>
    </row>
    <row r="1219" spans="1:1" ht="15" x14ac:dyDescent="0.25">
      <c r="A1219" s="12" t="s">
        <v>1253</v>
      </c>
    </row>
    <row r="1220" spans="1:1" ht="15" x14ac:dyDescent="0.25">
      <c r="A1220" s="12" t="s">
        <v>1254</v>
      </c>
    </row>
    <row r="1221" spans="1:1" ht="15" x14ac:dyDescent="0.25">
      <c r="A1221" s="12" t="s">
        <v>1255</v>
      </c>
    </row>
    <row r="1222" spans="1:1" ht="15" x14ac:dyDescent="0.25">
      <c r="A1222" s="12" t="s">
        <v>1256</v>
      </c>
    </row>
    <row r="1223" spans="1:1" ht="15" x14ac:dyDescent="0.25">
      <c r="A1223" s="12" t="s">
        <v>1257</v>
      </c>
    </row>
    <row r="1224" spans="1:1" ht="15" x14ac:dyDescent="0.25">
      <c r="A1224" s="12" t="s">
        <v>1258</v>
      </c>
    </row>
    <row r="1225" spans="1:1" ht="15" x14ac:dyDescent="0.25">
      <c r="A1225" s="12" t="s">
        <v>1259</v>
      </c>
    </row>
    <row r="1226" spans="1:1" ht="15" x14ac:dyDescent="0.25">
      <c r="A1226" s="12" t="s">
        <v>1260</v>
      </c>
    </row>
    <row r="1227" spans="1:1" ht="15" x14ac:dyDescent="0.25">
      <c r="A1227" s="12" t="s">
        <v>1261</v>
      </c>
    </row>
    <row r="1228" spans="1:1" ht="15" x14ac:dyDescent="0.25">
      <c r="A1228" s="12" t="s">
        <v>1262</v>
      </c>
    </row>
    <row r="1229" spans="1:1" ht="15" x14ac:dyDescent="0.25">
      <c r="A1229" s="12" t="s">
        <v>1263</v>
      </c>
    </row>
    <row r="1230" spans="1:1" ht="15" x14ac:dyDescent="0.25">
      <c r="A1230" s="12" t="s">
        <v>1264</v>
      </c>
    </row>
    <row r="1231" spans="1:1" ht="15" x14ac:dyDescent="0.25">
      <c r="A1231" s="12" t="s">
        <v>1265</v>
      </c>
    </row>
    <row r="1232" spans="1:1" ht="15" x14ac:dyDescent="0.25">
      <c r="A1232" s="12" t="s">
        <v>1266</v>
      </c>
    </row>
    <row r="1233" spans="1:1" ht="15" x14ac:dyDescent="0.25">
      <c r="A1233" s="12" t="s">
        <v>1267</v>
      </c>
    </row>
    <row r="1234" spans="1:1" ht="15" x14ac:dyDescent="0.25">
      <c r="A1234" s="12" t="s">
        <v>1268</v>
      </c>
    </row>
    <row r="1235" spans="1:1" ht="15" x14ac:dyDescent="0.25">
      <c r="A1235" s="12" t="s">
        <v>1269</v>
      </c>
    </row>
    <row r="1236" spans="1:1" ht="15" x14ac:dyDescent="0.25">
      <c r="A1236" s="12" t="s">
        <v>1270</v>
      </c>
    </row>
    <row r="1237" spans="1:1" ht="15" x14ac:dyDescent="0.25">
      <c r="A1237" s="12" t="s">
        <v>1271</v>
      </c>
    </row>
    <row r="1238" spans="1:1" ht="15" x14ac:dyDescent="0.25">
      <c r="A1238" s="12" t="s">
        <v>1272</v>
      </c>
    </row>
    <row r="1239" spans="1:1" ht="15" x14ac:dyDescent="0.25">
      <c r="A1239" s="12" t="s">
        <v>1273</v>
      </c>
    </row>
    <row r="1240" spans="1:1" ht="15" x14ac:dyDescent="0.25">
      <c r="A1240" s="12" t="s">
        <v>1274</v>
      </c>
    </row>
    <row r="1241" spans="1:1" ht="15" x14ac:dyDescent="0.25">
      <c r="A1241" s="12" t="s">
        <v>1275</v>
      </c>
    </row>
    <row r="1242" spans="1:1" ht="15" x14ac:dyDescent="0.25">
      <c r="A1242" s="12" t="s">
        <v>1276</v>
      </c>
    </row>
    <row r="1243" spans="1:1" ht="15" x14ac:dyDescent="0.25">
      <c r="A1243" s="12" t="s">
        <v>1277</v>
      </c>
    </row>
    <row r="1244" spans="1:1" ht="15" x14ac:dyDescent="0.25">
      <c r="A1244" s="12" t="s">
        <v>1278</v>
      </c>
    </row>
    <row r="1245" spans="1:1" ht="15" x14ac:dyDescent="0.25">
      <c r="A1245" s="12" t="s">
        <v>1279</v>
      </c>
    </row>
    <row r="1246" spans="1:1" ht="15" x14ac:dyDescent="0.25">
      <c r="A1246" s="12" t="s">
        <v>1280</v>
      </c>
    </row>
    <row r="1247" spans="1:1" ht="15" x14ac:dyDescent="0.25">
      <c r="A1247" s="12" t="s">
        <v>1281</v>
      </c>
    </row>
    <row r="1248" spans="1:1" ht="15" x14ac:dyDescent="0.25">
      <c r="A1248" s="12" t="s">
        <v>1282</v>
      </c>
    </row>
    <row r="1249" spans="1:1" ht="15" x14ac:dyDescent="0.25">
      <c r="A1249" s="12" t="s">
        <v>1283</v>
      </c>
    </row>
    <row r="1250" spans="1:1" ht="15" x14ac:dyDescent="0.25">
      <c r="A1250" s="12" t="s">
        <v>1284</v>
      </c>
    </row>
    <row r="1251" spans="1:1" ht="15" x14ac:dyDescent="0.25">
      <c r="A1251" s="12" t="s">
        <v>1285</v>
      </c>
    </row>
    <row r="1252" spans="1:1" ht="15" x14ac:dyDescent="0.25">
      <c r="A1252" s="12" t="s">
        <v>1286</v>
      </c>
    </row>
    <row r="1253" spans="1:1" ht="15" x14ac:dyDescent="0.25">
      <c r="A1253" s="12" t="s">
        <v>1287</v>
      </c>
    </row>
    <row r="1254" spans="1:1" ht="15" x14ac:dyDescent="0.25">
      <c r="A1254" s="12" t="s">
        <v>1288</v>
      </c>
    </row>
    <row r="1255" spans="1:1" ht="15" x14ac:dyDescent="0.25">
      <c r="A1255" s="12" t="s">
        <v>1289</v>
      </c>
    </row>
    <row r="1256" spans="1:1" ht="15" x14ac:dyDescent="0.25">
      <c r="A1256" s="12" t="s">
        <v>1290</v>
      </c>
    </row>
    <row r="1257" spans="1:1" ht="15" x14ac:dyDescent="0.25">
      <c r="A1257" s="12" t="s">
        <v>1291</v>
      </c>
    </row>
    <row r="1258" spans="1:1" ht="15" x14ac:dyDescent="0.25">
      <c r="A1258" s="12" t="s">
        <v>1292</v>
      </c>
    </row>
    <row r="1259" spans="1:1" ht="15" x14ac:dyDescent="0.25">
      <c r="A1259" s="12" t="s">
        <v>1293</v>
      </c>
    </row>
    <row r="1260" spans="1:1" ht="15" x14ac:dyDescent="0.25">
      <c r="A1260" s="12" t="s">
        <v>1294</v>
      </c>
    </row>
    <row r="1261" spans="1:1" ht="15" x14ac:dyDescent="0.25">
      <c r="A1261" s="12" t="s">
        <v>1295</v>
      </c>
    </row>
    <row r="1262" spans="1:1" ht="15" x14ac:dyDescent="0.25">
      <c r="A1262" s="12" t="s">
        <v>1296</v>
      </c>
    </row>
    <row r="1263" spans="1:1" ht="15" x14ac:dyDescent="0.25">
      <c r="A1263" s="12" t="s">
        <v>1297</v>
      </c>
    </row>
    <row r="1264" spans="1:1" ht="15" x14ac:dyDescent="0.25">
      <c r="A1264" s="12" t="s">
        <v>1298</v>
      </c>
    </row>
    <row r="1265" spans="1:1" ht="15" x14ac:dyDescent="0.25">
      <c r="A1265" s="12" t="s">
        <v>1299</v>
      </c>
    </row>
    <row r="1266" spans="1:1" ht="15" x14ac:dyDescent="0.25">
      <c r="A1266" s="12" t="s">
        <v>1300</v>
      </c>
    </row>
    <row r="1267" spans="1:1" ht="15" x14ac:dyDescent="0.25">
      <c r="A1267" s="12" t="s">
        <v>1301</v>
      </c>
    </row>
    <row r="1268" spans="1:1" ht="15" x14ac:dyDescent="0.25">
      <c r="A1268" s="12" t="s">
        <v>1302</v>
      </c>
    </row>
    <row r="1269" spans="1:1" ht="15" x14ac:dyDescent="0.25">
      <c r="A1269" s="12" t="s">
        <v>1303</v>
      </c>
    </row>
    <row r="1270" spans="1:1" ht="15" x14ac:dyDescent="0.25">
      <c r="A1270" s="12" t="s">
        <v>1304</v>
      </c>
    </row>
    <row r="1271" spans="1:1" ht="15" x14ac:dyDescent="0.25">
      <c r="A1271" s="12" t="s">
        <v>1305</v>
      </c>
    </row>
    <row r="1272" spans="1:1" ht="15" x14ac:dyDescent="0.25">
      <c r="A1272" s="12" t="s">
        <v>1306</v>
      </c>
    </row>
    <row r="1273" spans="1:1" ht="15" x14ac:dyDescent="0.25">
      <c r="A1273" s="12" t="s">
        <v>1307</v>
      </c>
    </row>
    <row r="1274" spans="1:1" ht="15" x14ac:dyDescent="0.25">
      <c r="A1274" s="12" t="s">
        <v>1308</v>
      </c>
    </row>
    <row r="1275" spans="1:1" ht="15" x14ac:dyDescent="0.25">
      <c r="A1275" s="12" t="s">
        <v>1309</v>
      </c>
    </row>
    <row r="1276" spans="1:1" ht="15" x14ac:dyDescent="0.25">
      <c r="A1276" s="12" t="s">
        <v>1310</v>
      </c>
    </row>
    <row r="1277" spans="1:1" ht="15" x14ac:dyDescent="0.25">
      <c r="A1277" s="12" t="s">
        <v>1311</v>
      </c>
    </row>
    <row r="1278" spans="1:1" ht="15" x14ac:dyDescent="0.25">
      <c r="A1278" s="12" t="s">
        <v>1312</v>
      </c>
    </row>
    <row r="1279" spans="1:1" ht="15" x14ac:dyDescent="0.25">
      <c r="A1279" s="12" t="s">
        <v>1313</v>
      </c>
    </row>
    <row r="1280" spans="1:1" ht="15" x14ac:dyDescent="0.25">
      <c r="A1280" s="12" t="s">
        <v>1314</v>
      </c>
    </row>
    <row r="1281" spans="1:1" ht="15" x14ac:dyDescent="0.25">
      <c r="A1281" s="12" t="s">
        <v>1315</v>
      </c>
    </row>
    <row r="1282" spans="1:1" ht="15" x14ac:dyDescent="0.25">
      <c r="A1282" s="12" t="s">
        <v>1316</v>
      </c>
    </row>
    <row r="1283" spans="1:1" ht="15" x14ac:dyDescent="0.25">
      <c r="A1283" s="12" t="s">
        <v>1317</v>
      </c>
    </row>
    <row r="1284" spans="1:1" ht="15" x14ac:dyDescent="0.25">
      <c r="A1284" s="12" t="s">
        <v>1318</v>
      </c>
    </row>
    <row r="1285" spans="1:1" ht="15" x14ac:dyDescent="0.25">
      <c r="A1285" s="12" t="s">
        <v>1319</v>
      </c>
    </row>
    <row r="1286" spans="1:1" ht="15" x14ac:dyDescent="0.25">
      <c r="A1286" s="12" t="s">
        <v>1320</v>
      </c>
    </row>
    <row r="1287" spans="1:1" ht="15" x14ac:dyDescent="0.25">
      <c r="A1287" s="12" t="s">
        <v>1321</v>
      </c>
    </row>
    <row r="1288" spans="1:1" ht="15" x14ac:dyDescent="0.25">
      <c r="A1288" s="12" t="s">
        <v>1322</v>
      </c>
    </row>
    <row r="1289" spans="1:1" ht="15" x14ac:dyDescent="0.25">
      <c r="A1289" s="12" t="s">
        <v>1323</v>
      </c>
    </row>
    <row r="1290" spans="1:1" ht="15" x14ac:dyDescent="0.25">
      <c r="A1290" s="12" t="s">
        <v>1324</v>
      </c>
    </row>
    <row r="1291" spans="1:1" ht="15" x14ac:dyDescent="0.25">
      <c r="A1291" s="12" t="s">
        <v>1325</v>
      </c>
    </row>
    <row r="1292" spans="1:1" ht="15" x14ac:dyDescent="0.25">
      <c r="A1292" s="12" t="s">
        <v>1326</v>
      </c>
    </row>
    <row r="1293" spans="1:1" ht="15" x14ac:dyDescent="0.25">
      <c r="A1293" s="12" t="s">
        <v>1327</v>
      </c>
    </row>
    <row r="1294" spans="1:1" ht="15" x14ac:dyDescent="0.25">
      <c r="A1294" s="12" t="s">
        <v>1328</v>
      </c>
    </row>
    <row r="1295" spans="1:1" ht="15" x14ac:dyDescent="0.25">
      <c r="A1295" s="12" t="s">
        <v>1329</v>
      </c>
    </row>
    <row r="1296" spans="1:1" ht="15" x14ac:dyDescent="0.25">
      <c r="A1296" s="12" t="s">
        <v>1330</v>
      </c>
    </row>
    <row r="1297" spans="1:1" ht="15" x14ac:dyDescent="0.25">
      <c r="A1297" s="12" t="s">
        <v>1331</v>
      </c>
    </row>
    <row r="1298" spans="1:1" ht="15" x14ac:dyDescent="0.25">
      <c r="A1298" s="12" t="s">
        <v>1332</v>
      </c>
    </row>
    <row r="1299" spans="1:1" ht="15" x14ac:dyDescent="0.25">
      <c r="A1299" s="12" t="s">
        <v>1333</v>
      </c>
    </row>
    <row r="1300" spans="1:1" ht="15" x14ac:dyDescent="0.25">
      <c r="A1300" s="12" t="s">
        <v>1334</v>
      </c>
    </row>
    <row r="1301" spans="1:1" ht="15" x14ac:dyDescent="0.25">
      <c r="A1301" s="12" t="s">
        <v>1335</v>
      </c>
    </row>
    <row r="1302" spans="1:1" ht="15" x14ac:dyDescent="0.25">
      <c r="A1302" s="12" t="s">
        <v>1336</v>
      </c>
    </row>
    <row r="1303" spans="1:1" ht="15" x14ac:dyDescent="0.25">
      <c r="A1303" s="12" t="s">
        <v>1337</v>
      </c>
    </row>
    <row r="1304" spans="1:1" ht="15" x14ac:dyDescent="0.25">
      <c r="A1304" s="12" t="s">
        <v>1338</v>
      </c>
    </row>
    <row r="1305" spans="1:1" ht="15" x14ac:dyDescent="0.25">
      <c r="A1305" s="12" t="s">
        <v>1339</v>
      </c>
    </row>
    <row r="1306" spans="1:1" ht="15" x14ac:dyDescent="0.25">
      <c r="A1306" s="12" t="s">
        <v>1340</v>
      </c>
    </row>
    <row r="1307" spans="1:1" ht="15" x14ac:dyDescent="0.25">
      <c r="A1307" s="12" t="s">
        <v>1341</v>
      </c>
    </row>
    <row r="1308" spans="1:1" ht="15" x14ac:dyDescent="0.25">
      <c r="A1308" s="12" t="s">
        <v>1342</v>
      </c>
    </row>
    <row r="1309" spans="1:1" ht="15" x14ac:dyDescent="0.25">
      <c r="A1309" s="12" t="s">
        <v>1343</v>
      </c>
    </row>
    <row r="1310" spans="1:1" ht="15" x14ac:dyDescent="0.25">
      <c r="A1310" s="12" t="s">
        <v>1344</v>
      </c>
    </row>
    <row r="1311" spans="1:1" ht="15" x14ac:dyDescent="0.25">
      <c r="A1311" s="12" t="s">
        <v>1345</v>
      </c>
    </row>
    <row r="1312" spans="1:1" ht="15" x14ac:dyDescent="0.25">
      <c r="A1312" s="12" t="s">
        <v>1346</v>
      </c>
    </row>
    <row r="1313" spans="1:1" ht="15" x14ac:dyDescent="0.25">
      <c r="A1313" s="12" t="s">
        <v>1347</v>
      </c>
    </row>
    <row r="1314" spans="1:1" ht="15" x14ac:dyDescent="0.25">
      <c r="A1314" s="12" t="s">
        <v>1348</v>
      </c>
    </row>
    <row r="1315" spans="1:1" ht="15" x14ac:dyDescent="0.25">
      <c r="A1315" s="12" t="s">
        <v>1349</v>
      </c>
    </row>
    <row r="1316" spans="1:1" ht="15" x14ac:dyDescent="0.25">
      <c r="A1316" s="12" t="s">
        <v>1350</v>
      </c>
    </row>
    <row r="1317" spans="1:1" ht="15" x14ac:dyDescent="0.25">
      <c r="A1317" s="12" t="s">
        <v>1351</v>
      </c>
    </row>
    <row r="1318" spans="1:1" ht="15" x14ac:dyDescent="0.25">
      <c r="A1318" s="12" t="s">
        <v>1352</v>
      </c>
    </row>
    <row r="1319" spans="1:1" ht="15" x14ac:dyDescent="0.25">
      <c r="A1319" s="12" t="s">
        <v>1353</v>
      </c>
    </row>
    <row r="1320" spans="1:1" ht="15" x14ac:dyDescent="0.25">
      <c r="A1320" s="12" t="s">
        <v>1354</v>
      </c>
    </row>
    <row r="1321" spans="1:1" ht="15" x14ac:dyDescent="0.25">
      <c r="A1321" s="12" t="s">
        <v>1355</v>
      </c>
    </row>
    <row r="1322" spans="1:1" ht="15" x14ac:dyDescent="0.25">
      <c r="A1322" s="12" t="s">
        <v>1356</v>
      </c>
    </row>
    <row r="1323" spans="1:1" ht="15" x14ac:dyDescent="0.25">
      <c r="A1323" s="12" t="s">
        <v>1357</v>
      </c>
    </row>
    <row r="1324" spans="1:1" ht="15" x14ac:dyDescent="0.25">
      <c r="A1324" s="12" t="s">
        <v>1358</v>
      </c>
    </row>
    <row r="1325" spans="1:1" ht="15" x14ac:dyDescent="0.25">
      <c r="A1325" s="12" t="s">
        <v>1359</v>
      </c>
    </row>
    <row r="1326" spans="1:1" ht="15" x14ac:dyDescent="0.25">
      <c r="A1326" s="12" t="s">
        <v>1360</v>
      </c>
    </row>
    <row r="1327" spans="1:1" ht="15" x14ac:dyDescent="0.25">
      <c r="A1327" s="12" t="s">
        <v>1361</v>
      </c>
    </row>
    <row r="1328" spans="1:1" ht="15" x14ac:dyDescent="0.25">
      <c r="A1328" s="12" t="s">
        <v>1362</v>
      </c>
    </row>
    <row r="1329" spans="1:1" ht="15" x14ac:dyDescent="0.25">
      <c r="A1329" s="12" t="s">
        <v>1363</v>
      </c>
    </row>
    <row r="1330" spans="1:1" ht="15" x14ac:dyDescent="0.25">
      <c r="A1330" s="12" t="s">
        <v>1364</v>
      </c>
    </row>
    <row r="1331" spans="1:1" ht="15" x14ac:dyDescent="0.25">
      <c r="A1331" s="12" t="s">
        <v>1365</v>
      </c>
    </row>
    <row r="1332" spans="1:1" ht="15" x14ac:dyDescent="0.25">
      <c r="A1332" s="12" t="s">
        <v>1366</v>
      </c>
    </row>
    <row r="1333" spans="1:1" ht="15" x14ac:dyDescent="0.25">
      <c r="A1333" s="12" t="s">
        <v>1367</v>
      </c>
    </row>
    <row r="1334" spans="1:1" ht="15" x14ac:dyDescent="0.25">
      <c r="A1334" s="12" t="s">
        <v>1368</v>
      </c>
    </row>
    <row r="1335" spans="1:1" ht="15" x14ac:dyDescent="0.25">
      <c r="A1335" s="12" t="s">
        <v>1369</v>
      </c>
    </row>
    <row r="1336" spans="1:1" ht="15" x14ac:dyDescent="0.25">
      <c r="A1336" s="12" t="s">
        <v>1370</v>
      </c>
    </row>
    <row r="1337" spans="1:1" ht="15" x14ac:dyDescent="0.25">
      <c r="A1337" s="12" t="s">
        <v>1371</v>
      </c>
    </row>
    <row r="1338" spans="1:1" ht="15" x14ac:dyDescent="0.25">
      <c r="A1338" s="12" t="s">
        <v>1372</v>
      </c>
    </row>
    <row r="1339" spans="1:1" ht="15" x14ac:dyDescent="0.25">
      <c r="A1339" s="12" t="s">
        <v>1373</v>
      </c>
    </row>
    <row r="1340" spans="1:1" ht="15" x14ac:dyDescent="0.25">
      <c r="A1340" s="12" t="s">
        <v>1374</v>
      </c>
    </row>
    <row r="1341" spans="1:1" ht="15" x14ac:dyDescent="0.25">
      <c r="A1341" s="12" t="s">
        <v>1375</v>
      </c>
    </row>
    <row r="1342" spans="1:1" ht="15" x14ac:dyDescent="0.25">
      <c r="A1342" s="12" t="s">
        <v>1376</v>
      </c>
    </row>
    <row r="1343" spans="1:1" ht="15" x14ac:dyDescent="0.25">
      <c r="A1343" s="12" t="s">
        <v>1377</v>
      </c>
    </row>
    <row r="1344" spans="1:1" ht="15" x14ac:dyDescent="0.25">
      <c r="A1344" s="12" t="s">
        <v>1378</v>
      </c>
    </row>
    <row r="1345" spans="1:1" ht="15" x14ac:dyDescent="0.25">
      <c r="A1345" s="12" t="s">
        <v>1379</v>
      </c>
    </row>
    <row r="1346" spans="1:1" ht="15" x14ac:dyDescent="0.25">
      <c r="A1346" s="12" t="s">
        <v>1380</v>
      </c>
    </row>
    <row r="1347" spans="1:1" ht="15" x14ac:dyDescent="0.25">
      <c r="A1347" s="12" t="s">
        <v>1381</v>
      </c>
    </row>
    <row r="1348" spans="1:1" ht="15" x14ac:dyDescent="0.25">
      <c r="A1348" s="12" t="s">
        <v>1382</v>
      </c>
    </row>
    <row r="1349" spans="1:1" ht="15" x14ac:dyDescent="0.25">
      <c r="A1349" s="12" t="s">
        <v>1383</v>
      </c>
    </row>
    <row r="1350" spans="1:1" ht="15" x14ac:dyDescent="0.25">
      <c r="A1350" s="12" t="s">
        <v>1384</v>
      </c>
    </row>
    <row r="1351" spans="1:1" ht="15" x14ac:dyDescent="0.25">
      <c r="A1351" s="12" t="s">
        <v>1385</v>
      </c>
    </row>
    <row r="1352" spans="1:1" ht="15" x14ac:dyDescent="0.25">
      <c r="A1352" s="12" t="s">
        <v>1386</v>
      </c>
    </row>
    <row r="1353" spans="1:1" ht="15" x14ac:dyDescent="0.25">
      <c r="A1353" s="12" t="s">
        <v>1387</v>
      </c>
    </row>
    <row r="1354" spans="1:1" ht="15" x14ac:dyDescent="0.25">
      <c r="A1354" s="12" t="s">
        <v>1388</v>
      </c>
    </row>
    <row r="1355" spans="1:1" ht="15" x14ac:dyDescent="0.25">
      <c r="A1355" s="12" t="s">
        <v>1389</v>
      </c>
    </row>
    <row r="1356" spans="1:1" ht="15" x14ac:dyDescent="0.25">
      <c r="A1356" s="12" t="s">
        <v>1390</v>
      </c>
    </row>
    <row r="1357" spans="1:1" ht="15" x14ac:dyDescent="0.25">
      <c r="A1357" s="12" t="s">
        <v>1391</v>
      </c>
    </row>
    <row r="1358" spans="1:1" ht="15" x14ac:dyDescent="0.25">
      <c r="A1358" s="12" t="s">
        <v>1392</v>
      </c>
    </row>
    <row r="1359" spans="1:1" ht="15" x14ac:dyDescent="0.25">
      <c r="A1359" s="12" t="s">
        <v>1393</v>
      </c>
    </row>
    <row r="1360" spans="1:1" ht="15" x14ac:dyDescent="0.25">
      <c r="A1360" s="12" t="s">
        <v>1394</v>
      </c>
    </row>
    <row r="1361" spans="1:1" ht="15" x14ac:dyDescent="0.25">
      <c r="A1361" s="12" t="s">
        <v>1395</v>
      </c>
    </row>
    <row r="1362" spans="1:1" ht="15" x14ac:dyDescent="0.25">
      <c r="A1362" s="12" t="s">
        <v>1396</v>
      </c>
    </row>
    <row r="1363" spans="1:1" ht="15" x14ac:dyDescent="0.25">
      <c r="A1363" s="12" t="s">
        <v>1397</v>
      </c>
    </row>
    <row r="1364" spans="1:1" ht="15" x14ac:dyDescent="0.25">
      <c r="A1364" s="12" t="s">
        <v>1398</v>
      </c>
    </row>
    <row r="1365" spans="1:1" ht="15" x14ac:dyDescent="0.25">
      <c r="A1365" s="12" t="s">
        <v>1399</v>
      </c>
    </row>
    <row r="1366" spans="1:1" ht="15" x14ac:dyDescent="0.25">
      <c r="A1366" s="12" t="s">
        <v>1400</v>
      </c>
    </row>
    <row r="1367" spans="1:1" ht="15" x14ac:dyDescent="0.25">
      <c r="A1367" s="12" t="s">
        <v>1401</v>
      </c>
    </row>
    <row r="1368" spans="1:1" ht="15" x14ac:dyDescent="0.25">
      <c r="A1368" s="12" t="s">
        <v>1402</v>
      </c>
    </row>
    <row r="1369" spans="1:1" ht="15" x14ac:dyDescent="0.25">
      <c r="A1369" s="12" t="s">
        <v>1403</v>
      </c>
    </row>
    <row r="1370" spans="1:1" ht="15" x14ac:dyDescent="0.25">
      <c r="A1370" s="12" t="s">
        <v>1404</v>
      </c>
    </row>
    <row r="1371" spans="1:1" ht="15" x14ac:dyDescent="0.25">
      <c r="A1371" s="12" t="s">
        <v>1405</v>
      </c>
    </row>
    <row r="1372" spans="1:1" ht="15" x14ac:dyDescent="0.25">
      <c r="A1372" s="12" t="s">
        <v>1406</v>
      </c>
    </row>
    <row r="1373" spans="1:1" ht="15" x14ac:dyDescent="0.25">
      <c r="A1373" s="12" t="s">
        <v>1407</v>
      </c>
    </row>
    <row r="1374" spans="1:1" ht="15" x14ac:dyDescent="0.25">
      <c r="A1374" s="12" t="s">
        <v>1408</v>
      </c>
    </row>
    <row r="1375" spans="1:1" ht="15" x14ac:dyDescent="0.25">
      <c r="A1375" s="12" t="s">
        <v>1409</v>
      </c>
    </row>
    <row r="1376" spans="1:1" ht="15" x14ac:dyDescent="0.25">
      <c r="A1376" s="12" t="s">
        <v>1410</v>
      </c>
    </row>
    <row r="1377" spans="1:1" ht="15" x14ac:dyDescent="0.25">
      <c r="A1377" s="12" t="s">
        <v>1411</v>
      </c>
    </row>
    <row r="1378" spans="1:1" ht="15" x14ac:dyDescent="0.25">
      <c r="A1378" s="12" t="s">
        <v>1412</v>
      </c>
    </row>
    <row r="1379" spans="1:1" ht="15" x14ac:dyDescent="0.25">
      <c r="A1379" s="12" t="s">
        <v>1413</v>
      </c>
    </row>
    <row r="1380" spans="1:1" ht="15" x14ac:dyDescent="0.25">
      <c r="A1380" s="12" t="s">
        <v>1414</v>
      </c>
    </row>
    <row r="1381" spans="1:1" ht="15" x14ac:dyDescent="0.25">
      <c r="A1381" s="12" t="s">
        <v>1415</v>
      </c>
    </row>
    <row r="1382" spans="1:1" ht="15" x14ac:dyDescent="0.25">
      <c r="A1382" s="12" t="s">
        <v>1416</v>
      </c>
    </row>
    <row r="1383" spans="1:1" ht="15" x14ac:dyDescent="0.25">
      <c r="A1383" s="12" t="s">
        <v>1417</v>
      </c>
    </row>
    <row r="1384" spans="1:1" ht="15" x14ac:dyDescent="0.25">
      <c r="A1384" s="12" t="s">
        <v>1418</v>
      </c>
    </row>
    <row r="1385" spans="1:1" ht="15" x14ac:dyDescent="0.25">
      <c r="A1385" s="12" t="s">
        <v>1419</v>
      </c>
    </row>
    <row r="1386" spans="1:1" ht="15" x14ac:dyDescent="0.25">
      <c r="A1386" s="12" t="s">
        <v>1420</v>
      </c>
    </row>
    <row r="1387" spans="1:1" ht="15" x14ac:dyDescent="0.25">
      <c r="A1387" s="12" t="s">
        <v>1421</v>
      </c>
    </row>
    <row r="1388" spans="1:1" ht="15" x14ac:dyDescent="0.25">
      <c r="A1388" s="12" t="s">
        <v>1422</v>
      </c>
    </row>
    <row r="1389" spans="1:1" ht="15" x14ac:dyDescent="0.25">
      <c r="A1389" s="12" t="s">
        <v>1423</v>
      </c>
    </row>
    <row r="1390" spans="1:1" ht="15" x14ac:dyDescent="0.25">
      <c r="A1390" s="12" t="s">
        <v>1424</v>
      </c>
    </row>
    <row r="1391" spans="1:1" ht="15" x14ac:dyDescent="0.25">
      <c r="A1391" s="12" t="s">
        <v>1425</v>
      </c>
    </row>
    <row r="1392" spans="1:1" ht="15" x14ac:dyDescent="0.25">
      <c r="A1392" s="12" t="s">
        <v>1426</v>
      </c>
    </row>
    <row r="1393" spans="1:1" ht="15" x14ac:dyDescent="0.25">
      <c r="A1393" s="12" t="s">
        <v>1427</v>
      </c>
    </row>
    <row r="1394" spans="1:1" ht="15" x14ac:dyDescent="0.25">
      <c r="A1394" s="12" t="s">
        <v>1428</v>
      </c>
    </row>
    <row r="1395" spans="1:1" ht="15" x14ac:dyDescent="0.25">
      <c r="A1395" s="12" t="s">
        <v>1429</v>
      </c>
    </row>
    <row r="1396" spans="1:1" ht="15" x14ac:dyDescent="0.25">
      <c r="A1396" s="12" t="s">
        <v>1430</v>
      </c>
    </row>
    <row r="1397" spans="1:1" ht="15" x14ac:dyDescent="0.25">
      <c r="A1397" s="12" t="s">
        <v>1431</v>
      </c>
    </row>
    <row r="1398" spans="1:1" ht="15" x14ac:dyDescent="0.25">
      <c r="A1398" s="12" t="s">
        <v>1432</v>
      </c>
    </row>
    <row r="1399" spans="1:1" ht="15" x14ac:dyDescent="0.25">
      <c r="A1399" s="12" t="s">
        <v>1433</v>
      </c>
    </row>
    <row r="1400" spans="1:1" ht="15" x14ac:dyDescent="0.25">
      <c r="A1400" s="12" t="s">
        <v>1434</v>
      </c>
    </row>
    <row r="1401" spans="1:1" ht="15" x14ac:dyDescent="0.25">
      <c r="A1401" s="12" t="s">
        <v>1435</v>
      </c>
    </row>
    <row r="1402" spans="1:1" ht="15" x14ac:dyDescent="0.25">
      <c r="A1402" s="12" t="s">
        <v>1436</v>
      </c>
    </row>
    <row r="1403" spans="1:1" ht="15" x14ac:dyDescent="0.25">
      <c r="A1403" s="12" t="s">
        <v>1437</v>
      </c>
    </row>
    <row r="1404" spans="1:1" ht="15" x14ac:dyDescent="0.25">
      <c r="A1404" s="12" t="s">
        <v>1438</v>
      </c>
    </row>
    <row r="1405" spans="1:1" ht="15" x14ac:dyDescent="0.25">
      <c r="A1405" s="12" t="s">
        <v>1439</v>
      </c>
    </row>
    <row r="1406" spans="1:1" ht="15" x14ac:dyDescent="0.25">
      <c r="A1406" s="12" t="s">
        <v>1440</v>
      </c>
    </row>
    <row r="1407" spans="1:1" ht="15" x14ac:dyDescent="0.25">
      <c r="A1407" s="12" t="s">
        <v>1441</v>
      </c>
    </row>
    <row r="1408" spans="1:1" ht="15" x14ac:dyDescent="0.25">
      <c r="A1408" s="12" t="s">
        <v>1442</v>
      </c>
    </row>
    <row r="1409" spans="1:1" ht="15" x14ac:dyDescent="0.25">
      <c r="A1409" s="12" t="s">
        <v>1443</v>
      </c>
    </row>
    <row r="1410" spans="1:1" ht="15" x14ac:dyDescent="0.25">
      <c r="A1410" s="12" t="s">
        <v>1444</v>
      </c>
    </row>
    <row r="1411" spans="1:1" ht="15" x14ac:dyDescent="0.25">
      <c r="A1411" s="12" t="s">
        <v>1445</v>
      </c>
    </row>
    <row r="1412" spans="1:1" ht="15" x14ac:dyDescent="0.25">
      <c r="A1412" s="12" t="s">
        <v>1446</v>
      </c>
    </row>
    <row r="1413" spans="1:1" ht="15" x14ac:dyDescent="0.25">
      <c r="A1413" s="12" t="s">
        <v>1447</v>
      </c>
    </row>
    <row r="1414" spans="1:1" ht="15" x14ac:dyDescent="0.25">
      <c r="A1414" s="12" t="s">
        <v>1448</v>
      </c>
    </row>
    <row r="1415" spans="1:1" ht="15" x14ac:dyDescent="0.25">
      <c r="A1415" s="12" t="s">
        <v>1449</v>
      </c>
    </row>
    <row r="1416" spans="1:1" ht="15" x14ac:dyDescent="0.25">
      <c r="A1416" s="12" t="s">
        <v>1450</v>
      </c>
    </row>
    <row r="1417" spans="1:1" ht="15" x14ac:dyDescent="0.25">
      <c r="A1417" s="12" t="s">
        <v>1451</v>
      </c>
    </row>
    <row r="1418" spans="1:1" ht="15" x14ac:dyDescent="0.25">
      <c r="A1418" s="12" t="s">
        <v>1452</v>
      </c>
    </row>
    <row r="1419" spans="1:1" ht="15" x14ac:dyDescent="0.25">
      <c r="A1419" s="12" t="s">
        <v>1453</v>
      </c>
    </row>
    <row r="1420" spans="1:1" ht="15" x14ac:dyDescent="0.25">
      <c r="A1420" s="12" t="s">
        <v>1454</v>
      </c>
    </row>
    <row r="1421" spans="1:1" ht="15" x14ac:dyDescent="0.25">
      <c r="A1421" s="12" t="s">
        <v>1455</v>
      </c>
    </row>
    <row r="1422" spans="1:1" ht="15" x14ac:dyDescent="0.25">
      <c r="A1422" s="12" t="s">
        <v>1456</v>
      </c>
    </row>
    <row r="1423" spans="1:1" ht="15" x14ac:dyDescent="0.25">
      <c r="A1423" s="12" t="s">
        <v>1457</v>
      </c>
    </row>
    <row r="1424" spans="1:1" ht="15" x14ac:dyDescent="0.25">
      <c r="A1424" s="12" t="s">
        <v>1458</v>
      </c>
    </row>
    <row r="1425" spans="1:1" ht="15" x14ac:dyDescent="0.25">
      <c r="A1425" s="12" t="s">
        <v>1459</v>
      </c>
    </row>
    <row r="1426" spans="1:1" ht="15" x14ac:dyDescent="0.25">
      <c r="A1426" s="12" t="s">
        <v>1460</v>
      </c>
    </row>
    <row r="1427" spans="1:1" ht="15" x14ac:dyDescent="0.25">
      <c r="A1427" s="12" t="s">
        <v>1461</v>
      </c>
    </row>
    <row r="1428" spans="1:1" ht="15" x14ac:dyDescent="0.25">
      <c r="A1428" s="12" t="s">
        <v>1462</v>
      </c>
    </row>
    <row r="1429" spans="1:1" ht="15" x14ac:dyDescent="0.25">
      <c r="A1429" s="12" t="s">
        <v>1463</v>
      </c>
    </row>
    <row r="1430" spans="1:1" ht="15" x14ac:dyDescent="0.25">
      <c r="A1430" s="12" t="s">
        <v>1464</v>
      </c>
    </row>
    <row r="1431" spans="1:1" ht="15" x14ac:dyDescent="0.25">
      <c r="A1431" s="12" t="s">
        <v>1465</v>
      </c>
    </row>
    <row r="1432" spans="1:1" ht="15" x14ac:dyDescent="0.25">
      <c r="A1432" s="12" t="s">
        <v>1466</v>
      </c>
    </row>
    <row r="1433" spans="1:1" ht="15" x14ac:dyDescent="0.25">
      <c r="A1433" s="12" t="s">
        <v>1467</v>
      </c>
    </row>
    <row r="1434" spans="1:1" ht="15" x14ac:dyDescent="0.25">
      <c r="A1434" s="12" t="s">
        <v>1468</v>
      </c>
    </row>
    <row r="1435" spans="1:1" ht="15" x14ac:dyDescent="0.25">
      <c r="A1435" s="12" t="s">
        <v>1469</v>
      </c>
    </row>
    <row r="1436" spans="1:1" ht="15" x14ac:dyDescent="0.25">
      <c r="A1436" s="12" t="s">
        <v>1470</v>
      </c>
    </row>
    <row r="1437" spans="1:1" ht="15" x14ac:dyDescent="0.25">
      <c r="A1437" s="12" t="s">
        <v>1471</v>
      </c>
    </row>
    <row r="1438" spans="1:1" ht="15" x14ac:dyDescent="0.25">
      <c r="A1438" s="12" t="s">
        <v>1472</v>
      </c>
    </row>
    <row r="1439" spans="1:1" ht="15" x14ac:dyDescent="0.25">
      <c r="A1439" s="12" t="s">
        <v>1473</v>
      </c>
    </row>
    <row r="1440" spans="1:1" ht="15" x14ac:dyDescent="0.25">
      <c r="A1440" s="12" t="s">
        <v>1474</v>
      </c>
    </row>
    <row r="1441" spans="1:1" ht="15" x14ac:dyDescent="0.25">
      <c r="A1441" s="12" t="s">
        <v>1475</v>
      </c>
    </row>
    <row r="1442" spans="1:1" ht="15" x14ac:dyDescent="0.25">
      <c r="A1442" s="12" t="s">
        <v>1476</v>
      </c>
    </row>
    <row r="1443" spans="1:1" ht="15" x14ac:dyDescent="0.25">
      <c r="A1443" s="12" t="s">
        <v>1477</v>
      </c>
    </row>
    <row r="1444" spans="1:1" ht="15" x14ac:dyDescent="0.25">
      <c r="A1444" s="12" t="s">
        <v>1478</v>
      </c>
    </row>
    <row r="1445" spans="1:1" ht="15" x14ac:dyDescent="0.25">
      <c r="A1445" s="12" t="s">
        <v>1479</v>
      </c>
    </row>
    <row r="1446" spans="1:1" ht="15" x14ac:dyDescent="0.25">
      <c r="A1446" s="12" t="s">
        <v>1480</v>
      </c>
    </row>
    <row r="1447" spans="1:1" ht="15" x14ac:dyDescent="0.25">
      <c r="A1447" s="12" t="s">
        <v>1481</v>
      </c>
    </row>
    <row r="1448" spans="1:1" ht="15" x14ac:dyDescent="0.25">
      <c r="A1448" s="12" t="s">
        <v>1482</v>
      </c>
    </row>
    <row r="1449" spans="1:1" ht="15" x14ac:dyDescent="0.25">
      <c r="A1449" s="12" t="s">
        <v>1483</v>
      </c>
    </row>
    <row r="1450" spans="1:1" ht="15" x14ac:dyDescent="0.25">
      <c r="A1450" s="12" t="s">
        <v>1484</v>
      </c>
    </row>
    <row r="1451" spans="1:1" ht="15" x14ac:dyDescent="0.25">
      <c r="A1451" s="12" t="s">
        <v>1485</v>
      </c>
    </row>
    <row r="1452" spans="1:1" ht="15" x14ac:dyDescent="0.25">
      <c r="A1452" s="12" t="s">
        <v>1486</v>
      </c>
    </row>
    <row r="1453" spans="1:1" ht="15" x14ac:dyDescent="0.25">
      <c r="A1453" s="12" t="s">
        <v>1487</v>
      </c>
    </row>
    <row r="1454" spans="1:1" ht="15" x14ac:dyDescent="0.25">
      <c r="A1454" s="12" t="s">
        <v>1488</v>
      </c>
    </row>
    <row r="1455" spans="1:1" ht="15" x14ac:dyDescent="0.25">
      <c r="A1455" s="12" t="s">
        <v>1489</v>
      </c>
    </row>
    <row r="1456" spans="1:1" ht="15" x14ac:dyDescent="0.25">
      <c r="A1456" s="12" t="s">
        <v>1490</v>
      </c>
    </row>
    <row r="1457" spans="1:1" ht="15" x14ac:dyDescent="0.25">
      <c r="A1457" s="12" t="s">
        <v>1491</v>
      </c>
    </row>
    <row r="1458" spans="1:1" ht="15" x14ac:dyDescent="0.25">
      <c r="A1458" s="12" t="s">
        <v>1492</v>
      </c>
    </row>
    <row r="1459" spans="1:1" ht="15" x14ac:dyDescent="0.25">
      <c r="A1459" s="12" t="s">
        <v>1493</v>
      </c>
    </row>
    <row r="1460" spans="1:1" ht="15" x14ac:dyDescent="0.25">
      <c r="A1460" s="12" t="s">
        <v>1494</v>
      </c>
    </row>
    <row r="1461" spans="1:1" ht="15" x14ac:dyDescent="0.25">
      <c r="A1461" s="12" t="s">
        <v>1495</v>
      </c>
    </row>
    <row r="1462" spans="1:1" ht="15" x14ac:dyDescent="0.25">
      <c r="A1462" s="12" t="s">
        <v>1496</v>
      </c>
    </row>
    <row r="1463" spans="1:1" ht="15" x14ac:dyDescent="0.25">
      <c r="A1463" s="12" t="s">
        <v>1497</v>
      </c>
    </row>
    <row r="1464" spans="1:1" ht="15" x14ac:dyDescent="0.25">
      <c r="A1464" s="12" t="s">
        <v>1498</v>
      </c>
    </row>
    <row r="1465" spans="1:1" ht="15" x14ac:dyDescent="0.25">
      <c r="A1465" s="12" t="s">
        <v>1499</v>
      </c>
    </row>
    <row r="1466" spans="1:1" ht="15" x14ac:dyDescent="0.25">
      <c r="A1466" s="12" t="s">
        <v>1500</v>
      </c>
    </row>
    <row r="1467" spans="1:1" ht="15" x14ac:dyDescent="0.25">
      <c r="A1467" s="12" t="s">
        <v>1501</v>
      </c>
    </row>
    <row r="1468" spans="1:1" ht="15" x14ac:dyDescent="0.25">
      <c r="A1468" s="12" t="s">
        <v>1502</v>
      </c>
    </row>
    <row r="1469" spans="1:1" ht="15" x14ac:dyDescent="0.25">
      <c r="A1469" s="12" t="s">
        <v>1503</v>
      </c>
    </row>
    <row r="1470" spans="1:1" ht="15" x14ac:dyDescent="0.25">
      <c r="A1470" s="12" t="s">
        <v>1504</v>
      </c>
    </row>
    <row r="1471" spans="1:1" ht="15" x14ac:dyDescent="0.25">
      <c r="A1471" s="12" t="s">
        <v>1505</v>
      </c>
    </row>
    <row r="1472" spans="1:1" ht="15" x14ac:dyDescent="0.25">
      <c r="A1472" s="12" t="s">
        <v>1506</v>
      </c>
    </row>
    <row r="1473" spans="1:1" ht="15" x14ac:dyDescent="0.25">
      <c r="A1473" s="12" t="s">
        <v>1507</v>
      </c>
    </row>
    <row r="1474" spans="1:1" ht="15" x14ac:dyDescent="0.25">
      <c r="A1474" s="12" t="s">
        <v>1508</v>
      </c>
    </row>
    <row r="1475" spans="1:1" ht="15" x14ac:dyDescent="0.25">
      <c r="A1475" s="12" t="s">
        <v>1509</v>
      </c>
    </row>
    <row r="1476" spans="1:1" ht="15" x14ac:dyDescent="0.25">
      <c r="A1476" s="12" t="s">
        <v>1510</v>
      </c>
    </row>
    <row r="1477" spans="1:1" ht="15" x14ac:dyDescent="0.25">
      <c r="A1477" s="12" t="s">
        <v>1511</v>
      </c>
    </row>
    <row r="1478" spans="1:1" ht="15" x14ac:dyDescent="0.25">
      <c r="A1478" s="12" t="s">
        <v>1512</v>
      </c>
    </row>
    <row r="1479" spans="1:1" ht="15" x14ac:dyDescent="0.25">
      <c r="A1479" s="12" t="s">
        <v>1513</v>
      </c>
    </row>
    <row r="1480" spans="1:1" ht="15" x14ac:dyDescent="0.25">
      <c r="A1480" s="12" t="s">
        <v>1514</v>
      </c>
    </row>
    <row r="1481" spans="1:1" ht="15" x14ac:dyDescent="0.25">
      <c r="A1481" s="12" t="s">
        <v>1515</v>
      </c>
    </row>
    <row r="1482" spans="1:1" ht="15" x14ac:dyDescent="0.25">
      <c r="A1482" s="12" t="s">
        <v>1516</v>
      </c>
    </row>
    <row r="1483" spans="1:1" ht="15" x14ac:dyDescent="0.25">
      <c r="A1483" s="12" t="s">
        <v>1517</v>
      </c>
    </row>
    <row r="1484" spans="1:1" ht="15" x14ac:dyDescent="0.25">
      <c r="A1484" s="12" t="s">
        <v>1518</v>
      </c>
    </row>
    <row r="1485" spans="1:1" ht="15" x14ac:dyDescent="0.25">
      <c r="A1485" s="12" t="s">
        <v>1519</v>
      </c>
    </row>
    <row r="1486" spans="1:1" ht="15" x14ac:dyDescent="0.25">
      <c r="A1486" s="12" t="s">
        <v>1520</v>
      </c>
    </row>
    <row r="1487" spans="1:1" ht="15" x14ac:dyDescent="0.25">
      <c r="A1487" s="12" t="s">
        <v>1521</v>
      </c>
    </row>
    <row r="1488" spans="1:1" ht="15" x14ac:dyDescent="0.25">
      <c r="A1488" s="12" t="s">
        <v>1522</v>
      </c>
    </row>
    <row r="1489" spans="1:1" ht="15" x14ac:dyDescent="0.25">
      <c r="A1489" s="12" t="s">
        <v>1523</v>
      </c>
    </row>
    <row r="1490" spans="1:1" ht="15" x14ac:dyDescent="0.25">
      <c r="A1490" s="12" t="s">
        <v>1524</v>
      </c>
    </row>
    <row r="1491" spans="1:1" ht="15" x14ac:dyDescent="0.25">
      <c r="A1491" s="12" t="s">
        <v>1525</v>
      </c>
    </row>
    <row r="1492" spans="1:1" ht="15" x14ac:dyDescent="0.25">
      <c r="A1492" s="12" t="s">
        <v>1526</v>
      </c>
    </row>
    <row r="1493" spans="1:1" ht="15" x14ac:dyDescent="0.25">
      <c r="A1493" s="12" t="s">
        <v>1527</v>
      </c>
    </row>
    <row r="1494" spans="1:1" ht="15" x14ac:dyDescent="0.25">
      <c r="A1494" s="12" t="s">
        <v>1528</v>
      </c>
    </row>
    <row r="1495" spans="1:1" ht="15" x14ac:dyDescent="0.25">
      <c r="A1495" s="12" t="s">
        <v>1529</v>
      </c>
    </row>
    <row r="1496" spans="1:1" ht="15" x14ac:dyDescent="0.25">
      <c r="A1496" s="12" t="s">
        <v>1530</v>
      </c>
    </row>
    <row r="1497" spans="1:1" ht="15" x14ac:dyDescent="0.25">
      <c r="A1497" s="12" t="s">
        <v>1531</v>
      </c>
    </row>
    <row r="1498" spans="1:1" ht="15" x14ac:dyDescent="0.25">
      <c r="A1498" s="12" t="s">
        <v>1532</v>
      </c>
    </row>
    <row r="1499" spans="1:1" ht="15" x14ac:dyDescent="0.25">
      <c r="A1499" s="12" t="s">
        <v>1533</v>
      </c>
    </row>
    <row r="1500" spans="1:1" ht="15" x14ac:dyDescent="0.25">
      <c r="A1500" s="12" t="s">
        <v>1534</v>
      </c>
    </row>
    <row r="1501" spans="1:1" ht="15" x14ac:dyDescent="0.25">
      <c r="A1501" s="12" t="s">
        <v>1535</v>
      </c>
    </row>
    <row r="1502" spans="1:1" ht="15" x14ac:dyDescent="0.25">
      <c r="A1502" s="12" t="s">
        <v>1536</v>
      </c>
    </row>
    <row r="1503" spans="1:1" ht="15" x14ac:dyDescent="0.25">
      <c r="A1503" s="12" t="s">
        <v>1537</v>
      </c>
    </row>
    <row r="1504" spans="1:1" ht="15" x14ac:dyDescent="0.25">
      <c r="A1504" s="12" t="s">
        <v>1538</v>
      </c>
    </row>
    <row r="1505" spans="1:1" ht="15" x14ac:dyDescent="0.25">
      <c r="A1505" s="12" t="s">
        <v>1539</v>
      </c>
    </row>
    <row r="1506" spans="1:1" ht="15" x14ac:dyDescent="0.25">
      <c r="A1506" s="12" t="s">
        <v>1540</v>
      </c>
    </row>
    <row r="1507" spans="1:1" ht="15" x14ac:dyDescent="0.25">
      <c r="A1507" s="12" t="s">
        <v>1541</v>
      </c>
    </row>
    <row r="1508" spans="1:1" ht="15" x14ac:dyDescent="0.25">
      <c r="A1508" s="12" t="s">
        <v>1542</v>
      </c>
    </row>
    <row r="1509" spans="1:1" ht="15" x14ac:dyDescent="0.25">
      <c r="A1509" s="12" t="s">
        <v>1543</v>
      </c>
    </row>
    <row r="1510" spans="1:1" ht="15" x14ac:dyDescent="0.25">
      <c r="A1510" s="12" t="s">
        <v>1544</v>
      </c>
    </row>
    <row r="1511" spans="1:1" ht="15" x14ac:dyDescent="0.25">
      <c r="A1511" s="12" t="s">
        <v>1545</v>
      </c>
    </row>
    <row r="1512" spans="1:1" ht="15" x14ac:dyDescent="0.25">
      <c r="A1512" s="12" t="s">
        <v>1546</v>
      </c>
    </row>
    <row r="1513" spans="1:1" ht="15" x14ac:dyDescent="0.25">
      <c r="A1513" s="12" t="s">
        <v>1547</v>
      </c>
    </row>
    <row r="1514" spans="1:1" ht="15" x14ac:dyDescent="0.25">
      <c r="A1514" s="12" t="s">
        <v>1548</v>
      </c>
    </row>
    <row r="1515" spans="1:1" ht="15" x14ac:dyDescent="0.25">
      <c r="A1515" s="12" t="s">
        <v>1549</v>
      </c>
    </row>
    <row r="1516" spans="1:1" ht="15" x14ac:dyDescent="0.25">
      <c r="A1516" s="12" t="s">
        <v>1550</v>
      </c>
    </row>
    <row r="1517" spans="1:1" ht="15" x14ac:dyDescent="0.25">
      <c r="A1517" s="12" t="s">
        <v>1551</v>
      </c>
    </row>
    <row r="1518" spans="1:1" ht="15" x14ac:dyDescent="0.25">
      <c r="A1518" s="12" t="s">
        <v>1552</v>
      </c>
    </row>
    <row r="1519" spans="1:1" ht="15" x14ac:dyDescent="0.25">
      <c r="A1519" s="12" t="s">
        <v>1553</v>
      </c>
    </row>
    <row r="1520" spans="1:1" ht="15" x14ac:dyDescent="0.25">
      <c r="A1520" s="12" t="s">
        <v>1554</v>
      </c>
    </row>
    <row r="1521" spans="1:1" ht="15" x14ac:dyDescent="0.25">
      <c r="A1521" s="12" t="s">
        <v>1555</v>
      </c>
    </row>
    <row r="1522" spans="1:1" ht="15" x14ac:dyDescent="0.25">
      <c r="A1522" s="12" t="s">
        <v>1556</v>
      </c>
    </row>
    <row r="1523" spans="1:1" ht="15" x14ac:dyDescent="0.25">
      <c r="A1523" s="12" t="s">
        <v>1557</v>
      </c>
    </row>
    <row r="1524" spans="1:1" ht="15" x14ac:dyDescent="0.25">
      <c r="A1524" s="12" t="s">
        <v>1558</v>
      </c>
    </row>
    <row r="1525" spans="1:1" ht="15" x14ac:dyDescent="0.25">
      <c r="A1525" s="12" t="s">
        <v>1559</v>
      </c>
    </row>
    <row r="1526" spans="1:1" ht="15" x14ac:dyDescent="0.25">
      <c r="A1526" s="12" t="s">
        <v>1560</v>
      </c>
    </row>
    <row r="1527" spans="1:1" ht="15" x14ac:dyDescent="0.25">
      <c r="A1527" s="12" t="s">
        <v>1561</v>
      </c>
    </row>
    <row r="1528" spans="1:1" ht="15" x14ac:dyDescent="0.25">
      <c r="A1528" s="12" t="s">
        <v>1562</v>
      </c>
    </row>
    <row r="1529" spans="1:1" ht="15" x14ac:dyDescent="0.25">
      <c r="A1529" s="12" t="s">
        <v>1563</v>
      </c>
    </row>
    <row r="1530" spans="1:1" ht="15" x14ac:dyDescent="0.25">
      <c r="A1530" s="12" t="s">
        <v>1564</v>
      </c>
    </row>
    <row r="1531" spans="1:1" ht="15" x14ac:dyDescent="0.25">
      <c r="A1531" s="12" t="s">
        <v>1565</v>
      </c>
    </row>
    <row r="1532" spans="1:1" ht="15" x14ac:dyDescent="0.25">
      <c r="A1532" s="12" t="s">
        <v>1566</v>
      </c>
    </row>
    <row r="1533" spans="1:1" ht="15" x14ac:dyDescent="0.25">
      <c r="A1533" s="12" t="s">
        <v>1567</v>
      </c>
    </row>
    <row r="1534" spans="1:1" ht="15" x14ac:dyDescent="0.25">
      <c r="A1534" s="12" t="s">
        <v>1568</v>
      </c>
    </row>
    <row r="1535" spans="1:1" ht="15" x14ac:dyDescent="0.25">
      <c r="A1535" s="12" t="s">
        <v>1569</v>
      </c>
    </row>
    <row r="1536" spans="1:1" ht="15" x14ac:dyDescent="0.25">
      <c r="A1536" s="12" t="s">
        <v>1570</v>
      </c>
    </row>
    <row r="1537" spans="1:1" ht="15" x14ac:dyDescent="0.25">
      <c r="A1537" s="12" t="s">
        <v>1571</v>
      </c>
    </row>
    <row r="1538" spans="1:1" ht="15" x14ac:dyDescent="0.25">
      <c r="A1538" s="12" t="s">
        <v>1572</v>
      </c>
    </row>
    <row r="1539" spans="1:1" ht="15" x14ac:dyDescent="0.25">
      <c r="A1539" s="12" t="s">
        <v>1573</v>
      </c>
    </row>
    <row r="1540" spans="1:1" ht="15" x14ac:dyDescent="0.25">
      <c r="A1540" s="12" t="s">
        <v>1574</v>
      </c>
    </row>
    <row r="1541" spans="1:1" ht="15" x14ac:dyDescent="0.25">
      <c r="A1541" s="12" t="s">
        <v>1575</v>
      </c>
    </row>
    <row r="1542" spans="1:1" ht="15" x14ac:dyDescent="0.25">
      <c r="A1542" s="12" t="s">
        <v>1576</v>
      </c>
    </row>
    <row r="1543" spans="1:1" ht="15" x14ac:dyDescent="0.25">
      <c r="A1543" s="12" t="s">
        <v>1577</v>
      </c>
    </row>
    <row r="1544" spans="1:1" ht="15" x14ac:dyDescent="0.25">
      <c r="A1544" s="12" t="s">
        <v>1578</v>
      </c>
    </row>
    <row r="1545" spans="1:1" ht="15" x14ac:dyDescent="0.25">
      <c r="A1545" s="12" t="s">
        <v>1579</v>
      </c>
    </row>
    <row r="1546" spans="1:1" ht="15" x14ac:dyDescent="0.25">
      <c r="A1546" s="12" t="s">
        <v>1580</v>
      </c>
    </row>
    <row r="1547" spans="1:1" ht="15" x14ac:dyDescent="0.25">
      <c r="A1547" s="12" t="s">
        <v>1581</v>
      </c>
    </row>
    <row r="1548" spans="1:1" ht="15" x14ac:dyDescent="0.25">
      <c r="A1548" s="12" t="s">
        <v>1582</v>
      </c>
    </row>
    <row r="1549" spans="1:1" ht="15" x14ac:dyDescent="0.25">
      <c r="A1549" s="12" t="s">
        <v>1583</v>
      </c>
    </row>
    <row r="1550" spans="1:1" ht="15" x14ac:dyDescent="0.25">
      <c r="A1550" s="12" t="s">
        <v>1584</v>
      </c>
    </row>
    <row r="1551" spans="1:1" ht="15" x14ac:dyDescent="0.25">
      <c r="A1551" s="12" t="s">
        <v>1585</v>
      </c>
    </row>
    <row r="1552" spans="1:1" ht="15" x14ac:dyDescent="0.25">
      <c r="A1552" s="12" t="s">
        <v>1586</v>
      </c>
    </row>
    <row r="1553" spans="1:1" ht="15" x14ac:dyDescent="0.25">
      <c r="A1553" s="12" t="s">
        <v>1587</v>
      </c>
    </row>
    <row r="1554" spans="1:1" ht="15" x14ac:dyDescent="0.25">
      <c r="A1554" s="12" t="s">
        <v>1588</v>
      </c>
    </row>
    <row r="1555" spans="1:1" ht="15" x14ac:dyDescent="0.25">
      <c r="A1555" s="12" t="s">
        <v>1589</v>
      </c>
    </row>
    <row r="1556" spans="1:1" ht="15" x14ac:dyDescent="0.25">
      <c r="A1556" s="12" t="s">
        <v>1590</v>
      </c>
    </row>
    <row r="1557" spans="1:1" ht="15" x14ac:dyDescent="0.25">
      <c r="A1557" s="12" t="s">
        <v>1591</v>
      </c>
    </row>
    <row r="1558" spans="1:1" ht="15" x14ac:dyDescent="0.25">
      <c r="A1558" s="12" t="s">
        <v>1592</v>
      </c>
    </row>
    <row r="1559" spans="1:1" ht="15" x14ac:dyDescent="0.25">
      <c r="A1559" s="12" t="s">
        <v>1593</v>
      </c>
    </row>
    <row r="1560" spans="1:1" ht="15" x14ac:dyDescent="0.25">
      <c r="A1560" s="12" t="s">
        <v>1594</v>
      </c>
    </row>
    <row r="1561" spans="1:1" ht="15" x14ac:dyDescent="0.25">
      <c r="A1561" s="12" t="s">
        <v>1595</v>
      </c>
    </row>
    <row r="1562" spans="1:1" ht="15" x14ac:dyDescent="0.25">
      <c r="A1562" s="12" t="s">
        <v>1596</v>
      </c>
    </row>
    <row r="1563" spans="1:1" ht="15" x14ac:dyDescent="0.25">
      <c r="A1563" s="12" t="s">
        <v>1597</v>
      </c>
    </row>
    <row r="1564" spans="1:1" ht="15" x14ac:dyDescent="0.25">
      <c r="A1564" s="12" t="s">
        <v>1598</v>
      </c>
    </row>
    <row r="1565" spans="1:1" ht="15" x14ac:dyDescent="0.25">
      <c r="A1565" s="12" t="s">
        <v>1599</v>
      </c>
    </row>
    <row r="1566" spans="1:1" ht="15" x14ac:dyDescent="0.25">
      <c r="A1566" s="12" t="s">
        <v>1600</v>
      </c>
    </row>
    <row r="1567" spans="1:1" ht="15" x14ac:dyDescent="0.25">
      <c r="A1567" s="12" t="s">
        <v>1601</v>
      </c>
    </row>
    <row r="1568" spans="1:1" ht="15" x14ac:dyDescent="0.25">
      <c r="A1568" s="12" t="s">
        <v>1602</v>
      </c>
    </row>
    <row r="1569" spans="1:1" ht="15" x14ac:dyDescent="0.25">
      <c r="A1569" s="12" t="s">
        <v>1603</v>
      </c>
    </row>
    <row r="1570" spans="1:1" ht="15" x14ac:dyDescent="0.25">
      <c r="A1570" s="12" t="s">
        <v>1604</v>
      </c>
    </row>
    <row r="1571" spans="1:1" ht="15" x14ac:dyDescent="0.25">
      <c r="A1571" s="12" t="s">
        <v>1605</v>
      </c>
    </row>
    <row r="1572" spans="1:1" ht="15" x14ac:dyDescent="0.25">
      <c r="A1572" s="12" t="s">
        <v>1606</v>
      </c>
    </row>
    <row r="1573" spans="1:1" ht="15" x14ac:dyDescent="0.25">
      <c r="A1573" s="12" t="s">
        <v>1607</v>
      </c>
    </row>
    <row r="1574" spans="1:1" ht="15" x14ac:dyDescent="0.25">
      <c r="A1574" s="12" t="s">
        <v>1608</v>
      </c>
    </row>
    <row r="1575" spans="1:1" ht="15" x14ac:dyDescent="0.25">
      <c r="A1575" s="12" t="s">
        <v>1609</v>
      </c>
    </row>
    <row r="1576" spans="1:1" ht="15" x14ac:dyDescent="0.25">
      <c r="A1576" s="12" t="s">
        <v>1610</v>
      </c>
    </row>
    <row r="1577" spans="1:1" ht="15" x14ac:dyDescent="0.25">
      <c r="A1577" s="12" t="s">
        <v>1611</v>
      </c>
    </row>
    <row r="1578" spans="1:1" ht="15" x14ac:dyDescent="0.25">
      <c r="A1578" s="12" t="s">
        <v>1612</v>
      </c>
    </row>
    <row r="1579" spans="1:1" ht="15" x14ac:dyDescent="0.25">
      <c r="A1579" s="12" t="s">
        <v>1613</v>
      </c>
    </row>
    <row r="1580" spans="1:1" ht="15" x14ac:dyDescent="0.25">
      <c r="A1580" s="12" t="s">
        <v>1614</v>
      </c>
    </row>
    <row r="1581" spans="1:1" ht="15" x14ac:dyDescent="0.25">
      <c r="A1581" s="12" t="s">
        <v>1615</v>
      </c>
    </row>
    <row r="1582" spans="1:1" ht="15" x14ac:dyDescent="0.25">
      <c r="A1582" s="12" t="s">
        <v>1616</v>
      </c>
    </row>
    <row r="1583" spans="1:1" ht="15" x14ac:dyDescent="0.25">
      <c r="A1583" s="12" t="s">
        <v>1617</v>
      </c>
    </row>
    <row r="1584" spans="1:1" ht="15" x14ac:dyDescent="0.25">
      <c r="A1584" s="12" t="s">
        <v>1618</v>
      </c>
    </row>
    <row r="1585" spans="1:1" ht="15" x14ac:dyDescent="0.25">
      <c r="A1585" s="12" t="s">
        <v>1619</v>
      </c>
    </row>
    <row r="1586" spans="1:1" ht="15" x14ac:dyDescent="0.25">
      <c r="A1586" s="12" t="s">
        <v>1620</v>
      </c>
    </row>
    <row r="1587" spans="1:1" ht="15" x14ac:dyDescent="0.25">
      <c r="A1587" s="12" t="s">
        <v>1621</v>
      </c>
    </row>
    <row r="1588" spans="1:1" ht="15" x14ac:dyDescent="0.25">
      <c r="A1588" s="12" t="s">
        <v>1622</v>
      </c>
    </row>
    <row r="1589" spans="1:1" ht="15" x14ac:dyDescent="0.25">
      <c r="A1589" s="12" t="s">
        <v>1623</v>
      </c>
    </row>
    <row r="1590" spans="1:1" ht="15" x14ac:dyDescent="0.25">
      <c r="A1590" s="12" t="s">
        <v>1624</v>
      </c>
    </row>
    <row r="1591" spans="1:1" ht="15" x14ac:dyDescent="0.25">
      <c r="A1591" s="12" t="s">
        <v>1625</v>
      </c>
    </row>
    <row r="1592" spans="1:1" ht="15" x14ac:dyDescent="0.25">
      <c r="A1592" s="12" t="s">
        <v>1625</v>
      </c>
    </row>
    <row r="1593" spans="1:1" ht="15" x14ac:dyDescent="0.25">
      <c r="A1593" s="12" t="s">
        <v>1626</v>
      </c>
    </row>
    <row r="1594" spans="1:1" ht="15" x14ac:dyDescent="0.25">
      <c r="A1594" s="12" t="s">
        <v>1627</v>
      </c>
    </row>
    <row r="1595" spans="1:1" ht="15" x14ac:dyDescent="0.25">
      <c r="A1595" s="12" t="s">
        <v>1628</v>
      </c>
    </row>
    <row r="1596" spans="1:1" ht="15" x14ac:dyDescent="0.25">
      <c r="A1596" s="12" t="s">
        <v>1629</v>
      </c>
    </row>
    <row r="1597" spans="1:1" ht="15" x14ac:dyDescent="0.25">
      <c r="A1597" s="12" t="s">
        <v>1630</v>
      </c>
    </row>
    <row r="1598" spans="1:1" ht="15" x14ac:dyDescent="0.25">
      <c r="A1598" s="12" t="s">
        <v>1631</v>
      </c>
    </row>
    <row r="1599" spans="1:1" ht="15" x14ac:dyDescent="0.25">
      <c r="A1599" s="12" t="s">
        <v>1632</v>
      </c>
    </row>
    <row r="1600" spans="1:1" ht="15" x14ac:dyDescent="0.25">
      <c r="A1600" s="12" t="s">
        <v>1633</v>
      </c>
    </row>
    <row r="1601" spans="1:1" ht="15" x14ac:dyDescent="0.25">
      <c r="A1601" s="12" t="s">
        <v>1634</v>
      </c>
    </row>
    <row r="1602" spans="1:1" ht="15" x14ac:dyDescent="0.25">
      <c r="A1602" s="12" t="s">
        <v>1635</v>
      </c>
    </row>
    <row r="1603" spans="1:1" ht="15" x14ac:dyDescent="0.25">
      <c r="A1603" s="12" t="s">
        <v>1636</v>
      </c>
    </row>
    <row r="1604" spans="1:1" ht="15" x14ac:dyDescent="0.25">
      <c r="A1604" s="12" t="s">
        <v>1637</v>
      </c>
    </row>
    <row r="1605" spans="1:1" ht="15" x14ac:dyDescent="0.25">
      <c r="A1605" s="12" t="s">
        <v>1638</v>
      </c>
    </row>
    <row r="1606" spans="1:1" ht="15" x14ac:dyDescent="0.25">
      <c r="A1606" s="12" t="s">
        <v>1639</v>
      </c>
    </row>
    <row r="1607" spans="1:1" ht="15" x14ac:dyDescent="0.25">
      <c r="A1607" s="12" t="s">
        <v>1640</v>
      </c>
    </row>
    <row r="1608" spans="1:1" ht="15" x14ac:dyDescent="0.25">
      <c r="A1608" s="12" t="s">
        <v>1641</v>
      </c>
    </row>
    <row r="1609" spans="1:1" ht="15" x14ac:dyDescent="0.25">
      <c r="A1609" s="12" t="s">
        <v>1642</v>
      </c>
    </row>
    <row r="1610" spans="1:1" ht="15" x14ac:dyDescent="0.25">
      <c r="A1610" s="12" t="s">
        <v>1643</v>
      </c>
    </row>
    <row r="1611" spans="1:1" ht="15" x14ac:dyDescent="0.25">
      <c r="A1611" s="12" t="s">
        <v>1644</v>
      </c>
    </row>
    <row r="1612" spans="1:1" ht="15" x14ac:dyDescent="0.25">
      <c r="A1612" s="12" t="s">
        <v>1645</v>
      </c>
    </row>
    <row r="1613" spans="1:1" ht="15" x14ac:dyDescent="0.25">
      <c r="A1613" s="12" t="s">
        <v>1646</v>
      </c>
    </row>
    <row r="1614" spans="1:1" ht="15" x14ac:dyDescent="0.25">
      <c r="A1614" s="12" t="s">
        <v>1647</v>
      </c>
    </row>
    <row r="1615" spans="1:1" ht="15" x14ac:dyDescent="0.25">
      <c r="A1615" s="12" t="s">
        <v>1648</v>
      </c>
    </row>
    <row r="1616" spans="1:1" ht="15" x14ac:dyDescent="0.25">
      <c r="A1616" s="12" t="s">
        <v>1649</v>
      </c>
    </row>
    <row r="1617" spans="1:1" ht="15" x14ac:dyDescent="0.25">
      <c r="A1617" s="12" t="s">
        <v>1650</v>
      </c>
    </row>
    <row r="1618" spans="1:1" ht="15" x14ac:dyDescent="0.25">
      <c r="A1618" s="12" t="s">
        <v>1651</v>
      </c>
    </row>
    <row r="1619" spans="1:1" ht="15" x14ac:dyDescent="0.25">
      <c r="A1619" s="12" t="s">
        <v>1652</v>
      </c>
    </row>
    <row r="1620" spans="1:1" ht="15" x14ac:dyDescent="0.25">
      <c r="A1620" s="12" t="s">
        <v>1653</v>
      </c>
    </row>
    <row r="1621" spans="1:1" ht="15" x14ac:dyDescent="0.25">
      <c r="A1621" s="12" t="s">
        <v>1654</v>
      </c>
    </row>
    <row r="1622" spans="1:1" ht="15" x14ac:dyDescent="0.25">
      <c r="A1622" s="12" t="s">
        <v>1655</v>
      </c>
    </row>
    <row r="1623" spans="1:1" ht="15" x14ac:dyDescent="0.25">
      <c r="A1623" s="12" t="s">
        <v>1656</v>
      </c>
    </row>
    <row r="1624" spans="1:1" ht="15" x14ac:dyDescent="0.25">
      <c r="A1624" s="12" t="s">
        <v>1657</v>
      </c>
    </row>
    <row r="1625" spans="1:1" ht="15" x14ac:dyDescent="0.25">
      <c r="A1625" s="12" t="s">
        <v>1658</v>
      </c>
    </row>
    <row r="1626" spans="1:1" ht="15" x14ac:dyDescent="0.25">
      <c r="A1626" s="12" t="s">
        <v>1659</v>
      </c>
    </row>
    <row r="1627" spans="1:1" ht="15" x14ac:dyDescent="0.25">
      <c r="A1627" s="12" t="s">
        <v>1660</v>
      </c>
    </row>
    <row r="1628" spans="1:1" ht="15" x14ac:dyDescent="0.25">
      <c r="A1628" s="12" t="s">
        <v>1661</v>
      </c>
    </row>
    <row r="1629" spans="1:1" ht="15" x14ac:dyDescent="0.25">
      <c r="A1629" s="12" t="s">
        <v>1662</v>
      </c>
    </row>
    <row r="1630" spans="1:1" ht="15" x14ac:dyDescent="0.25">
      <c r="A1630" s="12" t="s">
        <v>1663</v>
      </c>
    </row>
    <row r="1631" spans="1:1" ht="15" x14ac:dyDescent="0.25">
      <c r="A1631" s="12" t="s">
        <v>1664</v>
      </c>
    </row>
    <row r="1632" spans="1:1" ht="15" x14ac:dyDescent="0.25">
      <c r="A1632" s="12" t="s">
        <v>1665</v>
      </c>
    </row>
    <row r="1633" spans="1:1" ht="15" x14ac:dyDescent="0.25">
      <c r="A1633" s="12" t="s">
        <v>1666</v>
      </c>
    </row>
    <row r="1634" spans="1:1" ht="15" x14ac:dyDescent="0.25">
      <c r="A1634" s="12" t="s">
        <v>1667</v>
      </c>
    </row>
    <row r="1635" spans="1:1" ht="15" x14ac:dyDescent="0.25">
      <c r="A1635" s="12" t="s">
        <v>1668</v>
      </c>
    </row>
    <row r="1636" spans="1:1" ht="15" x14ac:dyDescent="0.25">
      <c r="A1636" s="12" t="s">
        <v>1669</v>
      </c>
    </row>
    <row r="1637" spans="1:1" ht="15" x14ac:dyDescent="0.25">
      <c r="A1637" s="12" t="s">
        <v>1670</v>
      </c>
    </row>
    <row r="1638" spans="1:1" ht="15" x14ac:dyDescent="0.25">
      <c r="A1638" s="12" t="s">
        <v>1671</v>
      </c>
    </row>
    <row r="1639" spans="1:1" ht="15" x14ac:dyDescent="0.25">
      <c r="A1639" s="12" t="s">
        <v>1672</v>
      </c>
    </row>
    <row r="1640" spans="1:1" ht="15" x14ac:dyDescent="0.25">
      <c r="A1640" s="12" t="s">
        <v>1673</v>
      </c>
    </row>
    <row r="1641" spans="1:1" ht="15" x14ac:dyDescent="0.25">
      <c r="A1641" s="12" t="s">
        <v>1674</v>
      </c>
    </row>
    <row r="1642" spans="1:1" ht="15" x14ac:dyDescent="0.25">
      <c r="A1642" s="12" t="s">
        <v>1675</v>
      </c>
    </row>
    <row r="1643" spans="1:1" ht="15" x14ac:dyDescent="0.25">
      <c r="A1643" s="12" t="s">
        <v>1676</v>
      </c>
    </row>
    <row r="1644" spans="1:1" ht="15" x14ac:dyDescent="0.25">
      <c r="A1644" s="12" t="s">
        <v>1677</v>
      </c>
    </row>
    <row r="1645" spans="1:1" ht="15" x14ac:dyDescent="0.25">
      <c r="A1645" s="12" t="s">
        <v>1678</v>
      </c>
    </row>
    <row r="1646" spans="1:1" ht="15" x14ac:dyDescent="0.25">
      <c r="A1646" s="12" t="s">
        <v>1679</v>
      </c>
    </row>
    <row r="1647" spans="1:1" ht="15" x14ac:dyDescent="0.25">
      <c r="A1647" s="12" t="s">
        <v>1680</v>
      </c>
    </row>
    <row r="1648" spans="1:1" ht="15" x14ac:dyDescent="0.25">
      <c r="A1648" s="12" t="s">
        <v>1681</v>
      </c>
    </row>
    <row r="1649" spans="1:1" ht="15" x14ac:dyDescent="0.25">
      <c r="A1649" s="12" t="s">
        <v>1682</v>
      </c>
    </row>
    <row r="1650" spans="1:1" ht="15" x14ac:dyDescent="0.25">
      <c r="A1650" s="12" t="s">
        <v>1683</v>
      </c>
    </row>
    <row r="1651" spans="1:1" ht="15" x14ac:dyDescent="0.25">
      <c r="A1651" s="12" t="s">
        <v>1684</v>
      </c>
    </row>
    <row r="1652" spans="1:1" ht="15" x14ac:dyDescent="0.25">
      <c r="A1652" s="12" t="s">
        <v>1685</v>
      </c>
    </row>
    <row r="1653" spans="1:1" ht="15" x14ac:dyDescent="0.25">
      <c r="A1653" s="12" t="s">
        <v>1686</v>
      </c>
    </row>
    <row r="1654" spans="1:1" ht="15" x14ac:dyDescent="0.25">
      <c r="A1654" s="12" t="s">
        <v>1687</v>
      </c>
    </row>
    <row r="1655" spans="1:1" ht="15" x14ac:dyDescent="0.25">
      <c r="A1655" s="12" t="s">
        <v>1688</v>
      </c>
    </row>
    <row r="1656" spans="1:1" ht="15" x14ac:dyDescent="0.25">
      <c r="A1656" s="12" t="s">
        <v>1689</v>
      </c>
    </row>
    <row r="1657" spans="1:1" ht="15" x14ac:dyDescent="0.25">
      <c r="A1657" s="12" t="s">
        <v>1690</v>
      </c>
    </row>
    <row r="1658" spans="1:1" ht="15" x14ac:dyDescent="0.25">
      <c r="A1658" s="12" t="s">
        <v>1691</v>
      </c>
    </row>
    <row r="1659" spans="1:1" ht="15" x14ac:dyDescent="0.25">
      <c r="A1659" s="12" t="s">
        <v>1692</v>
      </c>
    </row>
    <row r="1660" spans="1:1" ht="15" x14ac:dyDescent="0.25">
      <c r="A1660" s="12" t="s">
        <v>1693</v>
      </c>
    </row>
    <row r="1661" spans="1:1" ht="15" x14ac:dyDescent="0.25">
      <c r="A1661" s="12" t="s">
        <v>1694</v>
      </c>
    </row>
    <row r="1662" spans="1:1" ht="15" x14ac:dyDescent="0.25">
      <c r="A1662" s="12" t="s">
        <v>1695</v>
      </c>
    </row>
    <row r="1663" spans="1:1" ht="15" x14ac:dyDescent="0.25">
      <c r="A1663" s="12" t="s">
        <v>1696</v>
      </c>
    </row>
    <row r="1664" spans="1:1" ht="15" x14ac:dyDescent="0.25">
      <c r="A1664" s="12" t="s">
        <v>1697</v>
      </c>
    </row>
    <row r="1665" spans="1:1" ht="15" x14ac:dyDescent="0.25">
      <c r="A1665" s="12" t="s">
        <v>1698</v>
      </c>
    </row>
    <row r="1666" spans="1:1" ht="15" x14ac:dyDescent="0.25">
      <c r="A1666" s="12" t="s">
        <v>1699</v>
      </c>
    </row>
    <row r="1667" spans="1:1" ht="15" x14ac:dyDescent="0.25">
      <c r="A1667" s="12" t="s">
        <v>1700</v>
      </c>
    </row>
    <row r="1668" spans="1:1" ht="15" x14ac:dyDescent="0.25">
      <c r="A1668" s="12" t="s">
        <v>1701</v>
      </c>
    </row>
    <row r="1669" spans="1:1" ht="15" x14ac:dyDescent="0.25">
      <c r="A1669" s="12" t="s">
        <v>1702</v>
      </c>
    </row>
    <row r="1670" spans="1:1" ht="15" x14ac:dyDescent="0.25">
      <c r="A1670" s="12" t="s">
        <v>1703</v>
      </c>
    </row>
    <row r="1671" spans="1:1" ht="15" x14ac:dyDescent="0.25">
      <c r="A1671" s="12" t="s">
        <v>1704</v>
      </c>
    </row>
    <row r="1672" spans="1:1" ht="15" x14ac:dyDescent="0.25">
      <c r="A1672" s="12" t="s">
        <v>1705</v>
      </c>
    </row>
    <row r="1673" spans="1:1" ht="15" x14ac:dyDescent="0.25">
      <c r="A1673" s="12" t="s">
        <v>1706</v>
      </c>
    </row>
    <row r="1674" spans="1:1" ht="15" x14ac:dyDescent="0.25">
      <c r="A1674" s="12" t="s">
        <v>1707</v>
      </c>
    </row>
    <row r="1675" spans="1:1" ht="15" x14ac:dyDescent="0.25">
      <c r="A1675" s="12" t="s">
        <v>1708</v>
      </c>
    </row>
    <row r="1676" spans="1:1" ht="15" x14ac:dyDescent="0.25">
      <c r="A1676" s="12" t="s">
        <v>1709</v>
      </c>
    </row>
    <row r="1677" spans="1:1" ht="15" x14ac:dyDescent="0.25">
      <c r="A1677" s="12" t="s">
        <v>1710</v>
      </c>
    </row>
    <row r="1678" spans="1:1" ht="15" x14ac:dyDescent="0.25">
      <c r="A1678" s="12" t="s">
        <v>1711</v>
      </c>
    </row>
    <row r="1679" spans="1:1" ht="15" x14ac:dyDescent="0.25">
      <c r="A1679" s="12" t="s">
        <v>1712</v>
      </c>
    </row>
    <row r="1680" spans="1:1" ht="15" x14ac:dyDescent="0.25">
      <c r="A1680" s="12" t="s">
        <v>1713</v>
      </c>
    </row>
    <row r="1681" spans="1:1" ht="15" x14ac:dyDescent="0.25">
      <c r="A1681" s="12" t="s">
        <v>1714</v>
      </c>
    </row>
    <row r="1682" spans="1:1" ht="15" x14ac:dyDescent="0.25">
      <c r="A1682" s="12" t="s">
        <v>1715</v>
      </c>
    </row>
    <row r="1683" spans="1:1" ht="15" x14ac:dyDescent="0.25">
      <c r="A1683" s="12" t="s">
        <v>1716</v>
      </c>
    </row>
    <row r="1684" spans="1:1" ht="15" x14ac:dyDescent="0.25">
      <c r="A1684" s="12" t="s">
        <v>1717</v>
      </c>
    </row>
    <row r="1685" spans="1:1" ht="15" x14ac:dyDescent="0.25">
      <c r="A1685" s="12" t="s">
        <v>1718</v>
      </c>
    </row>
    <row r="1686" spans="1:1" ht="15" x14ac:dyDescent="0.25">
      <c r="A1686" s="12" t="s">
        <v>1719</v>
      </c>
    </row>
    <row r="1687" spans="1:1" ht="15" x14ac:dyDescent="0.25">
      <c r="A1687" s="12" t="s">
        <v>1720</v>
      </c>
    </row>
    <row r="1688" spans="1:1" ht="15" x14ac:dyDescent="0.25">
      <c r="A1688" s="12" t="s">
        <v>1721</v>
      </c>
    </row>
    <row r="1689" spans="1:1" ht="15" x14ac:dyDescent="0.25">
      <c r="A1689" s="12" t="s">
        <v>1722</v>
      </c>
    </row>
    <row r="1690" spans="1:1" ht="15" x14ac:dyDescent="0.25">
      <c r="A1690" s="12" t="s">
        <v>1723</v>
      </c>
    </row>
    <row r="1691" spans="1:1" ht="15" x14ac:dyDescent="0.25">
      <c r="A1691" s="12" t="s">
        <v>1724</v>
      </c>
    </row>
    <row r="1692" spans="1:1" ht="15" x14ac:dyDescent="0.25">
      <c r="A1692" s="12" t="s">
        <v>1725</v>
      </c>
    </row>
    <row r="1693" spans="1:1" ht="15" x14ac:dyDescent="0.25">
      <c r="A1693" s="12" t="s">
        <v>1726</v>
      </c>
    </row>
    <row r="1694" spans="1:1" ht="15" x14ac:dyDescent="0.25">
      <c r="A1694" s="12" t="s">
        <v>1727</v>
      </c>
    </row>
    <row r="1695" spans="1:1" ht="15" x14ac:dyDescent="0.25">
      <c r="A1695" s="12" t="s">
        <v>1728</v>
      </c>
    </row>
    <row r="1696" spans="1:1" ht="15" x14ac:dyDescent="0.25">
      <c r="A1696" s="12" t="s">
        <v>1729</v>
      </c>
    </row>
    <row r="1697" spans="1:1" ht="15" x14ac:dyDescent="0.25">
      <c r="A1697" s="12" t="s">
        <v>1730</v>
      </c>
    </row>
    <row r="1698" spans="1:1" ht="15" x14ac:dyDescent="0.25">
      <c r="A1698" s="12" t="s">
        <v>1731</v>
      </c>
    </row>
    <row r="1699" spans="1:1" ht="15" x14ac:dyDescent="0.25">
      <c r="A1699" s="12" t="s">
        <v>1732</v>
      </c>
    </row>
    <row r="1700" spans="1:1" ht="15" x14ac:dyDescent="0.25">
      <c r="A1700" s="12" t="s">
        <v>1733</v>
      </c>
    </row>
    <row r="1701" spans="1:1" ht="15" x14ac:dyDescent="0.25">
      <c r="A1701" s="12" t="s">
        <v>1734</v>
      </c>
    </row>
    <row r="1702" spans="1:1" ht="15" x14ac:dyDescent="0.25">
      <c r="A1702" s="12" t="s">
        <v>1735</v>
      </c>
    </row>
    <row r="1703" spans="1:1" ht="15" x14ac:dyDescent="0.25">
      <c r="A1703" s="12" t="s">
        <v>1736</v>
      </c>
    </row>
    <row r="1704" spans="1:1" ht="15" x14ac:dyDescent="0.25">
      <c r="A1704" s="12" t="s">
        <v>1737</v>
      </c>
    </row>
    <row r="1705" spans="1:1" ht="15" x14ac:dyDescent="0.25">
      <c r="A1705" s="12" t="s">
        <v>1738</v>
      </c>
    </row>
    <row r="1706" spans="1:1" ht="15" x14ac:dyDescent="0.25">
      <c r="A1706" s="12" t="s">
        <v>1739</v>
      </c>
    </row>
    <row r="1707" spans="1:1" ht="15" x14ac:dyDescent="0.25">
      <c r="A1707" s="12" t="s">
        <v>1740</v>
      </c>
    </row>
    <row r="1708" spans="1:1" ht="15" x14ac:dyDescent="0.25">
      <c r="A1708" s="12" t="s">
        <v>1741</v>
      </c>
    </row>
    <row r="1709" spans="1:1" ht="15" x14ac:dyDescent="0.25">
      <c r="A1709" s="12" t="s">
        <v>1742</v>
      </c>
    </row>
    <row r="1710" spans="1:1" ht="15" x14ac:dyDescent="0.25">
      <c r="A1710" s="12" t="s">
        <v>1743</v>
      </c>
    </row>
    <row r="1711" spans="1:1" ht="15" x14ac:dyDescent="0.25">
      <c r="A1711" s="12" t="s">
        <v>1744</v>
      </c>
    </row>
    <row r="1712" spans="1:1" ht="15" x14ac:dyDescent="0.25">
      <c r="A1712" s="12" t="s">
        <v>1745</v>
      </c>
    </row>
    <row r="1713" spans="1:1" ht="15" x14ac:dyDescent="0.25">
      <c r="A1713" s="12" t="s">
        <v>1746</v>
      </c>
    </row>
    <row r="1714" spans="1:1" ht="15" x14ac:dyDescent="0.25">
      <c r="A1714" s="12" t="s">
        <v>1747</v>
      </c>
    </row>
    <row r="1715" spans="1:1" ht="15" x14ac:dyDescent="0.25">
      <c r="A1715" s="12" t="s">
        <v>1748</v>
      </c>
    </row>
    <row r="1716" spans="1:1" ht="15" x14ac:dyDescent="0.25">
      <c r="A1716" s="12" t="s">
        <v>1749</v>
      </c>
    </row>
    <row r="1717" spans="1:1" ht="15" x14ac:dyDescent="0.25">
      <c r="A1717" s="12" t="s">
        <v>1750</v>
      </c>
    </row>
    <row r="1718" spans="1:1" ht="15" x14ac:dyDescent="0.25">
      <c r="A1718" s="12" t="s">
        <v>1751</v>
      </c>
    </row>
    <row r="1719" spans="1:1" ht="15" x14ac:dyDescent="0.25">
      <c r="A1719" s="12" t="s">
        <v>1752</v>
      </c>
    </row>
    <row r="1720" spans="1:1" ht="15" x14ac:dyDescent="0.25">
      <c r="A1720" s="12" t="s">
        <v>1753</v>
      </c>
    </row>
    <row r="1721" spans="1:1" ht="15" x14ac:dyDescent="0.25">
      <c r="A1721" s="12" t="s">
        <v>1754</v>
      </c>
    </row>
    <row r="1722" spans="1:1" ht="15" x14ac:dyDescent="0.25">
      <c r="A1722" s="12" t="s">
        <v>1755</v>
      </c>
    </row>
    <row r="1723" spans="1:1" ht="15" x14ac:dyDescent="0.25">
      <c r="A1723" s="12" t="s">
        <v>1756</v>
      </c>
    </row>
    <row r="1724" spans="1:1" ht="15" x14ac:dyDescent="0.25">
      <c r="A1724" s="12" t="s">
        <v>1757</v>
      </c>
    </row>
    <row r="1725" spans="1:1" ht="15" x14ac:dyDescent="0.25">
      <c r="A1725" s="12" t="s">
        <v>1758</v>
      </c>
    </row>
    <row r="1726" spans="1:1" ht="15" x14ac:dyDescent="0.25">
      <c r="A1726" s="12" t="s">
        <v>1759</v>
      </c>
    </row>
    <row r="1727" spans="1:1" ht="15" x14ac:dyDescent="0.25">
      <c r="A1727" s="12" t="s">
        <v>1760</v>
      </c>
    </row>
    <row r="1728" spans="1:1" ht="15" x14ac:dyDescent="0.25">
      <c r="A1728" s="12" t="s">
        <v>1761</v>
      </c>
    </row>
    <row r="1729" spans="1:1" ht="15" x14ac:dyDescent="0.25">
      <c r="A1729" s="12" t="s">
        <v>1762</v>
      </c>
    </row>
    <row r="1730" spans="1:1" ht="15" x14ac:dyDescent="0.25">
      <c r="A1730" s="12" t="s">
        <v>1763</v>
      </c>
    </row>
    <row r="1731" spans="1:1" ht="15" x14ac:dyDescent="0.25">
      <c r="A1731" s="12" t="s">
        <v>1764</v>
      </c>
    </row>
    <row r="1732" spans="1:1" ht="15" x14ac:dyDescent="0.25">
      <c r="A1732" s="12" t="s">
        <v>1765</v>
      </c>
    </row>
    <row r="1733" spans="1:1" ht="15" x14ac:dyDescent="0.25">
      <c r="A1733" s="12" t="s">
        <v>1766</v>
      </c>
    </row>
    <row r="1734" spans="1:1" ht="15" x14ac:dyDescent="0.25">
      <c r="A1734" s="12" t="s">
        <v>1767</v>
      </c>
    </row>
    <row r="1735" spans="1:1" ht="15" x14ac:dyDescent="0.25">
      <c r="A1735" s="12" t="s">
        <v>1768</v>
      </c>
    </row>
    <row r="1736" spans="1:1" ht="15" x14ac:dyDescent="0.25">
      <c r="A1736" s="12" t="s">
        <v>1769</v>
      </c>
    </row>
    <row r="1737" spans="1:1" ht="15" x14ac:dyDescent="0.25">
      <c r="A1737" s="12" t="s">
        <v>1770</v>
      </c>
    </row>
    <row r="1738" spans="1:1" ht="15" x14ac:dyDescent="0.25">
      <c r="A1738" s="12" t="s">
        <v>1771</v>
      </c>
    </row>
    <row r="1739" spans="1:1" ht="15" x14ac:dyDescent="0.25">
      <c r="A1739" s="12" t="s">
        <v>1772</v>
      </c>
    </row>
    <row r="1740" spans="1:1" ht="15" x14ac:dyDescent="0.25">
      <c r="A1740" s="12" t="s">
        <v>1773</v>
      </c>
    </row>
    <row r="1741" spans="1:1" ht="15" x14ac:dyDescent="0.25">
      <c r="A1741" s="12" t="s">
        <v>1774</v>
      </c>
    </row>
    <row r="1742" spans="1:1" ht="15" x14ac:dyDescent="0.25">
      <c r="A1742" s="12" t="s">
        <v>1775</v>
      </c>
    </row>
    <row r="1743" spans="1:1" ht="15" x14ac:dyDescent="0.25">
      <c r="A1743" s="12" t="s">
        <v>1776</v>
      </c>
    </row>
    <row r="1744" spans="1:1" ht="15" x14ac:dyDescent="0.25">
      <c r="A1744" s="12" t="s">
        <v>1777</v>
      </c>
    </row>
    <row r="1745" spans="1:1" ht="15" x14ac:dyDescent="0.25">
      <c r="A1745" s="12" t="s">
        <v>1778</v>
      </c>
    </row>
    <row r="1746" spans="1:1" ht="15" x14ac:dyDescent="0.25">
      <c r="A1746" s="12" t="s">
        <v>1779</v>
      </c>
    </row>
    <row r="1747" spans="1:1" ht="15" x14ac:dyDescent="0.25">
      <c r="A1747" s="12" t="s">
        <v>1780</v>
      </c>
    </row>
    <row r="1748" spans="1:1" ht="15" x14ac:dyDescent="0.25">
      <c r="A1748" s="12" t="s">
        <v>1781</v>
      </c>
    </row>
    <row r="1749" spans="1:1" ht="15" x14ac:dyDescent="0.25">
      <c r="A1749" s="12" t="s">
        <v>1782</v>
      </c>
    </row>
    <row r="1750" spans="1:1" ht="15" x14ac:dyDescent="0.25">
      <c r="A1750" s="12" t="s">
        <v>1783</v>
      </c>
    </row>
    <row r="1751" spans="1:1" ht="15" x14ac:dyDescent="0.25">
      <c r="A1751" s="12" t="s">
        <v>1784</v>
      </c>
    </row>
    <row r="1752" spans="1:1" ht="15" x14ac:dyDescent="0.25">
      <c r="A1752" s="12" t="s">
        <v>1785</v>
      </c>
    </row>
    <row r="1753" spans="1:1" ht="15" x14ac:dyDescent="0.25">
      <c r="A1753" s="12" t="s">
        <v>1786</v>
      </c>
    </row>
    <row r="1754" spans="1:1" ht="15" x14ac:dyDescent="0.25">
      <c r="A1754" s="12" t="s">
        <v>1787</v>
      </c>
    </row>
    <row r="1755" spans="1:1" ht="15" x14ac:dyDescent="0.25">
      <c r="A1755" s="12" t="s">
        <v>1788</v>
      </c>
    </row>
    <row r="1756" spans="1:1" ht="15" x14ac:dyDescent="0.25">
      <c r="A1756" s="12" t="s">
        <v>1789</v>
      </c>
    </row>
    <row r="1757" spans="1:1" ht="15" x14ac:dyDescent="0.25">
      <c r="A1757" s="12" t="s">
        <v>1790</v>
      </c>
    </row>
    <row r="1758" spans="1:1" ht="15" x14ac:dyDescent="0.25">
      <c r="A1758" s="12" t="s">
        <v>1791</v>
      </c>
    </row>
    <row r="1759" spans="1:1" ht="15" x14ac:dyDescent="0.25">
      <c r="A1759" s="12" t="s">
        <v>1792</v>
      </c>
    </row>
    <row r="1760" spans="1:1" ht="15" x14ac:dyDescent="0.25">
      <c r="A1760" s="12" t="s">
        <v>1793</v>
      </c>
    </row>
    <row r="1761" spans="1:1" ht="15" x14ac:dyDescent="0.25">
      <c r="A1761" s="12" t="s">
        <v>1794</v>
      </c>
    </row>
    <row r="1762" spans="1:1" ht="15" x14ac:dyDescent="0.25">
      <c r="A1762" s="12" t="s">
        <v>1795</v>
      </c>
    </row>
    <row r="1763" spans="1:1" ht="15" x14ac:dyDescent="0.25">
      <c r="A1763" s="12" t="s">
        <v>1796</v>
      </c>
    </row>
    <row r="1764" spans="1:1" ht="15" x14ac:dyDescent="0.25">
      <c r="A1764" s="12" t="s">
        <v>1797</v>
      </c>
    </row>
    <row r="1765" spans="1:1" ht="15" x14ac:dyDescent="0.25">
      <c r="A1765" s="12" t="s">
        <v>1798</v>
      </c>
    </row>
    <row r="1766" spans="1:1" ht="15" x14ac:dyDescent="0.25">
      <c r="A1766" s="12" t="s">
        <v>1799</v>
      </c>
    </row>
    <row r="1767" spans="1:1" ht="15" x14ac:dyDescent="0.25">
      <c r="A1767" s="12" t="s">
        <v>1800</v>
      </c>
    </row>
    <row r="1768" spans="1:1" ht="15" x14ac:dyDescent="0.25">
      <c r="A1768" s="12" t="s">
        <v>1801</v>
      </c>
    </row>
    <row r="1769" spans="1:1" ht="15" x14ac:dyDescent="0.25">
      <c r="A1769" s="12" t="s">
        <v>1802</v>
      </c>
    </row>
    <row r="1770" spans="1:1" ht="15" x14ac:dyDescent="0.25">
      <c r="A1770" s="12" t="s">
        <v>1803</v>
      </c>
    </row>
    <row r="1771" spans="1:1" ht="15" x14ac:dyDescent="0.25">
      <c r="A1771" s="12" t="s">
        <v>1804</v>
      </c>
    </row>
    <row r="1772" spans="1:1" ht="15" x14ac:dyDescent="0.25">
      <c r="A1772" s="12" t="s">
        <v>1805</v>
      </c>
    </row>
    <row r="1773" spans="1:1" ht="15" x14ac:dyDescent="0.25">
      <c r="A1773" s="12" t="s">
        <v>1806</v>
      </c>
    </row>
    <row r="1774" spans="1:1" ht="15" x14ac:dyDescent="0.25">
      <c r="A1774" s="12" t="s">
        <v>1807</v>
      </c>
    </row>
    <row r="1775" spans="1:1" ht="15" x14ac:dyDescent="0.25">
      <c r="A1775" s="12" t="s">
        <v>1808</v>
      </c>
    </row>
    <row r="1776" spans="1:1" ht="15" x14ac:dyDescent="0.25">
      <c r="A1776" s="12" t="s">
        <v>1809</v>
      </c>
    </row>
    <row r="1777" spans="1:1" ht="15" x14ac:dyDescent="0.25">
      <c r="A1777" s="12" t="s">
        <v>1810</v>
      </c>
    </row>
    <row r="1778" spans="1:1" ht="15" x14ac:dyDescent="0.25">
      <c r="A1778" s="12" t="s">
        <v>1811</v>
      </c>
    </row>
    <row r="1779" spans="1:1" ht="15" x14ac:dyDescent="0.25">
      <c r="A1779" s="12" t="s">
        <v>1812</v>
      </c>
    </row>
    <row r="1780" spans="1:1" ht="15" x14ac:dyDescent="0.25">
      <c r="A1780" s="12" t="s">
        <v>1813</v>
      </c>
    </row>
    <row r="1781" spans="1:1" ht="15" x14ac:dyDescent="0.25">
      <c r="A1781" s="12" t="s">
        <v>1814</v>
      </c>
    </row>
    <row r="1782" spans="1:1" ht="15" x14ac:dyDescent="0.25">
      <c r="A1782" s="12" t="s">
        <v>1815</v>
      </c>
    </row>
    <row r="1783" spans="1:1" ht="15" x14ac:dyDescent="0.25">
      <c r="A1783" s="12" t="s">
        <v>1816</v>
      </c>
    </row>
    <row r="1784" spans="1:1" ht="15" x14ac:dyDescent="0.25">
      <c r="A1784" s="12" t="s">
        <v>1817</v>
      </c>
    </row>
    <row r="1785" spans="1:1" ht="15" x14ac:dyDescent="0.25">
      <c r="A1785" s="12" t="s">
        <v>1818</v>
      </c>
    </row>
    <row r="1786" spans="1:1" ht="15" x14ac:dyDescent="0.25">
      <c r="A1786" s="12" t="s">
        <v>1819</v>
      </c>
    </row>
    <row r="1787" spans="1:1" ht="15" x14ac:dyDescent="0.25">
      <c r="A1787" s="12" t="s">
        <v>1820</v>
      </c>
    </row>
    <row r="1788" spans="1:1" ht="15" x14ac:dyDescent="0.25">
      <c r="A1788" s="12" t="s">
        <v>1821</v>
      </c>
    </row>
    <row r="1789" spans="1:1" ht="15" x14ac:dyDescent="0.25">
      <c r="A1789" s="12" t="s">
        <v>1822</v>
      </c>
    </row>
    <row r="1790" spans="1:1" ht="15" x14ac:dyDescent="0.25">
      <c r="A1790" s="12" t="s">
        <v>1823</v>
      </c>
    </row>
    <row r="1791" spans="1:1" ht="15" x14ac:dyDescent="0.25">
      <c r="A1791" s="12" t="s">
        <v>1824</v>
      </c>
    </row>
    <row r="1792" spans="1:1" ht="15" x14ac:dyDescent="0.25">
      <c r="A1792" s="12" t="s">
        <v>1825</v>
      </c>
    </row>
    <row r="1793" spans="1:1" ht="15" x14ac:dyDescent="0.25">
      <c r="A1793" s="12" t="s">
        <v>1826</v>
      </c>
    </row>
    <row r="1794" spans="1:1" ht="15" x14ac:dyDescent="0.25">
      <c r="A1794" s="12" t="s">
        <v>1827</v>
      </c>
    </row>
    <row r="1795" spans="1:1" ht="15" x14ac:dyDescent="0.25">
      <c r="A1795" s="12" t="s">
        <v>1828</v>
      </c>
    </row>
    <row r="1796" spans="1:1" ht="15" x14ac:dyDescent="0.25">
      <c r="A1796" s="12" t="s">
        <v>1829</v>
      </c>
    </row>
    <row r="1797" spans="1:1" ht="15" x14ac:dyDescent="0.25">
      <c r="A1797" s="12" t="s">
        <v>1830</v>
      </c>
    </row>
    <row r="1798" spans="1:1" ht="15" x14ac:dyDescent="0.25">
      <c r="A1798" s="12" t="s">
        <v>1831</v>
      </c>
    </row>
    <row r="1799" spans="1:1" ht="15" x14ac:dyDescent="0.25">
      <c r="A1799" s="12" t="s">
        <v>1832</v>
      </c>
    </row>
    <row r="1800" spans="1:1" ht="15" x14ac:dyDescent="0.25">
      <c r="A1800" s="12" t="s">
        <v>1833</v>
      </c>
    </row>
    <row r="1801" spans="1:1" ht="15" x14ac:dyDescent="0.25">
      <c r="A1801" s="12" t="s">
        <v>1834</v>
      </c>
    </row>
    <row r="1802" spans="1:1" ht="15" x14ac:dyDescent="0.25">
      <c r="A1802" s="12" t="s">
        <v>1835</v>
      </c>
    </row>
    <row r="1803" spans="1:1" ht="15" x14ac:dyDescent="0.25">
      <c r="A1803" s="12" t="s">
        <v>1836</v>
      </c>
    </row>
    <row r="1804" spans="1:1" ht="15" x14ac:dyDescent="0.25">
      <c r="A1804" s="12" t="s">
        <v>1837</v>
      </c>
    </row>
    <row r="1805" spans="1:1" ht="15" x14ac:dyDescent="0.25">
      <c r="A1805" s="12" t="s">
        <v>1838</v>
      </c>
    </row>
    <row r="1806" spans="1:1" ht="15" x14ac:dyDescent="0.25">
      <c r="A1806" s="12" t="s">
        <v>1839</v>
      </c>
    </row>
    <row r="1807" spans="1:1" ht="15" x14ac:dyDescent="0.25">
      <c r="A1807" s="12" t="s">
        <v>1840</v>
      </c>
    </row>
    <row r="1808" spans="1:1" ht="15" x14ac:dyDescent="0.25">
      <c r="A1808" s="12" t="s">
        <v>1841</v>
      </c>
    </row>
    <row r="1809" spans="1:1" ht="15" x14ac:dyDescent="0.25">
      <c r="A1809" s="12" t="s">
        <v>1842</v>
      </c>
    </row>
    <row r="1810" spans="1:1" ht="15" x14ac:dyDescent="0.25">
      <c r="A1810" s="12" t="s">
        <v>1843</v>
      </c>
    </row>
    <row r="1811" spans="1:1" ht="15" x14ac:dyDescent="0.25">
      <c r="A1811" s="12" t="s">
        <v>1844</v>
      </c>
    </row>
    <row r="1812" spans="1:1" ht="15" x14ac:dyDescent="0.25">
      <c r="A1812" s="12" t="s">
        <v>1845</v>
      </c>
    </row>
    <row r="1813" spans="1:1" ht="15" x14ac:dyDescent="0.25">
      <c r="A1813" s="12" t="s">
        <v>1846</v>
      </c>
    </row>
    <row r="1814" spans="1:1" ht="15" x14ac:dyDescent="0.25">
      <c r="A1814" s="12" t="s">
        <v>1847</v>
      </c>
    </row>
    <row r="1815" spans="1:1" ht="15" x14ac:dyDescent="0.25">
      <c r="A1815" s="12" t="s">
        <v>1848</v>
      </c>
    </row>
    <row r="1816" spans="1:1" ht="15" x14ac:dyDescent="0.25">
      <c r="A1816" s="12" t="s">
        <v>1849</v>
      </c>
    </row>
    <row r="1817" spans="1:1" ht="15" x14ac:dyDescent="0.25">
      <c r="A1817" s="12" t="s">
        <v>1850</v>
      </c>
    </row>
    <row r="1818" spans="1:1" ht="15" x14ac:dyDescent="0.25">
      <c r="A1818" s="12" t="s">
        <v>1851</v>
      </c>
    </row>
    <row r="1819" spans="1:1" ht="15" x14ac:dyDescent="0.25">
      <c r="A1819" s="12" t="s">
        <v>1852</v>
      </c>
    </row>
    <row r="1820" spans="1:1" ht="15" x14ac:dyDescent="0.25">
      <c r="A1820" s="12" t="s">
        <v>1853</v>
      </c>
    </row>
    <row r="1821" spans="1:1" ht="15" x14ac:dyDescent="0.25">
      <c r="A1821" s="12" t="s">
        <v>1854</v>
      </c>
    </row>
    <row r="1822" spans="1:1" ht="15" x14ac:dyDescent="0.25">
      <c r="A1822" s="12" t="s">
        <v>1855</v>
      </c>
    </row>
    <row r="1823" spans="1:1" ht="15" x14ac:dyDescent="0.25">
      <c r="A1823" s="12" t="s">
        <v>1856</v>
      </c>
    </row>
    <row r="1824" spans="1:1" ht="15" x14ac:dyDescent="0.25">
      <c r="A1824" s="12" t="s">
        <v>1857</v>
      </c>
    </row>
    <row r="1825" spans="1:1" ht="15" x14ac:dyDescent="0.25">
      <c r="A1825" s="12" t="s">
        <v>1858</v>
      </c>
    </row>
    <row r="1826" spans="1:1" ht="15" x14ac:dyDescent="0.25">
      <c r="A1826" s="12" t="s">
        <v>1859</v>
      </c>
    </row>
    <row r="1827" spans="1:1" ht="15" x14ac:dyDescent="0.25">
      <c r="A1827" s="12" t="s">
        <v>1860</v>
      </c>
    </row>
    <row r="1828" spans="1:1" ht="15" x14ac:dyDescent="0.25">
      <c r="A1828" s="12" t="s">
        <v>1861</v>
      </c>
    </row>
    <row r="1829" spans="1:1" ht="15" x14ac:dyDescent="0.25">
      <c r="A1829" s="12" t="s">
        <v>1862</v>
      </c>
    </row>
    <row r="1830" spans="1:1" ht="15" x14ac:dyDescent="0.25">
      <c r="A1830" s="12" t="s">
        <v>1863</v>
      </c>
    </row>
    <row r="1831" spans="1:1" ht="15" x14ac:dyDescent="0.25">
      <c r="A1831" s="12" t="s">
        <v>1864</v>
      </c>
    </row>
    <row r="1832" spans="1:1" ht="15" x14ac:dyDescent="0.25">
      <c r="A1832" s="12" t="s">
        <v>1865</v>
      </c>
    </row>
    <row r="1833" spans="1:1" ht="15" x14ac:dyDescent="0.25">
      <c r="A1833" s="12" t="s">
        <v>1866</v>
      </c>
    </row>
    <row r="1834" spans="1:1" ht="15" x14ac:dyDescent="0.25">
      <c r="A1834" s="12" t="s">
        <v>1867</v>
      </c>
    </row>
    <row r="1835" spans="1:1" ht="15" x14ac:dyDescent="0.25">
      <c r="A1835" s="12" t="s">
        <v>1868</v>
      </c>
    </row>
    <row r="1836" spans="1:1" ht="15" x14ac:dyDescent="0.25">
      <c r="A1836" s="12" t="s">
        <v>1869</v>
      </c>
    </row>
    <row r="1837" spans="1:1" ht="15" x14ac:dyDescent="0.25">
      <c r="A1837" s="12" t="s">
        <v>1870</v>
      </c>
    </row>
    <row r="1838" spans="1:1" ht="15" x14ac:dyDescent="0.25">
      <c r="A1838" s="12" t="s">
        <v>1871</v>
      </c>
    </row>
    <row r="1839" spans="1:1" ht="15" x14ac:dyDescent="0.25">
      <c r="A1839" s="12" t="s">
        <v>1872</v>
      </c>
    </row>
    <row r="1840" spans="1:1" ht="15" x14ac:dyDescent="0.25">
      <c r="A1840" s="12" t="s">
        <v>1873</v>
      </c>
    </row>
    <row r="1841" spans="1:1" ht="15" x14ac:dyDescent="0.25">
      <c r="A1841" s="12" t="s">
        <v>1874</v>
      </c>
    </row>
    <row r="1842" spans="1:1" ht="15" x14ac:dyDescent="0.25">
      <c r="A1842" s="12" t="s">
        <v>1875</v>
      </c>
    </row>
    <row r="1843" spans="1:1" ht="15" x14ac:dyDescent="0.25">
      <c r="A1843" s="12" t="s">
        <v>1876</v>
      </c>
    </row>
    <row r="1844" spans="1:1" ht="15" x14ac:dyDescent="0.25">
      <c r="A1844" s="12" t="s">
        <v>1877</v>
      </c>
    </row>
    <row r="1845" spans="1:1" ht="15" x14ac:dyDescent="0.25">
      <c r="A1845" s="12" t="s">
        <v>1878</v>
      </c>
    </row>
    <row r="1846" spans="1:1" ht="15" x14ac:dyDescent="0.25">
      <c r="A1846" s="12" t="s">
        <v>1879</v>
      </c>
    </row>
    <row r="1847" spans="1:1" ht="15" x14ac:dyDescent="0.25">
      <c r="A1847" s="12" t="s">
        <v>1880</v>
      </c>
    </row>
    <row r="1848" spans="1:1" ht="15" x14ac:dyDescent="0.25">
      <c r="A1848" s="12" t="s">
        <v>1881</v>
      </c>
    </row>
    <row r="1849" spans="1:1" ht="15" x14ac:dyDescent="0.25">
      <c r="A1849" s="12" t="s">
        <v>1882</v>
      </c>
    </row>
    <row r="1850" spans="1:1" ht="15" x14ac:dyDescent="0.25">
      <c r="A1850" s="12" t="s">
        <v>1883</v>
      </c>
    </row>
    <row r="1851" spans="1:1" ht="15" x14ac:dyDescent="0.25">
      <c r="A1851" s="12" t="s">
        <v>1884</v>
      </c>
    </row>
    <row r="1852" spans="1:1" ht="15" x14ac:dyDescent="0.25">
      <c r="A1852" s="12" t="s">
        <v>1885</v>
      </c>
    </row>
    <row r="1853" spans="1:1" ht="15" x14ac:dyDescent="0.25">
      <c r="A1853" s="12" t="s">
        <v>1886</v>
      </c>
    </row>
    <row r="1854" spans="1:1" ht="15" x14ac:dyDescent="0.25">
      <c r="A1854" s="12" t="s">
        <v>1887</v>
      </c>
    </row>
    <row r="1855" spans="1:1" ht="15" x14ac:dyDescent="0.25">
      <c r="A1855" s="12" t="s">
        <v>1888</v>
      </c>
    </row>
    <row r="1856" spans="1:1" ht="15" x14ac:dyDescent="0.25">
      <c r="A1856" s="12" t="s">
        <v>1889</v>
      </c>
    </row>
    <row r="1857" spans="1:1" ht="15" x14ac:dyDescent="0.25">
      <c r="A1857" s="12" t="s">
        <v>1890</v>
      </c>
    </row>
    <row r="1858" spans="1:1" ht="15" x14ac:dyDescent="0.25">
      <c r="A1858" s="12" t="s">
        <v>1891</v>
      </c>
    </row>
    <row r="1859" spans="1:1" ht="15" x14ac:dyDescent="0.25">
      <c r="A1859" s="12" t="s">
        <v>1892</v>
      </c>
    </row>
    <row r="1860" spans="1:1" ht="15" x14ac:dyDescent="0.25">
      <c r="A1860" s="12" t="s">
        <v>1893</v>
      </c>
    </row>
    <row r="1861" spans="1:1" ht="15" x14ac:dyDescent="0.25">
      <c r="A1861" s="12" t="s">
        <v>1894</v>
      </c>
    </row>
    <row r="1862" spans="1:1" ht="15" x14ac:dyDescent="0.25">
      <c r="A1862" s="12" t="s">
        <v>1895</v>
      </c>
    </row>
    <row r="1863" spans="1:1" ht="15" x14ac:dyDescent="0.25">
      <c r="A1863" s="12" t="s">
        <v>1896</v>
      </c>
    </row>
    <row r="1864" spans="1:1" ht="15" x14ac:dyDescent="0.25">
      <c r="A1864" s="12" t="s">
        <v>1897</v>
      </c>
    </row>
    <row r="1865" spans="1:1" ht="15" x14ac:dyDescent="0.25">
      <c r="A1865" s="12" t="s">
        <v>1898</v>
      </c>
    </row>
    <row r="1866" spans="1:1" ht="15" x14ac:dyDescent="0.25">
      <c r="A1866" s="12" t="s">
        <v>1899</v>
      </c>
    </row>
    <row r="1867" spans="1:1" ht="15" x14ac:dyDescent="0.25">
      <c r="A1867" s="12" t="s">
        <v>1900</v>
      </c>
    </row>
    <row r="1868" spans="1:1" ht="15" x14ac:dyDescent="0.25">
      <c r="A1868" s="12" t="s">
        <v>1901</v>
      </c>
    </row>
    <row r="1869" spans="1:1" ht="15" x14ac:dyDescent="0.25">
      <c r="A1869" s="12" t="s">
        <v>1902</v>
      </c>
    </row>
    <row r="1870" spans="1:1" ht="15" x14ac:dyDescent="0.25">
      <c r="A1870" s="12" t="s">
        <v>1903</v>
      </c>
    </row>
    <row r="1871" spans="1:1" ht="15" x14ac:dyDescent="0.25">
      <c r="A1871" s="12" t="s">
        <v>1904</v>
      </c>
    </row>
    <row r="1872" spans="1:1" ht="15" x14ac:dyDescent="0.25">
      <c r="A1872" s="12" t="s">
        <v>1905</v>
      </c>
    </row>
    <row r="1873" spans="1:1" ht="15" x14ac:dyDescent="0.25">
      <c r="A1873" s="12" t="s">
        <v>1906</v>
      </c>
    </row>
    <row r="1874" spans="1:1" ht="15" x14ac:dyDescent="0.25">
      <c r="A1874" s="12" t="s">
        <v>1907</v>
      </c>
    </row>
    <row r="1875" spans="1:1" ht="15" x14ac:dyDescent="0.25">
      <c r="A1875" s="12" t="s">
        <v>1908</v>
      </c>
    </row>
    <row r="1876" spans="1:1" ht="15" x14ac:dyDescent="0.25">
      <c r="A1876" s="12" t="s">
        <v>1909</v>
      </c>
    </row>
    <row r="1877" spans="1:1" ht="15" x14ac:dyDescent="0.25">
      <c r="A1877" s="12" t="s">
        <v>1910</v>
      </c>
    </row>
    <row r="1878" spans="1:1" ht="15" x14ac:dyDescent="0.25">
      <c r="A1878" s="12" t="s">
        <v>1911</v>
      </c>
    </row>
    <row r="1879" spans="1:1" ht="15" x14ac:dyDescent="0.25">
      <c r="A1879" s="12" t="s">
        <v>1912</v>
      </c>
    </row>
    <row r="1880" spans="1:1" ht="15" x14ac:dyDescent="0.25">
      <c r="A1880" s="12" t="s">
        <v>1913</v>
      </c>
    </row>
    <row r="1881" spans="1:1" ht="15" x14ac:dyDescent="0.25">
      <c r="A1881" s="12" t="s">
        <v>1914</v>
      </c>
    </row>
    <row r="1882" spans="1:1" ht="15" x14ac:dyDescent="0.25">
      <c r="A1882" s="12" t="s">
        <v>1915</v>
      </c>
    </row>
    <row r="1883" spans="1:1" ht="15" x14ac:dyDescent="0.25">
      <c r="A1883" s="12" t="s">
        <v>1916</v>
      </c>
    </row>
    <row r="1884" spans="1:1" ht="15" x14ac:dyDescent="0.25">
      <c r="A1884" s="12" t="s">
        <v>1917</v>
      </c>
    </row>
    <row r="1885" spans="1:1" ht="15" x14ac:dyDescent="0.25">
      <c r="A1885" s="12" t="s">
        <v>1918</v>
      </c>
    </row>
    <row r="1886" spans="1:1" ht="15" x14ac:dyDescent="0.25">
      <c r="A1886" s="12" t="s">
        <v>1919</v>
      </c>
    </row>
    <row r="1887" spans="1:1" ht="15" x14ac:dyDescent="0.25">
      <c r="A1887" s="12" t="s">
        <v>1920</v>
      </c>
    </row>
    <row r="1888" spans="1:1" ht="15" x14ac:dyDescent="0.25">
      <c r="A1888" s="12" t="s">
        <v>1921</v>
      </c>
    </row>
    <row r="1889" spans="1:1" ht="15" x14ac:dyDescent="0.25">
      <c r="A1889" s="12" t="s">
        <v>1922</v>
      </c>
    </row>
    <row r="1890" spans="1:1" ht="15" x14ac:dyDescent="0.25">
      <c r="A1890" s="12" t="s">
        <v>1923</v>
      </c>
    </row>
    <row r="1891" spans="1:1" ht="15" x14ac:dyDescent="0.25">
      <c r="A1891" s="12" t="s">
        <v>1924</v>
      </c>
    </row>
    <row r="1892" spans="1:1" ht="15" x14ac:dyDescent="0.25">
      <c r="A1892" s="12" t="s">
        <v>1925</v>
      </c>
    </row>
    <row r="1893" spans="1:1" ht="15" x14ac:dyDescent="0.25">
      <c r="A1893" s="12" t="s">
        <v>1926</v>
      </c>
    </row>
    <row r="1894" spans="1:1" ht="15" x14ac:dyDescent="0.25">
      <c r="A1894" s="12" t="s">
        <v>1927</v>
      </c>
    </row>
    <row r="1895" spans="1:1" ht="15" x14ac:dyDescent="0.25">
      <c r="A1895" s="12" t="s">
        <v>1928</v>
      </c>
    </row>
    <row r="1896" spans="1:1" ht="15" x14ac:dyDescent="0.25">
      <c r="A1896" s="12" t="s">
        <v>1929</v>
      </c>
    </row>
    <row r="1897" spans="1:1" ht="15" x14ac:dyDescent="0.25">
      <c r="A1897" s="12" t="s">
        <v>1930</v>
      </c>
    </row>
    <row r="1898" spans="1:1" ht="15" x14ac:dyDescent="0.25">
      <c r="A1898" s="12" t="s">
        <v>1931</v>
      </c>
    </row>
    <row r="1899" spans="1:1" ht="15" x14ac:dyDescent="0.25">
      <c r="A1899" s="12" t="s">
        <v>1932</v>
      </c>
    </row>
    <row r="1900" spans="1:1" ht="15" x14ac:dyDescent="0.25">
      <c r="A1900" s="12" t="s">
        <v>1933</v>
      </c>
    </row>
    <row r="1901" spans="1:1" ht="15" x14ac:dyDescent="0.25">
      <c r="A1901" s="12" t="s">
        <v>1934</v>
      </c>
    </row>
    <row r="1902" spans="1:1" ht="15" x14ac:dyDescent="0.25">
      <c r="A1902" s="12" t="s">
        <v>1935</v>
      </c>
    </row>
    <row r="1903" spans="1:1" ht="15" x14ac:dyDescent="0.25">
      <c r="A1903" s="12" t="s">
        <v>1936</v>
      </c>
    </row>
    <row r="1904" spans="1:1" ht="15" x14ac:dyDescent="0.25">
      <c r="A1904" s="12" t="s">
        <v>1937</v>
      </c>
    </row>
    <row r="1905" spans="1:1" ht="15" x14ac:dyDescent="0.25">
      <c r="A1905" s="12" t="s">
        <v>1938</v>
      </c>
    </row>
    <row r="1906" spans="1:1" ht="15" x14ac:dyDescent="0.25">
      <c r="A1906" s="12" t="s">
        <v>1939</v>
      </c>
    </row>
    <row r="1907" spans="1:1" ht="15" x14ac:dyDescent="0.25">
      <c r="A1907" s="12" t="s">
        <v>1940</v>
      </c>
    </row>
    <row r="1908" spans="1:1" ht="15" x14ac:dyDescent="0.25">
      <c r="A1908" s="12" t="s">
        <v>1941</v>
      </c>
    </row>
    <row r="1909" spans="1:1" ht="15" x14ac:dyDescent="0.25">
      <c r="A1909" s="12" t="s">
        <v>1942</v>
      </c>
    </row>
    <row r="1910" spans="1:1" ht="15" x14ac:dyDescent="0.25">
      <c r="A1910" s="12" t="s">
        <v>1943</v>
      </c>
    </row>
    <row r="1911" spans="1:1" ht="15" x14ac:dyDescent="0.25">
      <c r="A1911" s="12" t="s">
        <v>1944</v>
      </c>
    </row>
    <row r="1912" spans="1:1" ht="15" x14ac:dyDescent="0.25">
      <c r="A1912" s="12" t="s">
        <v>1945</v>
      </c>
    </row>
    <row r="1913" spans="1:1" ht="15" x14ac:dyDescent="0.25">
      <c r="A1913" s="12" t="s">
        <v>1946</v>
      </c>
    </row>
    <row r="1914" spans="1:1" ht="15" x14ac:dyDescent="0.25">
      <c r="A1914" s="12" t="s">
        <v>1947</v>
      </c>
    </row>
    <row r="1915" spans="1:1" ht="15" x14ac:dyDescent="0.25">
      <c r="A1915" s="12" t="s">
        <v>1948</v>
      </c>
    </row>
    <row r="1916" spans="1:1" ht="15" x14ac:dyDescent="0.25">
      <c r="A1916" s="12" t="s">
        <v>1949</v>
      </c>
    </row>
    <row r="1917" spans="1:1" ht="15" x14ac:dyDescent="0.25">
      <c r="A1917" s="12" t="s">
        <v>1950</v>
      </c>
    </row>
    <row r="1918" spans="1:1" ht="15" x14ac:dyDescent="0.25">
      <c r="A1918" s="12" t="s">
        <v>1951</v>
      </c>
    </row>
    <row r="1919" spans="1:1" ht="15" x14ac:dyDescent="0.25">
      <c r="A1919" s="12" t="s">
        <v>1952</v>
      </c>
    </row>
    <row r="1920" spans="1:1" ht="15" x14ac:dyDescent="0.25">
      <c r="A1920" s="12" t="s">
        <v>1953</v>
      </c>
    </row>
    <row r="1921" spans="1:1" ht="15" x14ac:dyDescent="0.25">
      <c r="A1921" s="12" t="s">
        <v>1954</v>
      </c>
    </row>
    <row r="1922" spans="1:1" ht="15" x14ac:dyDescent="0.25">
      <c r="A1922" s="12" t="s">
        <v>1955</v>
      </c>
    </row>
    <row r="1923" spans="1:1" ht="15" x14ac:dyDescent="0.25">
      <c r="A1923" s="12" t="s">
        <v>1956</v>
      </c>
    </row>
    <row r="1924" spans="1:1" ht="15" x14ac:dyDescent="0.25">
      <c r="A1924" s="12" t="s">
        <v>1957</v>
      </c>
    </row>
    <row r="1925" spans="1:1" ht="15" x14ac:dyDescent="0.25">
      <c r="A1925" s="12" t="s">
        <v>1958</v>
      </c>
    </row>
    <row r="1926" spans="1:1" ht="15" x14ac:dyDescent="0.25">
      <c r="A1926" s="12" t="s">
        <v>1959</v>
      </c>
    </row>
    <row r="1927" spans="1:1" ht="15" x14ac:dyDescent="0.25">
      <c r="A1927" s="12" t="s">
        <v>1960</v>
      </c>
    </row>
    <row r="1928" spans="1:1" ht="15" x14ac:dyDescent="0.25">
      <c r="A1928" s="12" t="s">
        <v>1961</v>
      </c>
    </row>
    <row r="1929" spans="1:1" ht="15" x14ac:dyDescent="0.25">
      <c r="A1929" s="12" t="s">
        <v>1962</v>
      </c>
    </row>
    <row r="1930" spans="1:1" ht="15" x14ac:dyDescent="0.25">
      <c r="A1930" s="12" t="s">
        <v>1963</v>
      </c>
    </row>
    <row r="1931" spans="1:1" ht="15" x14ac:dyDescent="0.25">
      <c r="A1931" s="12" t="s">
        <v>1964</v>
      </c>
    </row>
    <row r="1932" spans="1:1" ht="15" x14ac:dyDescent="0.25">
      <c r="A1932" s="12" t="s">
        <v>1965</v>
      </c>
    </row>
    <row r="1933" spans="1:1" ht="15" x14ac:dyDescent="0.25">
      <c r="A1933" s="12" t="s">
        <v>1966</v>
      </c>
    </row>
    <row r="1934" spans="1:1" ht="15" x14ac:dyDescent="0.25">
      <c r="A1934" s="12" t="s">
        <v>1967</v>
      </c>
    </row>
    <row r="1935" spans="1:1" ht="15" x14ac:dyDescent="0.25">
      <c r="A1935" s="12" t="s">
        <v>1968</v>
      </c>
    </row>
    <row r="1936" spans="1:1" ht="15" x14ac:dyDescent="0.25">
      <c r="A1936" s="12" t="s">
        <v>1969</v>
      </c>
    </row>
    <row r="1937" spans="1:1" ht="15" x14ac:dyDescent="0.25">
      <c r="A1937" s="12" t="s">
        <v>1970</v>
      </c>
    </row>
    <row r="1938" spans="1:1" ht="15" x14ac:dyDescent="0.25">
      <c r="A1938" s="12" t="s">
        <v>1971</v>
      </c>
    </row>
    <row r="1939" spans="1:1" ht="15" x14ac:dyDescent="0.25">
      <c r="A1939" s="12" t="s">
        <v>1972</v>
      </c>
    </row>
    <row r="1940" spans="1:1" ht="15" x14ac:dyDescent="0.25">
      <c r="A1940" s="12" t="s">
        <v>1973</v>
      </c>
    </row>
    <row r="1941" spans="1:1" ht="15" x14ac:dyDescent="0.25">
      <c r="A1941" s="12" t="s">
        <v>1974</v>
      </c>
    </row>
    <row r="1942" spans="1:1" ht="15" x14ac:dyDescent="0.25">
      <c r="A1942" s="12" t="s">
        <v>1975</v>
      </c>
    </row>
    <row r="1943" spans="1:1" ht="15" x14ac:dyDescent="0.25">
      <c r="A1943" s="12" t="s">
        <v>1976</v>
      </c>
    </row>
    <row r="1944" spans="1:1" ht="15" x14ac:dyDescent="0.25">
      <c r="A1944" s="12" t="s">
        <v>1977</v>
      </c>
    </row>
    <row r="1945" spans="1:1" ht="15" x14ac:dyDescent="0.25">
      <c r="A1945" s="12" t="s">
        <v>1978</v>
      </c>
    </row>
    <row r="1946" spans="1:1" ht="15" x14ac:dyDescent="0.25">
      <c r="A1946" s="12" t="s">
        <v>1979</v>
      </c>
    </row>
    <row r="1947" spans="1:1" ht="15" x14ac:dyDescent="0.25">
      <c r="A1947" s="12" t="s">
        <v>1980</v>
      </c>
    </row>
    <row r="1948" spans="1:1" ht="15" x14ac:dyDescent="0.25">
      <c r="A1948" s="12" t="s">
        <v>1981</v>
      </c>
    </row>
    <row r="1949" spans="1:1" ht="15" x14ac:dyDescent="0.25">
      <c r="A1949" s="12" t="s">
        <v>1982</v>
      </c>
    </row>
    <row r="1950" spans="1:1" ht="15" x14ac:dyDescent="0.25">
      <c r="A1950" s="12" t="s">
        <v>1983</v>
      </c>
    </row>
    <row r="1951" spans="1:1" ht="15" x14ac:dyDescent="0.25">
      <c r="A1951" s="12" t="s">
        <v>1984</v>
      </c>
    </row>
    <row r="1952" spans="1:1" ht="15" x14ac:dyDescent="0.25">
      <c r="A1952" s="12" t="s">
        <v>1985</v>
      </c>
    </row>
    <row r="1953" spans="1:1" ht="15" x14ac:dyDescent="0.25">
      <c r="A1953" s="12" t="s">
        <v>1986</v>
      </c>
    </row>
    <row r="1954" spans="1:1" ht="15" x14ac:dyDescent="0.25">
      <c r="A1954" s="12" t="s">
        <v>1987</v>
      </c>
    </row>
    <row r="1955" spans="1:1" ht="15" x14ac:dyDescent="0.25">
      <c r="A1955" s="12" t="s">
        <v>1988</v>
      </c>
    </row>
    <row r="1956" spans="1:1" ht="15" x14ac:dyDescent="0.25">
      <c r="A1956" s="12" t="s">
        <v>1989</v>
      </c>
    </row>
    <row r="1957" spans="1:1" ht="15" x14ac:dyDescent="0.25">
      <c r="A1957" s="12" t="s">
        <v>1990</v>
      </c>
    </row>
    <row r="1958" spans="1:1" ht="15" x14ac:dyDescent="0.25">
      <c r="A1958" s="12" t="s">
        <v>1991</v>
      </c>
    </row>
    <row r="1959" spans="1:1" ht="15" x14ac:dyDescent="0.25">
      <c r="A1959" s="12" t="s">
        <v>1992</v>
      </c>
    </row>
    <row r="1960" spans="1:1" ht="15" x14ac:dyDescent="0.25">
      <c r="A1960" s="12" t="s">
        <v>1993</v>
      </c>
    </row>
    <row r="1961" spans="1:1" ht="15" x14ac:dyDescent="0.25">
      <c r="A1961" s="12" t="s">
        <v>1994</v>
      </c>
    </row>
    <row r="1962" spans="1:1" ht="15" x14ac:dyDescent="0.25">
      <c r="A1962" s="12" t="s">
        <v>1995</v>
      </c>
    </row>
    <row r="1963" spans="1:1" ht="15" x14ac:dyDescent="0.25">
      <c r="A1963" s="12" t="s">
        <v>1996</v>
      </c>
    </row>
    <row r="1964" spans="1:1" ht="15" x14ac:dyDescent="0.25">
      <c r="A1964" s="12" t="s">
        <v>1997</v>
      </c>
    </row>
    <row r="1965" spans="1:1" ht="15" x14ac:dyDescent="0.25">
      <c r="A1965" s="12" t="s">
        <v>1998</v>
      </c>
    </row>
    <row r="1966" spans="1:1" ht="15" x14ac:dyDescent="0.25">
      <c r="A1966" s="12" t="s">
        <v>1999</v>
      </c>
    </row>
    <row r="1967" spans="1:1" ht="15" x14ac:dyDescent="0.25">
      <c r="A1967" s="12" t="s">
        <v>2000</v>
      </c>
    </row>
    <row r="1968" spans="1:1" ht="15" x14ac:dyDescent="0.25">
      <c r="A1968" s="12" t="s">
        <v>2001</v>
      </c>
    </row>
    <row r="1969" spans="1:1" ht="15" x14ac:dyDescent="0.25">
      <c r="A1969" s="12" t="s">
        <v>2002</v>
      </c>
    </row>
    <row r="1970" spans="1:1" ht="15" x14ac:dyDescent="0.25">
      <c r="A1970" s="12" t="s">
        <v>2003</v>
      </c>
    </row>
    <row r="1971" spans="1:1" ht="15" x14ac:dyDescent="0.25">
      <c r="A1971" s="12" t="s">
        <v>2004</v>
      </c>
    </row>
    <row r="1972" spans="1:1" ht="15" x14ac:dyDescent="0.25">
      <c r="A1972" s="12" t="s">
        <v>2005</v>
      </c>
    </row>
    <row r="1973" spans="1:1" ht="15" x14ac:dyDescent="0.25">
      <c r="A1973" s="12" t="s">
        <v>2006</v>
      </c>
    </row>
    <row r="1974" spans="1:1" ht="15" x14ac:dyDescent="0.25">
      <c r="A1974" s="12" t="s">
        <v>2007</v>
      </c>
    </row>
    <row r="1975" spans="1:1" ht="15" x14ac:dyDescent="0.25">
      <c r="A1975" s="12" t="s">
        <v>2008</v>
      </c>
    </row>
    <row r="1976" spans="1:1" ht="15" x14ac:dyDescent="0.25">
      <c r="A1976" s="12" t="s">
        <v>2009</v>
      </c>
    </row>
    <row r="1977" spans="1:1" ht="15" x14ac:dyDescent="0.25">
      <c r="A1977" s="12" t="s">
        <v>2010</v>
      </c>
    </row>
    <row r="1978" spans="1:1" ht="15" x14ac:dyDescent="0.25">
      <c r="A1978" s="12" t="s">
        <v>2011</v>
      </c>
    </row>
    <row r="1979" spans="1:1" ht="15" x14ac:dyDescent="0.25">
      <c r="A1979" s="12" t="s">
        <v>2012</v>
      </c>
    </row>
    <row r="1980" spans="1:1" ht="15" x14ac:dyDescent="0.25">
      <c r="A1980" s="12" t="s">
        <v>2013</v>
      </c>
    </row>
    <row r="1981" spans="1:1" ht="15" x14ac:dyDescent="0.25">
      <c r="A1981" s="12" t="s">
        <v>2014</v>
      </c>
    </row>
    <row r="1982" spans="1:1" ht="15" x14ac:dyDescent="0.25">
      <c r="A1982" s="12" t="s">
        <v>2015</v>
      </c>
    </row>
    <row r="1983" spans="1:1" ht="15" x14ac:dyDescent="0.25">
      <c r="A1983" s="12" t="s">
        <v>2016</v>
      </c>
    </row>
    <row r="1984" spans="1:1" ht="15" x14ac:dyDescent="0.25">
      <c r="A1984" s="12" t="s">
        <v>2017</v>
      </c>
    </row>
    <row r="1985" spans="1:1" ht="15" x14ac:dyDescent="0.25">
      <c r="A1985" s="12" t="s">
        <v>2018</v>
      </c>
    </row>
    <row r="1986" spans="1:1" ht="15" x14ac:dyDescent="0.25">
      <c r="A1986" s="12" t="s">
        <v>2019</v>
      </c>
    </row>
    <row r="1987" spans="1:1" ht="15" x14ac:dyDescent="0.25">
      <c r="A1987" s="12" t="s">
        <v>2020</v>
      </c>
    </row>
    <row r="1988" spans="1:1" ht="15" x14ac:dyDescent="0.25">
      <c r="A1988" s="12" t="s">
        <v>2021</v>
      </c>
    </row>
    <row r="1989" spans="1:1" ht="15" x14ac:dyDescent="0.25">
      <c r="A1989" s="12" t="s">
        <v>2022</v>
      </c>
    </row>
    <row r="1990" spans="1:1" ht="15" x14ac:dyDescent="0.25">
      <c r="A1990" s="12" t="s">
        <v>2023</v>
      </c>
    </row>
    <row r="1991" spans="1:1" ht="15" x14ac:dyDescent="0.25">
      <c r="A1991" s="12" t="s">
        <v>2024</v>
      </c>
    </row>
    <row r="1992" spans="1:1" ht="15" x14ac:dyDescent="0.25">
      <c r="A1992" s="12" t="s">
        <v>2025</v>
      </c>
    </row>
    <row r="1993" spans="1:1" ht="15" x14ac:dyDescent="0.25">
      <c r="A1993" s="12" t="s">
        <v>2026</v>
      </c>
    </row>
    <row r="1994" spans="1:1" ht="15" x14ac:dyDescent="0.25">
      <c r="A1994" s="12" t="s">
        <v>2027</v>
      </c>
    </row>
    <row r="1995" spans="1:1" ht="15" x14ac:dyDescent="0.25">
      <c r="A1995" s="12" t="s">
        <v>2028</v>
      </c>
    </row>
    <row r="1996" spans="1:1" ht="15" x14ac:dyDescent="0.25">
      <c r="A1996" s="12" t="s">
        <v>2029</v>
      </c>
    </row>
    <row r="1997" spans="1:1" ht="15" x14ac:dyDescent="0.25">
      <c r="A1997" s="12" t="s">
        <v>2030</v>
      </c>
    </row>
    <row r="1998" spans="1:1" ht="15" x14ac:dyDescent="0.25">
      <c r="A1998" s="12" t="s">
        <v>2031</v>
      </c>
    </row>
    <row r="1999" spans="1:1" ht="15" x14ac:dyDescent="0.25">
      <c r="A1999" s="12" t="s">
        <v>2032</v>
      </c>
    </row>
    <row r="2000" spans="1:1" ht="15" x14ac:dyDescent="0.25">
      <c r="A2000" s="12" t="s">
        <v>2033</v>
      </c>
    </row>
    <row r="2001" spans="1:1" ht="15" x14ac:dyDescent="0.25">
      <c r="A2001" s="12" t="s">
        <v>2034</v>
      </c>
    </row>
    <row r="2002" spans="1:1" ht="15" x14ac:dyDescent="0.25">
      <c r="A2002" s="12" t="s">
        <v>2035</v>
      </c>
    </row>
    <row r="2003" spans="1:1" ht="15" x14ac:dyDescent="0.25">
      <c r="A2003" s="12" t="s">
        <v>2036</v>
      </c>
    </row>
    <row r="2004" spans="1:1" ht="15" x14ac:dyDescent="0.25">
      <c r="A2004" s="12" t="s">
        <v>2037</v>
      </c>
    </row>
    <row r="2005" spans="1:1" ht="15" x14ac:dyDescent="0.25">
      <c r="A2005" s="12" t="s">
        <v>2038</v>
      </c>
    </row>
    <row r="2006" spans="1:1" ht="15" x14ac:dyDescent="0.25">
      <c r="A2006" s="12" t="s">
        <v>2039</v>
      </c>
    </row>
    <row r="2007" spans="1:1" ht="15" x14ac:dyDescent="0.25">
      <c r="A2007" s="12" t="s">
        <v>2040</v>
      </c>
    </row>
    <row r="2008" spans="1:1" ht="15" x14ac:dyDescent="0.25">
      <c r="A2008" s="12" t="s">
        <v>2041</v>
      </c>
    </row>
    <row r="2009" spans="1:1" ht="15" x14ac:dyDescent="0.25">
      <c r="A2009" s="12" t="s">
        <v>2042</v>
      </c>
    </row>
    <row r="2010" spans="1:1" ht="15" x14ac:dyDescent="0.25">
      <c r="A2010" s="12" t="s">
        <v>2043</v>
      </c>
    </row>
    <row r="2011" spans="1:1" ht="15" x14ac:dyDescent="0.25">
      <c r="A2011" s="12" t="s">
        <v>2044</v>
      </c>
    </row>
    <row r="2012" spans="1:1" ht="15" x14ac:dyDescent="0.25">
      <c r="A2012" s="12" t="s">
        <v>2045</v>
      </c>
    </row>
    <row r="2013" spans="1:1" ht="15" x14ac:dyDescent="0.25">
      <c r="A2013" s="12" t="s">
        <v>2046</v>
      </c>
    </row>
    <row r="2014" spans="1:1" ht="15" x14ac:dyDescent="0.25">
      <c r="A2014" s="12" t="s">
        <v>2047</v>
      </c>
    </row>
    <row r="2015" spans="1:1" ht="15" x14ac:dyDescent="0.25">
      <c r="A2015" s="12" t="s">
        <v>2048</v>
      </c>
    </row>
    <row r="2016" spans="1:1" ht="15" x14ac:dyDescent="0.25">
      <c r="A2016" s="12" t="s">
        <v>2049</v>
      </c>
    </row>
    <row r="2017" spans="1:1" ht="15" x14ac:dyDescent="0.25">
      <c r="A2017" s="12" t="s">
        <v>2050</v>
      </c>
    </row>
    <row r="2018" spans="1:1" ht="15" x14ac:dyDescent="0.25">
      <c r="A2018" s="12" t="s">
        <v>2051</v>
      </c>
    </row>
    <row r="2019" spans="1:1" ht="15" x14ac:dyDescent="0.25">
      <c r="A2019" s="12" t="s">
        <v>2052</v>
      </c>
    </row>
    <row r="2020" spans="1:1" ht="15" x14ac:dyDescent="0.25">
      <c r="A2020" s="12" t="s">
        <v>2053</v>
      </c>
    </row>
    <row r="2021" spans="1:1" ht="15" x14ac:dyDescent="0.25">
      <c r="A2021" s="12" t="s">
        <v>2054</v>
      </c>
    </row>
    <row r="2022" spans="1:1" ht="15" x14ac:dyDescent="0.25">
      <c r="A2022" s="12" t="s">
        <v>2055</v>
      </c>
    </row>
    <row r="2023" spans="1:1" ht="15" x14ac:dyDescent="0.25">
      <c r="A2023" s="12" t="s">
        <v>2056</v>
      </c>
    </row>
    <row r="2024" spans="1:1" ht="15" x14ac:dyDescent="0.25">
      <c r="A2024" s="12" t="s">
        <v>2057</v>
      </c>
    </row>
    <row r="2025" spans="1:1" ht="15" x14ac:dyDescent="0.25">
      <c r="A2025" s="12" t="s">
        <v>2058</v>
      </c>
    </row>
    <row r="2026" spans="1:1" ht="15" x14ac:dyDescent="0.25">
      <c r="A2026" s="12" t="s">
        <v>2059</v>
      </c>
    </row>
    <row r="2027" spans="1:1" ht="15" x14ac:dyDescent="0.25">
      <c r="A2027" s="12" t="s">
        <v>2060</v>
      </c>
    </row>
    <row r="2028" spans="1:1" ht="15" x14ac:dyDescent="0.25">
      <c r="A2028" s="12" t="s">
        <v>2061</v>
      </c>
    </row>
    <row r="2029" spans="1:1" ht="15" x14ac:dyDescent="0.25">
      <c r="A2029" s="12" t="s">
        <v>2062</v>
      </c>
    </row>
    <row r="2030" spans="1:1" ht="15" x14ac:dyDescent="0.25">
      <c r="A2030" s="12" t="s">
        <v>2063</v>
      </c>
    </row>
    <row r="2031" spans="1:1" ht="15" x14ac:dyDescent="0.25">
      <c r="A2031" s="12" t="s">
        <v>2064</v>
      </c>
    </row>
    <row r="2032" spans="1:1" ht="15" x14ac:dyDescent="0.25">
      <c r="A2032" s="12" t="s">
        <v>2065</v>
      </c>
    </row>
    <row r="2033" spans="1:1" ht="15" x14ac:dyDescent="0.25">
      <c r="A2033" s="12" t="s">
        <v>2066</v>
      </c>
    </row>
    <row r="2034" spans="1:1" ht="15" x14ac:dyDescent="0.25">
      <c r="A2034" s="12" t="s">
        <v>2067</v>
      </c>
    </row>
    <row r="2035" spans="1:1" ht="15" x14ac:dyDescent="0.25">
      <c r="A2035" s="12" t="s">
        <v>2068</v>
      </c>
    </row>
    <row r="2036" spans="1:1" ht="15" x14ac:dyDescent="0.25">
      <c r="A2036" s="12" t="s">
        <v>2069</v>
      </c>
    </row>
    <row r="2037" spans="1:1" ht="15" x14ac:dyDescent="0.25">
      <c r="A2037" s="12" t="s">
        <v>2070</v>
      </c>
    </row>
    <row r="2038" spans="1:1" ht="15" x14ac:dyDescent="0.25">
      <c r="A2038" s="12" t="s">
        <v>2071</v>
      </c>
    </row>
    <row r="2039" spans="1:1" ht="15" x14ac:dyDescent="0.25">
      <c r="A2039" s="12" t="s">
        <v>2072</v>
      </c>
    </row>
    <row r="2040" spans="1:1" ht="15" x14ac:dyDescent="0.25">
      <c r="A2040" s="12" t="s">
        <v>2073</v>
      </c>
    </row>
    <row r="2041" spans="1:1" ht="15" x14ac:dyDescent="0.25">
      <c r="A2041" s="12" t="s">
        <v>2074</v>
      </c>
    </row>
    <row r="2042" spans="1:1" ht="15" x14ac:dyDescent="0.25">
      <c r="A2042" s="12" t="s">
        <v>2075</v>
      </c>
    </row>
    <row r="2043" spans="1:1" ht="15" x14ac:dyDescent="0.25">
      <c r="A2043" s="12" t="s">
        <v>2076</v>
      </c>
    </row>
    <row r="2044" spans="1:1" ht="15" x14ac:dyDescent="0.25">
      <c r="A2044" s="12" t="s">
        <v>2077</v>
      </c>
    </row>
    <row r="2045" spans="1:1" ht="15" x14ac:dyDescent="0.25">
      <c r="A2045" s="12" t="s">
        <v>2078</v>
      </c>
    </row>
    <row r="2046" spans="1:1" ht="15" x14ac:dyDescent="0.25">
      <c r="A2046" s="12" t="s">
        <v>2079</v>
      </c>
    </row>
    <row r="2047" spans="1:1" ht="15" x14ac:dyDescent="0.25">
      <c r="A2047" s="12" t="s">
        <v>2080</v>
      </c>
    </row>
    <row r="2048" spans="1:1" ht="15" x14ac:dyDescent="0.25">
      <c r="A2048" s="12" t="s">
        <v>2081</v>
      </c>
    </row>
    <row r="2049" spans="1:1" ht="15" x14ac:dyDescent="0.25">
      <c r="A2049" s="12" t="s">
        <v>2082</v>
      </c>
    </row>
    <row r="2050" spans="1:1" ht="15" x14ac:dyDescent="0.25">
      <c r="A2050" s="12" t="s">
        <v>2083</v>
      </c>
    </row>
    <row r="2051" spans="1:1" ht="15" x14ac:dyDescent="0.25">
      <c r="A2051" s="12" t="s">
        <v>2084</v>
      </c>
    </row>
    <row r="2052" spans="1:1" ht="15" x14ac:dyDescent="0.25">
      <c r="A2052" s="12" t="s">
        <v>2085</v>
      </c>
    </row>
    <row r="2053" spans="1:1" ht="15" x14ac:dyDescent="0.25">
      <c r="A2053" s="12" t="s">
        <v>2086</v>
      </c>
    </row>
    <row r="2054" spans="1:1" ht="15" x14ac:dyDescent="0.25">
      <c r="A2054" s="12" t="s">
        <v>2087</v>
      </c>
    </row>
    <row r="2055" spans="1:1" ht="15" x14ac:dyDescent="0.25">
      <c r="A2055" s="12" t="s">
        <v>2088</v>
      </c>
    </row>
    <row r="2056" spans="1:1" ht="15" x14ac:dyDescent="0.25">
      <c r="A2056" s="12" t="s">
        <v>2089</v>
      </c>
    </row>
    <row r="2057" spans="1:1" ht="15" x14ac:dyDescent="0.25">
      <c r="A2057" s="12" t="s">
        <v>2090</v>
      </c>
    </row>
    <row r="2058" spans="1:1" ht="15" x14ac:dyDescent="0.25">
      <c r="A2058" s="12" t="s">
        <v>2091</v>
      </c>
    </row>
    <row r="2059" spans="1:1" ht="15" x14ac:dyDescent="0.25">
      <c r="A2059" s="12" t="s">
        <v>2092</v>
      </c>
    </row>
    <row r="2060" spans="1:1" ht="15" x14ac:dyDescent="0.25">
      <c r="A2060" s="12" t="s">
        <v>2093</v>
      </c>
    </row>
    <row r="2061" spans="1:1" ht="15" x14ac:dyDescent="0.25">
      <c r="A2061" s="12" t="s">
        <v>2094</v>
      </c>
    </row>
    <row r="2062" spans="1:1" ht="15" x14ac:dyDescent="0.25">
      <c r="A2062" s="12" t="s">
        <v>2095</v>
      </c>
    </row>
    <row r="2063" spans="1:1" ht="15" x14ac:dyDescent="0.25">
      <c r="A2063" s="12" t="s">
        <v>2096</v>
      </c>
    </row>
    <row r="2064" spans="1:1" ht="15" x14ac:dyDescent="0.25">
      <c r="A2064" s="12" t="s">
        <v>2097</v>
      </c>
    </row>
    <row r="2065" spans="1:1" ht="15" x14ac:dyDescent="0.25">
      <c r="A2065" s="12" t="s">
        <v>2098</v>
      </c>
    </row>
    <row r="2066" spans="1:1" ht="15" x14ac:dyDescent="0.25">
      <c r="A2066" s="12" t="s">
        <v>2099</v>
      </c>
    </row>
    <row r="2067" spans="1:1" ht="15" x14ac:dyDescent="0.25">
      <c r="A2067" s="12" t="s">
        <v>2100</v>
      </c>
    </row>
    <row r="2068" spans="1:1" ht="15" x14ac:dyDescent="0.25">
      <c r="A2068" s="12" t="s">
        <v>2101</v>
      </c>
    </row>
    <row r="2069" spans="1:1" ht="15" x14ac:dyDescent="0.25">
      <c r="A2069" s="12" t="s">
        <v>2102</v>
      </c>
    </row>
    <row r="2070" spans="1:1" ht="15" x14ac:dyDescent="0.25">
      <c r="A2070" s="12" t="s">
        <v>2103</v>
      </c>
    </row>
    <row r="2071" spans="1:1" ht="15" x14ac:dyDescent="0.25">
      <c r="A2071" s="12" t="s">
        <v>2104</v>
      </c>
    </row>
    <row r="2072" spans="1:1" ht="15" x14ac:dyDescent="0.25">
      <c r="A2072" s="12" t="s">
        <v>2105</v>
      </c>
    </row>
    <row r="2073" spans="1:1" ht="15" x14ac:dyDescent="0.25">
      <c r="A2073" s="12" t="s">
        <v>2106</v>
      </c>
    </row>
    <row r="2074" spans="1:1" ht="15" x14ac:dyDescent="0.25">
      <c r="A2074" s="12" t="s">
        <v>2107</v>
      </c>
    </row>
    <row r="2075" spans="1:1" ht="15" x14ac:dyDescent="0.25">
      <c r="A2075" s="12" t="s">
        <v>2108</v>
      </c>
    </row>
    <row r="2076" spans="1:1" ht="15" x14ac:dyDescent="0.25">
      <c r="A2076" s="12" t="s">
        <v>2109</v>
      </c>
    </row>
    <row r="2077" spans="1:1" ht="15" x14ac:dyDescent="0.25">
      <c r="A2077" s="12" t="s">
        <v>2110</v>
      </c>
    </row>
    <row r="2078" spans="1:1" ht="15" x14ac:dyDescent="0.25">
      <c r="A2078" s="12" t="s">
        <v>2111</v>
      </c>
    </row>
    <row r="2079" spans="1:1" ht="15" x14ac:dyDescent="0.25">
      <c r="A2079" s="12" t="s">
        <v>2112</v>
      </c>
    </row>
    <row r="2080" spans="1:1" ht="15" x14ac:dyDescent="0.25">
      <c r="A2080" s="12" t="s">
        <v>2113</v>
      </c>
    </row>
    <row r="2081" spans="1:1" ht="15" x14ac:dyDescent="0.25">
      <c r="A2081" s="12" t="s">
        <v>2114</v>
      </c>
    </row>
    <row r="2082" spans="1:1" ht="15" x14ac:dyDescent="0.25">
      <c r="A2082" s="12" t="s">
        <v>2115</v>
      </c>
    </row>
    <row r="2083" spans="1:1" ht="15" x14ac:dyDescent="0.25">
      <c r="A2083" s="12" t="s">
        <v>2116</v>
      </c>
    </row>
    <row r="2084" spans="1:1" ht="15" x14ac:dyDescent="0.25">
      <c r="A2084" s="12" t="s">
        <v>2117</v>
      </c>
    </row>
    <row r="2085" spans="1:1" ht="15" x14ac:dyDescent="0.25">
      <c r="A2085" s="12" t="s">
        <v>2118</v>
      </c>
    </row>
    <row r="2086" spans="1:1" ht="15" x14ac:dyDescent="0.25">
      <c r="A2086" s="12" t="s">
        <v>2119</v>
      </c>
    </row>
    <row r="2087" spans="1:1" ht="15" x14ac:dyDescent="0.25">
      <c r="A2087" s="12" t="s">
        <v>2120</v>
      </c>
    </row>
    <row r="2088" spans="1:1" ht="15" x14ac:dyDescent="0.25">
      <c r="A2088" s="12" t="s">
        <v>2121</v>
      </c>
    </row>
    <row r="2089" spans="1:1" ht="15" x14ac:dyDescent="0.25">
      <c r="A2089" s="12" t="s">
        <v>2122</v>
      </c>
    </row>
    <row r="2090" spans="1:1" ht="15" x14ac:dyDescent="0.25">
      <c r="A2090" s="12" t="s">
        <v>2123</v>
      </c>
    </row>
    <row r="2091" spans="1:1" ht="15" x14ac:dyDescent="0.25">
      <c r="A2091" s="12" t="s">
        <v>2124</v>
      </c>
    </row>
    <row r="2092" spans="1:1" ht="15" x14ac:dyDescent="0.25">
      <c r="A2092" s="12" t="s">
        <v>2125</v>
      </c>
    </row>
    <row r="2093" spans="1:1" ht="15" x14ac:dyDescent="0.25">
      <c r="A2093" s="12" t="s">
        <v>2126</v>
      </c>
    </row>
    <row r="2094" spans="1:1" ht="15" x14ac:dyDescent="0.25">
      <c r="A2094" s="12" t="s">
        <v>2127</v>
      </c>
    </row>
    <row r="2095" spans="1:1" ht="15" x14ac:dyDescent="0.25">
      <c r="A2095" s="12" t="s">
        <v>2128</v>
      </c>
    </row>
    <row r="2096" spans="1:1" ht="15" x14ac:dyDescent="0.25">
      <c r="A2096" s="12" t="s">
        <v>2129</v>
      </c>
    </row>
    <row r="2097" spans="1:1" ht="15" x14ac:dyDescent="0.25">
      <c r="A2097" s="12" t="s">
        <v>2130</v>
      </c>
    </row>
    <row r="2098" spans="1:1" ht="15" x14ac:dyDescent="0.25">
      <c r="A2098" s="12" t="s">
        <v>2131</v>
      </c>
    </row>
    <row r="2099" spans="1:1" ht="15" x14ac:dyDescent="0.25">
      <c r="A2099" s="12" t="s">
        <v>2132</v>
      </c>
    </row>
    <row r="2100" spans="1:1" ht="15" x14ac:dyDescent="0.25">
      <c r="A2100" s="12" t="s">
        <v>2133</v>
      </c>
    </row>
    <row r="2101" spans="1:1" ht="15" x14ac:dyDescent="0.25">
      <c r="A2101" s="12" t="s">
        <v>2134</v>
      </c>
    </row>
    <row r="2102" spans="1:1" ht="15" x14ac:dyDescent="0.25">
      <c r="A2102" s="12" t="s">
        <v>2135</v>
      </c>
    </row>
    <row r="2103" spans="1:1" ht="15" x14ac:dyDescent="0.25">
      <c r="A2103" s="12" t="s">
        <v>2136</v>
      </c>
    </row>
    <row r="2104" spans="1:1" ht="15" x14ac:dyDescent="0.25">
      <c r="A2104" s="12" t="s">
        <v>2137</v>
      </c>
    </row>
    <row r="2105" spans="1:1" ht="15" x14ac:dyDescent="0.25">
      <c r="A2105" s="12" t="s">
        <v>2138</v>
      </c>
    </row>
    <row r="2106" spans="1:1" ht="15" x14ac:dyDescent="0.25">
      <c r="A2106" s="12" t="s">
        <v>2139</v>
      </c>
    </row>
    <row r="2107" spans="1:1" ht="15" x14ac:dyDescent="0.25">
      <c r="A2107" s="12" t="s">
        <v>2140</v>
      </c>
    </row>
    <row r="2108" spans="1:1" ht="15" x14ac:dyDescent="0.25">
      <c r="A2108" s="12" t="s">
        <v>2141</v>
      </c>
    </row>
    <row r="2109" spans="1:1" ht="15" x14ac:dyDescent="0.25">
      <c r="A2109" s="12" t="s">
        <v>2142</v>
      </c>
    </row>
    <row r="2110" spans="1:1" ht="15" x14ac:dyDescent="0.25">
      <c r="A2110" s="12" t="s">
        <v>2143</v>
      </c>
    </row>
    <row r="2111" spans="1:1" ht="15" x14ac:dyDescent="0.25">
      <c r="A2111" s="12" t="s">
        <v>2144</v>
      </c>
    </row>
    <row r="2112" spans="1:1" ht="15" x14ac:dyDescent="0.25">
      <c r="A2112" s="12" t="s">
        <v>2145</v>
      </c>
    </row>
    <row r="2113" spans="1:1" ht="15" x14ac:dyDescent="0.25">
      <c r="A2113" s="12" t="s">
        <v>2146</v>
      </c>
    </row>
    <row r="2114" spans="1:1" ht="15" x14ac:dyDescent="0.25">
      <c r="A2114" s="12" t="s">
        <v>2147</v>
      </c>
    </row>
    <row r="2115" spans="1:1" ht="15" x14ac:dyDescent="0.25">
      <c r="A2115" s="12" t="s">
        <v>2148</v>
      </c>
    </row>
    <row r="2116" spans="1:1" ht="15" x14ac:dyDescent="0.25">
      <c r="A2116" s="12" t="s">
        <v>2149</v>
      </c>
    </row>
    <row r="2117" spans="1:1" ht="15" x14ac:dyDescent="0.25">
      <c r="A2117" s="12" t="s">
        <v>2150</v>
      </c>
    </row>
    <row r="2118" spans="1:1" ht="15" x14ac:dyDescent="0.25">
      <c r="A2118" s="12" t="s">
        <v>2151</v>
      </c>
    </row>
    <row r="2119" spans="1:1" ht="15" x14ac:dyDescent="0.25">
      <c r="A2119" s="12" t="s">
        <v>2152</v>
      </c>
    </row>
    <row r="2120" spans="1:1" ht="15" x14ac:dyDescent="0.25">
      <c r="A2120" s="12" t="s">
        <v>2153</v>
      </c>
    </row>
    <row r="2121" spans="1:1" ht="15" x14ac:dyDescent="0.25">
      <c r="A2121" s="12" t="s">
        <v>2154</v>
      </c>
    </row>
    <row r="2122" spans="1:1" ht="15" x14ac:dyDescent="0.25">
      <c r="A2122" s="12" t="s">
        <v>2155</v>
      </c>
    </row>
    <row r="2123" spans="1:1" ht="15" x14ac:dyDescent="0.25">
      <c r="A2123" s="12" t="s">
        <v>2156</v>
      </c>
    </row>
    <row r="2124" spans="1:1" ht="15" x14ac:dyDescent="0.25">
      <c r="A2124" s="12" t="s">
        <v>2157</v>
      </c>
    </row>
    <row r="2125" spans="1:1" ht="15" x14ac:dyDescent="0.25">
      <c r="A2125" s="12" t="s">
        <v>2158</v>
      </c>
    </row>
    <row r="2126" spans="1:1" ht="15" x14ac:dyDescent="0.25">
      <c r="A2126" s="12" t="s">
        <v>2159</v>
      </c>
    </row>
    <row r="2127" spans="1:1" ht="15" x14ac:dyDescent="0.25">
      <c r="A2127" s="12" t="s">
        <v>2160</v>
      </c>
    </row>
    <row r="2128" spans="1:1" ht="15" x14ac:dyDescent="0.25">
      <c r="A2128" s="12" t="s">
        <v>2161</v>
      </c>
    </row>
    <row r="2129" spans="1:1" ht="15" x14ac:dyDescent="0.25">
      <c r="A2129" s="12" t="s">
        <v>2162</v>
      </c>
    </row>
    <row r="2130" spans="1:1" ht="15" x14ac:dyDescent="0.25">
      <c r="A2130" s="12" t="s">
        <v>2163</v>
      </c>
    </row>
    <row r="2131" spans="1:1" ht="15" x14ac:dyDescent="0.25">
      <c r="A2131" s="12" t="s">
        <v>2164</v>
      </c>
    </row>
    <row r="2132" spans="1:1" ht="15" x14ac:dyDescent="0.25">
      <c r="A2132" s="12" t="s">
        <v>2165</v>
      </c>
    </row>
    <row r="2133" spans="1:1" ht="15" x14ac:dyDescent="0.25">
      <c r="A2133" s="12" t="s">
        <v>2166</v>
      </c>
    </row>
    <row r="2134" spans="1:1" ht="15" x14ac:dyDescent="0.25">
      <c r="A2134" s="12" t="s">
        <v>2167</v>
      </c>
    </row>
    <row r="2135" spans="1:1" ht="15" x14ac:dyDescent="0.25">
      <c r="A2135" s="12" t="s">
        <v>2168</v>
      </c>
    </row>
    <row r="2136" spans="1:1" ht="15" x14ac:dyDescent="0.25">
      <c r="A2136" s="12" t="s">
        <v>2169</v>
      </c>
    </row>
    <row r="2137" spans="1:1" ht="15" x14ac:dyDescent="0.25">
      <c r="A2137" s="12" t="s">
        <v>2170</v>
      </c>
    </row>
    <row r="2138" spans="1:1" ht="15" x14ac:dyDescent="0.25">
      <c r="A2138" s="12" t="s">
        <v>2171</v>
      </c>
    </row>
    <row r="2139" spans="1:1" ht="15" x14ac:dyDescent="0.25">
      <c r="A2139" s="12" t="s">
        <v>2172</v>
      </c>
    </row>
    <row r="2140" spans="1:1" ht="15" x14ac:dyDescent="0.25">
      <c r="A2140" s="12" t="s">
        <v>2173</v>
      </c>
    </row>
    <row r="2141" spans="1:1" ht="15" x14ac:dyDescent="0.25">
      <c r="A2141" s="12" t="s">
        <v>2174</v>
      </c>
    </row>
    <row r="2142" spans="1:1" ht="15" x14ac:dyDescent="0.25">
      <c r="A2142" s="12" t="s">
        <v>2175</v>
      </c>
    </row>
    <row r="2143" spans="1:1" ht="15" x14ac:dyDescent="0.25">
      <c r="A2143" s="12" t="s">
        <v>2176</v>
      </c>
    </row>
    <row r="2144" spans="1:1" ht="15" x14ac:dyDescent="0.25">
      <c r="A2144" s="12" t="s">
        <v>2177</v>
      </c>
    </row>
    <row r="2145" spans="1:1" ht="15" x14ac:dyDescent="0.25">
      <c r="A2145" s="12" t="s">
        <v>2178</v>
      </c>
    </row>
    <row r="2146" spans="1:1" ht="15" x14ac:dyDescent="0.25">
      <c r="A2146" s="12" t="s">
        <v>2179</v>
      </c>
    </row>
    <row r="2147" spans="1:1" ht="15" x14ac:dyDescent="0.25">
      <c r="A2147" s="12" t="s">
        <v>2180</v>
      </c>
    </row>
    <row r="2148" spans="1:1" ht="15" x14ac:dyDescent="0.25">
      <c r="A2148" s="12" t="s">
        <v>2181</v>
      </c>
    </row>
    <row r="2149" spans="1:1" ht="15" x14ac:dyDescent="0.25">
      <c r="A2149" s="12" t="s">
        <v>2182</v>
      </c>
    </row>
    <row r="2150" spans="1:1" ht="15" x14ac:dyDescent="0.25">
      <c r="A2150" s="12" t="s">
        <v>2183</v>
      </c>
    </row>
    <row r="2151" spans="1:1" ht="15" x14ac:dyDescent="0.25">
      <c r="A2151" s="12" t="s">
        <v>2184</v>
      </c>
    </row>
    <row r="2152" spans="1:1" ht="15" x14ac:dyDescent="0.25">
      <c r="A2152" s="12" t="s">
        <v>2185</v>
      </c>
    </row>
    <row r="2153" spans="1:1" ht="15" x14ac:dyDescent="0.25">
      <c r="A2153" s="12" t="s">
        <v>2186</v>
      </c>
    </row>
    <row r="2154" spans="1:1" ht="15" x14ac:dyDescent="0.25">
      <c r="A2154" s="12" t="s">
        <v>2187</v>
      </c>
    </row>
    <row r="2155" spans="1:1" ht="15" x14ac:dyDescent="0.25">
      <c r="A2155" s="12" t="s">
        <v>2188</v>
      </c>
    </row>
    <row r="2156" spans="1:1" ht="15" x14ac:dyDescent="0.25">
      <c r="A2156" s="12" t="s">
        <v>2189</v>
      </c>
    </row>
    <row r="2157" spans="1:1" ht="15" x14ac:dyDescent="0.25">
      <c r="A2157" s="12" t="s">
        <v>2190</v>
      </c>
    </row>
    <row r="2158" spans="1:1" ht="15" x14ac:dyDescent="0.25">
      <c r="A2158" s="12" t="s">
        <v>2191</v>
      </c>
    </row>
    <row r="2159" spans="1:1" ht="15" x14ac:dyDescent="0.25">
      <c r="A2159" s="12" t="s">
        <v>2192</v>
      </c>
    </row>
    <row r="2160" spans="1:1" ht="15" x14ac:dyDescent="0.25">
      <c r="A2160" s="12" t="s">
        <v>2193</v>
      </c>
    </row>
    <row r="2161" spans="1:1" ht="15" x14ac:dyDescent="0.25">
      <c r="A2161" s="12" t="s">
        <v>2194</v>
      </c>
    </row>
    <row r="2162" spans="1:1" ht="15" x14ac:dyDescent="0.25">
      <c r="A2162" s="12" t="s">
        <v>2195</v>
      </c>
    </row>
    <row r="2163" spans="1:1" ht="15" x14ac:dyDescent="0.25">
      <c r="A2163" s="12" t="s">
        <v>2196</v>
      </c>
    </row>
    <row r="2164" spans="1:1" ht="15" x14ac:dyDescent="0.25">
      <c r="A2164" s="12" t="s">
        <v>2197</v>
      </c>
    </row>
    <row r="2165" spans="1:1" ht="15" x14ac:dyDescent="0.25">
      <c r="A2165" s="12" t="s">
        <v>2198</v>
      </c>
    </row>
    <row r="2166" spans="1:1" ht="15" x14ac:dyDescent="0.25">
      <c r="A2166" s="12" t="s">
        <v>2199</v>
      </c>
    </row>
    <row r="2167" spans="1:1" ht="15" x14ac:dyDescent="0.25">
      <c r="A2167" s="12" t="s">
        <v>2200</v>
      </c>
    </row>
    <row r="2168" spans="1:1" ht="15" x14ac:dyDescent="0.25">
      <c r="A2168" s="12" t="s">
        <v>2201</v>
      </c>
    </row>
    <row r="2169" spans="1:1" ht="15" x14ac:dyDescent="0.25">
      <c r="A2169" s="12" t="s">
        <v>2202</v>
      </c>
    </row>
    <row r="2170" spans="1:1" ht="15" x14ac:dyDescent="0.25">
      <c r="A2170" s="12" t="s">
        <v>2203</v>
      </c>
    </row>
    <row r="2171" spans="1:1" ht="15" x14ac:dyDescent="0.25">
      <c r="A2171" s="12" t="s">
        <v>2204</v>
      </c>
    </row>
    <row r="2172" spans="1:1" ht="15" x14ac:dyDescent="0.25">
      <c r="A2172" s="12" t="s">
        <v>2205</v>
      </c>
    </row>
    <row r="2173" spans="1:1" ht="15" x14ac:dyDescent="0.25">
      <c r="A2173" s="12" t="s">
        <v>2206</v>
      </c>
    </row>
    <row r="2174" spans="1:1" ht="15" x14ac:dyDescent="0.25">
      <c r="A2174" s="12" t="s">
        <v>2207</v>
      </c>
    </row>
    <row r="2175" spans="1:1" ht="15" x14ac:dyDescent="0.25">
      <c r="A2175" s="12" t="s">
        <v>2208</v>
      </c>
    </row>
    <row r="2176" spans="1:1" ht="15" x14ac:dyDescent="0.25">
      <c r="A2176" s="12" t="s">
        <v>2209</v>
      </c>
    </row>
    <row r="2177" spans="1:1" ht="15" x14ac:dyDescent="0.25">
      <c r="A2177" s="12" t="s">
        <v>2210</v>
      </c>
    </row>
    <row r="2178" spans="1:1" ht="15" x14ac:dyDescent="0.25">
      <c r="A2178" s="12" t="s">
        <v>2211</v>
      </c>
    </row>
    <row r="2179" spans="1:1" ht="15" x14ac:dyDescent="0.25">
      <c r="A2179" s="12" t="s">
        <v>2212</v>
      </c>
    </row>
    <row r="2180" spans="1:1" ht="15" x14ac:dyDescent="0.25">
      <c r="A2180" s="12" t="s">
        <v>2213</v>
      </c>
    </row>
    <row r="2181" spans="1:1" ht="15" x14ac:dyDescent="0.25">
      <c r="A2181" s="12" t="s">
        <v>2214</v>
      </c>
    </row>
    <row r="2182" spans="1:1" ht="15" x14ac:dyDescent="0.25">
      <c r="A2182" s="12" t="s">
        <v>2215</v>
      </c>
    </row>
    <row r="2183" spans="1:1" ht="15" x14ac:dyDescent="0.25">
      <c r="A2183" s="12" t="s">
        <v>2216</v>
      </c>
    </row>
    <row r="2184" spans="1:1" ht="15" x14ac:dyDescent="0.25">
      <c r="A2184" s="12" t="s">
        <v>2217</v>
      </c>
    </row>
    <row r="2185" spans="1:1" ht="15" x14ac:dyDescent="0.25">
      <c r="A2185" s="12" t="s">
        <v>2218</v>
      </c>
    </row>
    <row r="2186" spans="1:1" ht="15" x14ac:dyDescent="0.25">
      <c r="A2186" s="12" t="s">
        <v>2219</v>
      </c>
    </row>
    <row r="2187" spans="1:1" ht="15" x14ac:dyDescent="0.25">
      <c r="A2187" s="12" t="s">
        <v>2220</v>
      </c>
    </row>
    <row r="2188" spans="1:1" ht="15" x14ac:dyDescent="0.25">
      <c r="A2188" s="12" t="s">
        <v>2221</v>
      </c>
    </row>
    <row r="2189" spans="1:1" ht="15" x14ac:dyDescent="0.25">
      <c r="A2189" s="12" t="s">
        <v>2222</v>
      </c>
    </row>
    <row r="2190" spans="1:1" ht="15" x14ac:dyDescent="0.25">
      <c r="A2190" s="12" t="s">
        <v>2223</v>
      </c>
    </row>
    <row r="2191" spans="1:1" ht="15" x14ac:dyDescent="0.25">
      <c r="A2191" s="12" t="s">
        <v>2224</v>
      </c>
    </row>
    <row r="2192" spans="1:1" ht="15" x14ac:dyDescent="0.25">
      <c r="A2192" s="12" t="s">
        <v>2225</v>
      </c>
    </row>
    <row r="2193" spans="1:1" ht="15" x14ac:dyDescent="0.25">
      <c r="A2193" s="12" t="s">
        <v>2226</v>
      </c>
    </row>
    <row r="2194" spans="1:1" ht="15" x14ac:dyDescent="0.25">
      <c r="A2194" s="12" t="s">
        <v>2227</v>
      </c>
    </row>
    <row r="2195" spans="1:1" ht="15" x14ac:dyDescent="0.25">
      <c r="A2195" s="12" t="s">
        <v>2228</v>
      </c>
    </row>
    <row r="2196" spans="1:1" ht="15" x14ac:dyDescent="0.25">
      <c r="A2196" s="12" t="s">
        <v>2229</v>
      </c>
    </row>
    <row r="2197" spans="1:1" ht="15" x14ac:dyDescent="0.25">
      <c r="A2197" s="12" t="s">
        <v>2230</v>
      </c>
    </row>
    <row r="2198" spans="1:1" ht="15" x14ac:dyDescent="0.25">
      <c r="A2198" s="12" t="s">
        <v>2231</v>
      </c>
    </row>
    <row r="2199" spans="1:1" ht="15" x14ac:dyDescent="0.25">
      <c r="A2199" s="12" t="s">
        <v>2232</v>
      </c>
    </row>
    <row r="2200" spans="1:1" ht="15" x14ac:dyDescent="0.25">
      <c r="A2200" s="12" t="s">
        <v>2233</v>
      </c>
    </row>
    <row r="2201" spans="1:1" ht="15" x14ac:dyDescent="0.25">
      <c r="A2201" s="12" t="s">
        <v>2234</v>
      </c>
    </row>
    <row r="2202" spans="1:1" ht="15" x14ac:dyDescent="0.25">
      <c r="A2202" s="12" t="s">
        <v>2235</v>
      </c>
    </row>
    <row r="2203" spans="1:1" ht="15" x14ac:dyDescent="0.25">
      <c r="A2203" s="12" t="s">
        <v>2236</v>
      </c>
    </row>
    <row r="2204" spans="1:1" ht="15" x14ac:dyDescent="0.25">
      <c r="A2204" s="12" t="s">
        <v>2237</v>
      </c>
    </row>
    <row r="2205" spans="1:1" ht="15" x14ac:dyDescent="0.25">
      <c r="A2205" s="12" t="s">
        <v>2238</v>
      </c>
    </row>
    <row r="2206" spans="1:1" ht="15" x14ac:dyDescent="0.25">
      <c r="A2206" s="12" t="s">
        <v>2239</v>
      </c>
    </row>
    <row r="2207" spans="1:1" ht="15" x14ac:dyDescent="0.25">
      <c r="A2207" s="12" t="s">
        <v>2240</v>
      </c>
    </row>
    <row r="2208" spans="1:1" ht="15" x14ac:dyDescent="0.25">
      <c r="A2208" s="12" t="s">
        <v>2241</v>
      </c>
    </row>
    <row r="2209" spans="1:1" ht="15" x14ac:dyDescent="0.25">
      <c r="A2209" s="12" t="s">
        <v>2242</v>
      </c>
    </row>
    <row r="2210" spans="1:1" ht="15" x14ac:dyDescent="0.25">
      <c r="A2210" s="12" t="s">
        <v>2243</v>
      </c>
    </row>
    <row r="2211" spans="1:1" ht="15" x14ac:dyDescent="0.25">
      <c r="A2211" s="12" t="s">
        <v>2244</v>
      </c>
    </row>
    <row r="2212" spans="1:1" ht="15" x14ac:dyDescent="0.25">
      <c r="A2212" s="12" t="s">
        <v>2245</v>
      </c>
    </row>
    <row r="2213" spans="1:1" ht="15" x14ac:dyDescent="0.25">
      <c r="A2213" s="12" t="s">
        <v>2246</v>
      </c>
    </row>
    <row r="2214" spans="1:1" ht="15" x14ac:dyDescent="0.25">
      <c r="A2214" s="12" t="s">
        <v>2247</v>
      </c>
    </row>
    <row r="2215" spans="1:1" ht="15" x14ac:dyDescent="0.25">
      <c r="A2215" s="12" t="s">
        <v>2248</v>
      </c>
    </row>
    <row r="2216" spans="1:1" ht="15" x14ac:dyDescent="0.25">
      <c r="A2216" s="12" t="s">
        <v>2249</v>
      </c>
    </row>
    <row r="2217" spans="1:1" ht="15" x14ac:dyDescent="0.25">
      <c r="A2217" s="12" t="s">
        <v>2250</v>
      </c>
    </row>
    <row r="2218" spans="1:1" ht="15" x14ac:dyDescent="0.25">
      <c r="A2218" s="12" t="s">
        <v>2251</v>
      </c>
    </row>
    <row r="2219" spans="1:1" ht="15" x14ac:dyDescent="0.25">
      <c r="A2219" s="12" t="s">
        <v>2252</v>
      </c>
    </row>
    <row r="2220" spans="1:1" ht="15" x14ac:dyDescent="0.25">
      <c r="A2220" s="12" t="s">
        <v>2253</v>
      </c>
    </row>
    <row r="2221" spans="1:1" ht="15" x14ac:dyDescent="0.25">
      <c r="A2221" s="12" t="s">
        <v>2254</v>
      </c>
    </row>
    <row r="2222" spans="1:1" ht="15" x14ac:dyDescent="0.25">
      <c r="A2222" s="12" t="s">
        <v>2255</v>
      </c>
    </row>
    <row r="2223" spans="1:1" ht="15" x14ac:dyDescent="0.25">
      <c r="A2223" s="12" t="s">
        <v>2256</v>
      </c>
    </row>
    <row r="2224" spans="1:1" ht="15" x14ac:dyDescent="0.25">
      <c r="A2224" s="12" t="s">
        <v>2257</v>
      </c>
    </row>
    <row r="2225" spans="1:1" ht="15" x14ac:dyDescent="0.25">
      <c r="A2225" s="12" t="s">
        <v>2258</v>
      </c>
    </row>
    <row r="2226" spans="1:1" ht="15" x14ac:dyDescent="0.25">
      <c r="A2226" s="12" t="s">
        <v>2259</v>
      </c>
    </row>
    <row r="2227" spans="1:1" ht="15" x14ac:dyDescent="0.25">
      <c r="A2227" s="12" t="s">
        <v>2260</v>
      </c>
    </row>
    <row r="2228" spans="1:1" ht="15" x14ac:dyDescent="0.25">
      <c r="A2228" s="12" t="s">
        <v>2261</v>
      </c>
    </row>
    <row r="2229" spans="1:1" ht="15" x14ac:dyDescent="0.25">
      <c r="A2229" s="12" t="s">
        <v>2262</v>
      </c>
    </row>
    <row r="2230" spans="1:1" ht="15" x14ac:dyDescent="0.25">
      <c r="A2230" s="12" t="s">
        <v>2263</v>
      </c>
    </row>
    <row r="2231" spans="1:1" ht="15" x14ac:dyDescent="0.25">
      <c r="A2231" s="12" t="s">
        <v>2264</v>
      </c>
    </row>
    <row r="2232" spans="1:1" ht="15" x14ac:dyDescent="0.25">
      <c r="A2232" s="12" t="s">
        <v>2265</v>
      </c>
    </row>
    <row r="2233" spans="1:1" ht="15" x14ac:dyDescent="0.25">
      <c r="A2233" s="12" t="s">
        <v>2266</v>
      </c>
    </row>
    <row r="2234" spans="1:1" ht="15" x14ac:dyDescent="0.25">
      <c r="A2234" s="12" t="s">
        <v>2267</v>
      </c>
    </row>
    <row r="2235" spans="1:1" ht="15" x14ac:dyDescent="0.25">
      <c r="A2235" s="12" t="s">
        <v>2268</v>
      </c>
    </row>
    <row r="2236" spans="1:1" ht="15" x14ac:dyDescent="0.25">
      <c r="A2236" s="12" t="s">
        <v>2269</v>
      </c>
    </row>
    <row r="2237" spans="1:1" ht="15" x14ac:dyDescent="0.25">
      <c r="A2237" s="12" t="s">
        <v>2270</v>
      </c>
    </row>
    <row r="2238" spans="1:1" ht="15" x14ac:dyDescent="0.25">
      <c r="A2238" s="12" t="s">
        <v>2271</v>
      </c>
    </row>
    <row r="2239" spans="1:1" ht="15" x14ac:dyDescent="0.25">
      <c r="A2239" s="12" t="s">
        <v>2272</v>
      </c>
    </row>
    <row r="2240" spans="1:1" ht="15" x14ac:dyDescent="0.25">
      <c r="A2240" s="12" t="s">
        <v>2273</v>
      </c>
    </row>
    <row r="2241" spans="1:1" ht="15" x14ac:dyDescent="0.25">
      <c r="A2241" s="12" t="s">
        <v>2274</v>
      </c>
    </row>
    <row r="2242" spans="1:1" ht="15" x14ac:dyDescent="0.25">
      <c r="A2242" s="12" t="s">
        <v>2275</v>
      </c>
    </row>
    <row r="2243" spans="1:1" ht="15" x14ac:dyDescent="0.25">
      <c r="A2243" s="12" t="s">
        <v>2276</v>
      </c>
    </row>
    <row r="2244" spans="1:1" ht="15" x14ac:dyDescent="0.25">
      <c r="A2244" s="12" t="s">
        <v>2277</v>
      </c>
    </row>
    <row r="2245" spans="1:1" ht="15" x14ac:dyDescent="0.25">
      <c r="A2245" s="12" t="s">
        <v>2278</v>
      </c>
    </row>
    <row r="2246" spans="1:1" ht="15" x14ac:dyDescent="0.25">
      <c r="A2246" s="12" t="s">
        <v>2279</v>
      </c>
    </row>
    <row r="2247" spans="1:1" ht="15" x14ac:dyDescent="0.25">
      <c r="A2247" s="12" t="s">
        <v>2280</v>
      </c>
    </row>
    <row r="2248" spans="1:1" ht="15" x14ac:dyDescent="0.25">
      <c r="A2248" s="12" t="s">
        <v>2281</v>
      </c>
    </row>
    <row r="2249" spans="1:1" ht="15" x14ac:dyDescent="0.25">
      <c r="A2249" s="12" t="s">
        <v>2282</v>
      </c>
    </row>
    <row r="2250" spans="1:1" ht="15" x14ac:dyDescent="0.25">
      <c r="A2250" s="12" t="s">
        <v>2283</v>
      </c>
    </row>
    <row r="2251" spans="1:1" ht="15" x14ac:dyDescent="0.25">
      <c r="A2251" s="12" t="s">
        <v>2284</v>
      </c>
    </row>
    <row r="2252" spans="1:1" ht="15" x14ac:dyDescent="0.25">
      <c r="A2252" s="12" t="s">
        <v>2285</v>
      </c>
    </row>
    <row r="2253" spans="1:1" ht="15" x14ac:dyDescent="0.25">
      <c r="A2253" s="12" t="s">
        <v>2286</v>
      </c>
    </row>
    <row r="2254" spans="1:1" ht="15" x14ac:dyDescent="0.25">
      <c r="A2254" s="12" t="s">
        <v>2287</v>
      </c>
    </row>
    <row r="2255" spans="1:1" ht="15" x14ac:dyDescent="0.25">
      <c r="A2255" s="12" t="s">
        <v>2288</v>
      </c>
    </row>
    <row r="2256" spans="1:1" ht="15" x14ac:dyDescent="0.25">
      <c r="A2256" s="12" t="s">
        <v>2289</v>
      </c>
    </row>
    <row r="2257" spans="1:1" ht="15" x14ac:dyDescent="0.25">
      <c r="A2257" s="12" t="s">
        <v>2290</v>
      </c>
    </row>
    <row r="2258" spans="1:1" ht="15" x14ac:dyDescent="0.25">
      <c r="A2258" s="12" t="s">
        <v>2291</v>
      </c>
    </row>
    <row r="2259" spans="1:1" ht="15" x14ac:dyDescent="0.25">
      <c r="A2259" s="12" t="s">
        <v>2292</v>
      </c>
    </row>
    <row r="2260" spans="1:1" ht="15" x14ac:dyDescent="0.25">
      <c r="A2260" s="12" t="s">
        <v>2293</v>
      </c>
    </row>
    <row r="2261" spans="1:1" ht="15" x14ac:dyDescent="0.25">
      <c r="A2261" s="12" t="s">
        <v>2294</v>
      </c>
    </row>
    <row r="2262" spans="1:1" ht="15" x14ac:dyDescent="0.25">
      <c r="A2262" s="12" t="s">
        <v>2295</v>
      </c>
    </row>
    <row r="2263" spans="1:1" ht="15" x14ac:dyDescent="0.25">
      <c r="A2263" s="12" t="s">
        <v>2296</v>
      </c>
    </row>
    <row r="2264" spans="1:1" ht="15" x14ac:dyDescent="0.25">
      <c r="A2264" s="12" t="s">
        <v>2297</v>
      </c>
    </row>
    <row r="2265" spans="1:1" ht="15" x14ac:dyDescent="0.25">
      <c r="A2265" s="12" t="s">
        <v>2298</v>
      </c>
    </row>
    <row r="2266" spans="1:1" ht="15" x14ac:dyDescent="0.25">
      <c r="A2266" s="12" t="s">
        <v>2299</v>
      </c>
    </row>
    <row r="2267" spans="1:1" ht="15" x14ac:dyDescent="0.25">
      <c r="A2267" s="12" t="s">
        <v>2300</v>
      </c>
    </row>
    <row r="2268" spans="1:1" ht="15" x14ac:dyDescent="0.25">
      <c r="A2268" s="12" t="s">
        <v>2301</v>
      </c>
    </row>
    <row r="2269" spans="1:1" ht="15" x14ac:dyDescent="0.25">
      <c r="A2269" s="12" t="s">
        <v>2302</v>
      </c>
    </row>
    <row r="2270" spans="1:1" ht="15" x14ac:dyDescent="0.25">
      <c r="A2270" s="12" t="s">
        <v>2303</v>
      </c>
    </row>
    <row r="2271" spans="1:1" ht="15" x14ac:dyDescent="0.25">
      <c r="A2271" s="12" t="s">
        <v>2304</v>
      </c>
    </row>
    <row r="2272" spans="1:1" ht="15" x14ac:dyDescent="0.25">
      <c r="A2272" s="12" t="s">
        <v>2305</v>
      </c>
    </row>
    <row r="2273" spans="1:1" ht="15" x14ac:dyDescent="0.25">
      <c r="A2273" s="12" t="s">
        <v>2306</v>
      </c>
    </row>
    <row r="2274" spans="1:1" ht="15" x14ac:dyDescent="0.25">
      <c r="A2274" s="12" t="s">
        <v>2307</v>
      </c>
    </row>
    <row r="2275" spans="1:1" ht="15" x14ac:dyDescent="0.25">
      <c r="A2275" s="12" t="s">
        <v>2308</v>
      </c>
    </row>
    <row r="2276" spans="1:1" ht="15" x14ac:dyDescent="0.25">
      <c r="A2276" s="12" t="s">
        <v>2309</v>
      </c>
    </row>
    <row r="2277" spans="1:1" ht="15" x14ac:dyDescent="0.25">
      <c r="A2277" s="12" t="s">
        <v>2310</v>
      </c>
    </row>
    <row r="2278" spans="1:1" ht="15" x14ac:dyDescent="0.25">
      <c r="A2278" s="12" t="s">
        <v>2311</v>
      </c>
    </row>
    <row r="2279" spans="1:1" ht="15" x14ac:dyDescent="0.25">
      <c r="A2279" s="12" t="s">
        <v>2312</v>
      </c>
    </row>
    <row r="2280" spans="1:1" ht="15" x14ac:dyDescent="0.25">
      <c r="A2280" s="12" t="s">
        <v>2313</v>
      </c>
    </row>
    <row r="2281" spans="1:1" ht="15" x14ac:dyDescent="0.25">
      <c r="A2281" s="12" t="s">
        <v>2314</v>
      </c>
    </row>
    <row r="2282" spans="1:1" ht="15" x14ac:dyDescent="0.25">
      <c r="A2282" s="12" t="s">
        <v>2315</v>
      </c>
    </row>
    <row r="2283" spans="1:1" ht="15" x14ac:dyDescent="0.25">
      <c r="A2283" s="12" t="s">
        <v>2316</v>
      </c>
    </row>
    <row r="2284" spans="1:1" ht="15" x14ac:dyDescent="0.25">
      <c r="A2284" s="12" t="s">
        <v>2317</v>
      </c>
    </row>
    <row r="2285" spans="1:1" ht="15" x14ac:dyDescent="0.25">
      <c r="A2285" s="12" t="s">
        <v>2318</v>
      </c>
    </row>
    <row r="2286" spans="1:1" ht="15" x14ac:dyDescent="0.25">
      <c r="A2286" s="12" t="s">
        <v>2319</v>
      </c>
    </row>
    <row r="2287" spans="1:1" ht="15" x14ac:dyDescent="0.25">
      <c r="A2287" s="12" t="s">
        <v>2320</v>
      </c>
    </row>
    <row r="2288" spans="1:1" ht="15" x14ac:dyDescent="0.25">
      <c r="A2288" s="12" t="s">
        <v>2321</v>
      </c>
    </row>
    <row r="2289" spans="1:1" ht="15" x14ac:dyDescent="0.25">
      <c r="A2289" s="12" t="s">
        <v>2322</v>
      </c>
    </row>
    <row r="2290" spans="1:1" ht="15" x14ac:dyDescent="0.25">
      <c r="A2290" s="12" t="s">
        <v>2323</v>
      </c>
    </row>
    <row r="2291" spans="1:1" ht="15" x14ac:dyDescent="0.25">
      <c r="A2291" s="12" t="s">
        <v>2324</v>
      </c>
    </row>
    <row r="2292" spans="1:1" ht="15" x14ac:dyDescent="0.25">
      <c r="A2292" s="12" t="s">
        <v>2325</v>
      </c>
    </row>
    <row r="2293" spans="1:1" ht="15" x14ac:dyDescent="0.25">
      <c r="A2293" s="12" t="s">
        <v>2326</v>
      </c>
    </row>
    <row r="2294" spans="1:1" ht="15" x14ac:dyDescent="0.25">
      <c r="A2294" s="12" t="s">
        <v>2327</v>
      </c>
    </row>
    <row r="2295" spans="1:1" ht="15" x14ac:dyDescent="0.25">
      <c r="A2295" s="12" t="s">
        <v>2328</v>
      </c>
    </row>
    <row r="2296" spans="1:1" ht="15" x14ac:dyDescent="0.25">
      <c r="A2296" s="12" t="s">
        <v>2329</v>
      </c>
    </row>
    <row r="2297" spans="1:1" ht="15" x14ac:dyDescent="0.25">
      <c r="A2297" s="12" t="s">
        <v>2330</v>
      </c>
    </row>
    <row r="2298" spans="1:1" ht="15" x14ac:dyDescent="0.25">
      <c r="A2298" s="12" t="s">
        <v>2331</v>
      </c>
    </row>
    <row r="2299" spans="1:1" ht="15" x14ac:dyDescent="0.25">
      <c r="A2299" s="12" t="s">
        <v>2332</v>
      </c>
    </row>
    <row r="2300" spans="1:1" ht="15" x14ac:dyDescent="0.25">
      <c r="A2300" s="12" t="s">
        <v>2333</v>
      </c>
    </row>
    <row r="2301" spans="1:1" ht="15" x14ac:dyDescent="0.25">
      <c r="A2301" s="12" t="s">
        <v>2334</v>
      </c>
    </row>
    <row r="2302" spans="1:1" ht="15" x14ac:dyDescent="0.25">
      <c r="A2302" s="12" t="s">
        <v>2335</v>
      </c>
    </row>
    <row r="2303" spans="1:1" ht="15" x14ac:dyDescent="0.25">
      <c r="A2303" s="12" t="s">
        <v>2336</v>
      </c>
    </row>
    <row r="2304" spans="1:1" ht="15" x14ac:dyDescent="0.25">
      <c r="A2304" s="12" t="s">
        <v>2337</v>
      </c>
    </row>
    <row r="2305" spans="1:1" ht="15" x14ac:dyDescent="0.25">
      <c r="A2305" s="12" t="s">
        <v>2338</v>
      </c>
    </row>
    <row r="2306" spans="1:1" ht="15" x14ac:dyDescent="0.25">
      <c r="A2306" s="12" t="s">
        <v>2339</v>
      </c>
    </row>
    <row r="2307" spans="1:1" ht="15" x14ac:dyDescent="0.25">
      <c r="A2307" s="12" t="s">
        <v>2340</v>
      </c>
    </row>
    <row r="2308" spans="1:1" ht="15" x14ac:dyDescent="0.25">
      <c r="A2308" s="12" t="s">
        <v>2341</v>
      </c>
    </row>
    <row r="2309" spans="1:1" ht="15" x14ac:dyDescent="0.25">
      <c r="A2309" s="12" t="s">
        <v>2342</v>
      </c>
    </row>
    <row r="2310" spans="1:1" ht="15" x14ac:dyDescent="0.25">
      <c r="A2310" s="12" t="s">
        <v>2343</v>
      </c>
    </row>
    <row r="2311" spans="1:1" ht="15" x14ac:dyDescent="0.25">
      <c r="A2311" s="12" t="s">
        <v>2344</v>
      </c>
    </row>
    <row r="2312" spans="1:1" ht="15" x14ac:dyDescent="0.25">
      <c r="A2312" s="12" t="s">
        <v>2345</v>
      </c>
    </row>
    <row r="2313" spans="1:1" ht="15" x14ac:dyDescent="0.25">
      <c r="A2313" s="12" t="s">
        <v>2346</v>
      </c>
    </row>
    <row r="2314" spans="1:1" ht="15" x14ac:dyDescent="0.25">
      <c r="A2314" s="12" t="s">
        <v>2347</v>
      </c>
    </row>
    <row r="2315" spans="1:1" ht="15" x14ac:dyDescent="0.25">
      <c r="A2315" s="12" t="s">
        <v>2348</v>
      </c>
    </row>
    <row r="2316" spans="1:1" ht="15" x14ac:dyDescent="0.25">
      <c r="A2316" s="12" t="s">
        <v>2349</v>
      </c>
    </row>
    <row r="2317" spans="1:1" ht="15" x14ac:dyDescent="0.25">
      <c r="A2317" s="12" t="s">
        <v>2350</v>
      </c>
    </row>
    <row r="2318" spans="1:1" ht="15" x14ac:dyDescent="0.25">
      <c r="A2318" s="12" t="s">
        <v>2351</v>
      </c>
    </row>
    <row r="2319" spans="1:1" ht="15" x14ac:dyDescent="0.25">
      <c r="A2319" s="12" t="s">
        <v>2352</v>
      </c>
    </row>
    <row r="2320" spans="1:1" ht="15" x14ac:dyDescent="0.25">
      <c r="A2320" s="12" t="s">
        <v>2353</v>
      </c>
    </row>
    <row r="2321" spans="1:1" ht="15" x14ac:dyDescent="0.25">
      <c r="A2321" s="12" t="s">
        <v>2354</v>
      </c>
    </row>
    <row r="2322" spans="1:1" ht="15" x14ac:dyDescent="0.25">
      <c r="A2322" s="12" t="s">
        <v>2355</v>
      </c>
    </row>
    <row r="2323" spans="1:1" ht="15" x14ac:dyDescent="0.25">
      <c r="A2323" s="12" t="s">
        <v>2356</v>
      </c>
    </row>
    <row r="2324" spans="1:1" ht="15" x14ac:dyDescent="0.25">
      <c r="A2324" s="12" t="s">
        <v>2357</v>
      </c>
    </row>
    <row r="2325" spans="1:1" ht="15" x14ac:dyDescent="0.25">
      <c r="A2325" s="12" t="s">
        <v>2358</v>
      </c>
    </row>
    <row r="2326" spans="1:1" ht="15" x14ac:dyDescent="0.25">
      <c r="A2326" s="12" t="s">
        <v>2359</v>
      </c>
    </row>
    <row r="2327" spans="1:1" ht="15" x14ac:dyDescent="0.25">
      <c r="A2327" s="12" t="s">
        <v>2360</v>
      </c>
    </row>
    <row r="2328" spans="1:1" ht="15" x14ac:dyDescent="0.25">
      <c r="A2328" s="12" t="s">
        <v>2361</v>
      </c>
    </row>
    <row r="2329" spans="1:1" ht="15" x14ac:dyDescent="0.25">
      <c r="A2329" s="12" t="s">
        <v>2362</v>
      </c>
    </row>
    <row r="2330" spans="1:1" ht="15" x14ac:dyDescent="0.25">
      <c r="A2330" s="12" t="s">
        <v>2363</v>
      </c>
    </row>
    <row r="2331" spans="1:1" ht="15" x14ac:dyDescent="0.25">
      <c r="A2331" s="12" t="s">
        <v>2364</v>
      </c>
    </row>
    <row r="2332" spans="1:1" ht="15" x14ac:dyDescent="0.25">
      <c r="A2332" s="12" t="s">
        <v>2365</v>
      </c>
    </row>
    <row r="2333" spans="1:1" ht="15" x14ac:dyDescent="0.25">
      <c r="A2333" s="12" t="s">
        <v>2366</v>
      </c>
    </row>
    <row r="2334" spans="1:1" ht="15" x14ac:dyDescent="0.25">
      <c r="A2334" s="12" t="s">
        <v>2367</v>
      </c>
    </row>
    <row r="2335" spans="1:1" ht="15" x14ac:dyDescent="0.25">
      <c r="A2335" s="12" t="s">
        <v>2368</v>
      </c>
    </row>
    <row r="2336" spans="1:1" ht="15" x14ac:dyDescent="0.25">
      <c r="A2336" s="12" t="s">
        <v>2369</v>
      </c>
    </row>
    <row r="2337" spans="1:1" ht="15" x14ac:dyDescent="0.25">
      <c r="A2337" s="12" t="s">
        <v>2370</v>
      </c>
    </row>
    <row r="2338" spans="1:1" ht="15" x14ac:dyDescent="0.25">
      <c r="A2338" s="12" t="s">
        <v>2371</v>
      </c>
    </row>
    <row r="2339" spans="1:1" ht="15" x14ac:dyDescent="0.25">
      <c r="A2339" s="12" t="s">
        <v>2372</v>
      </c>
    </row>
    <row r="2340" spans="1:1" ht="15" x14ac:dyDescent="0.25">
      <c r="A2340" s="12" t="s">
        <v>2373</v>
      </c>
    </row>
    <row r="2341" spans="1:1" ht="15" x14ac:dyDescent="0.25">
      <c r="A2341" s="12" t="s">
        <v>2374</v>
      </c>
    </row>
    <row r="2342" spans="1:1" ht="15" x14ac:dyDescent="0.25">
      <c r="A2342" s="12" t="s">
        <v>2375</v>
      </c>
    </row>
    <row r="2343" spans="1:1" ht="15" x14ac:dyDescent="0.25">
      <c r="A2343" s="12" t="s">
        <v>2376</v>
      </c>
    </row>
    <row r="2344" spans="1:1" ht="15" x14ac:dyDescent="0.25">
      <c r="A2344" s="12" t="s">
        <v>2377</v>
      </c>
    </row>
    <row r="2345" spans="1:1" ht="15" x14ac:dyDescent="0.25">
      <c r="A2345" s="12" t="s">
        <v>2378</v>
      </c>
    </row>
    <row r="2346" spans="1:1" ht="15" x14ac:dyDescent="0.25">
      <c r="A2346" s="12" t="s">
        <v>2379</v>
      </c>
    </row>
    <row r="2347" spans="1:1" ht="15" x14ac:dyDescent="0.25">
      <c r="A2347" s="12" t="s">
        <v>2380</v>
      </c>
    </row>
    <row r="2348" spans="1:1" ht="15" x14ac:dyDescent="0.25">
      <c r="A2348" s="12" t="s">
        <v>2381</v>
      </c>
    </row>
    <row r="2349" spans="1:1" ht="15" x14ac:dyDescent="0.25">
      <c r="A2349" s="12" t="s">
        <v>2382</v>
      </c>
    </row>
    <row r="2350" spans="1:1" ht="15" x14ac:dyDescent="0.25">
      <c r="A2350" s="12" t="s">
        <v>2383</v>
      </c>
    </row>
    <row r="2351" spans="1:1" ht="15" x14ac:dyDescent="0.25">
      <c r="A2351" s="12" t="s">
        <v>2384</v>
      </c>
    </row>
    <row r="2352" spans="1:1" ht="15" x14ac:dyDescent="0.25">
      <c r="A2352" s="12" t="s">
        <v>2385</v>
      </c>
    </row>
    <row r="2353" spans="1:1" ht="15" x14ac:dyDescent="0.25">
      <c r="A2353" s="12" t="s">
        <v>2386</v>
      </c>
    </row>
    <row r="2354" spans="1:1" ht="15" x14ac:dyDescent="0.25">
      <c r="A2354" s="12" t="s">
        <v>2387</v>
      </c>
    </row>
    <row r="2355" spans="1:1" ht="15" x14ac:dyDescent="0.25">
      <c r="A2355" s="12" t="s">
        <v>2388</v>
      </c>
    </row>
    <row r="2356" spans="1:1" ht="15" x14ac:dyDescent="0.25">
      <c r="A2356" s="12" t="s">
        <v>2389</v>
      </c>
    </row>
    <row r="2357" spans="1:1" ht="15" x14ac:dyDescent="0.25">
      <c r="A2357" s="12" t="s">
        <v>2390</v>
      </c>
    </row>
    <row r="2358" spans="1:1" ht="15" x14ac:dyDescent="0.25">
      <c r="A2358" s="12" t="s">
        <v>2391</v>
      </c>
    </row>
    <row r="2359" spans="1:1" ht="15" x14ac:dyDescent="0.25">
      <c r="A2359" s="12" t="s">
        <v>2392</v>
      </c>
    </row>
    <row r="2360" spans="1:1" ht="15" x14ac:dyDescent="0.25">
      <c r="A2360" s="12" t="s">
        <v>2393</v>
      </c>
    </row>
    <row r="2361" spans="1:1" ht="15" x14ac:dyDescent="0.25">
      <c r="A2361" s="12" t="s">
        <v>2394</v>
      </c>
    </row>
    <row r="2362" spans="1:1" ht="15" x14ac:dyDescent="0.25">
      <c r="A2362" s="12" t="s">
        <v>2395</v>
      </c>
    </row>
    <row r="2363" spans="1:1" ht="15" x14ac:dyDescent="0.25">
      <c r="A2363" s="12" t="s">
        <v>2396</v>
      </c>
    </row>
    <row r="2364" spans="1:1" ht="15" x14ac:dyDescent="0.25">
      <c r="A2364" s="12" t="s">
        <v>2397</v>
      </c>
    </row>
    <row r="2365" spans="1:1" ht="15" x14ac:dyDescent="0.25">
      <c r="A2365" s="12" t="s">
        <v>2398</v>
      </c>
    </row>
    <row r="2366" spans="1:1" ht="15" x14ac:dyDescent="0.25">
      <c r="A2366" s="12" t="s">
        <v>2399</v>
      </c>
    </row>
    <row r="2367" spans="1:1" ht="15" x14ac:dyDescent="0.25">
      <c r="A2367" s="12" t="s">
        <v>2400</v>
      </c>
    </row>
    <row r="2368" spans="1:1" ht="15" x14ac:dyDescent="0.25">
      <c r="A2368" s="12" t="s">
        <v>2401</v>
      </c>
    </row>
    <row r="2369" spans="1:1" ht="15" x14ac:dyDescent="0.25">
      <c r="A2369" s="12" t="s">
        <v>2402</v>
      </c>
    </row>
    <row r="2370" spans="1:1" ht="15" x14ac:dyDescent="0.25">
      <c r="A2370" s="12" t="s">
        <v>2403</v>
      </c>
    </row>
    <row r="2371" spans="1:1" ht="15" x14ac:dyDescent="0.25">
      <c r="A2371" s="12" t="s">
        <v>2404</v>
      </c>
    </row>
    <row r="2372" spans="1:1" ht="15" x14ac:dyDescent="0.25">
      <c r="A2372" s="12" t="s">
        <v>2405</v>
      </c>
    </row>
    <row r="2373" spans="1:1" ht="15" x14ac:dyDescent="0.25">
      <c r="A2373" s="12" t="s">
        <v>2406</v>
      </c>
    </row>
    <row r="2374" spans="1:1" ht="15" x14ac:dyDescent="0.25">
      <c r="A2374" s="12" t="s">
        <v>2407</v>
      </c>
    </row>
    <row r="2375" spans="1:1" ht="15" x14ac:dyDescent="0.25">
      <c r="A2375" s="12" t="s">
        <v>2408</v>
      </c>
    </row>
    <row r="2376" spans="1:1" ht="15" x14ac:dyDescent="0.25">
      <c r="A2376" s="12" t="s">
        <v>2409</v>
      </c>
    </row>
    <row r="2377" spans="1:1" ht="15" x14ac:dyDescent="0.25">
      <c r="A2377" s="12" t="s">
        <v>2410</v>
      </c>
    </row>
    <row r="2378" spans="1:1" ht="15" x14ac:dyDescent="0.25">
      <c r="A2378" s="12" t="s">
        <v>2411</v>
      </c>
    </row>
    <row r="2379" spans="1:1" ht="15" x14ac:dyDescent="0.25">
      <c r="A2379" s="12" t="s">
        <v>2412</v>
      </c>
    </row>
    <row r="2380" spans="1:1" ht="15" x14ac:dyDescent="0.25">
      <c r="A2380" s="12" t="s">
        <v>2413</v>
      </c>
    </row>
    <row r="2381" spans="1:1" ht="15" x14ac:dyDescent="0.25">
      <c r="A2381" s="12" t="s">
        <v>2414</v>
      </c>
    </row>
    <row r="2382" spans="1:1" ht="15" x14ac:dyDescent="0.25">
      <c r="A2382" s="12" t="s">
        <v>2415</v>
      </c>
    </row>
    <row r="2383" spans="1:1" ht="15" x14ac:dyDescent="0.25">
      <c r="A2383" s="12" t="s">
        <v>2416</v>
      </c>
    </row>
    <row r="2384" spans="1:1" ht="15" x14ac:dyDescent="0.25">
      <c r="A2384" s="12" t="s">
        <v>2417</v>
      </c>
    </row>
    <row r="2385" spans="1:1" ht="15" x14ac:dyDescent="0.25">
      <c r="A2385" s="12" t="s">
        <v>2418</v>
      </c>
    </row>
    <row r="2386" spans="1:1" ht="15" x14ac:dyDescent="0.25">
      <c r="A2386" s="12" t="s">
        <v>2419</v>
      </c>
    </row>
    <row r="2387" spans="1:1" ht="15" x14ac:dyDescent="0.25">
      <c r="A2387" s="12" t="s">
        <v>2420</v>
      </c>
    </row>
    <row r="2388" spans="1:1" ht="15" x14ac:dyDescent="0.25">
      <c r="A2388" s="12" t="s">
        <v>2421</v>
      </c>
    </row>
    <row r="2389" spans="1:1" ht="15" x14ac:dyDescent="0.25">
      <c r="A2389" s="12" t="s">
        <v>2422</v>
      </c>
    </row>
    <row r="2390" spans="1:1" ht="15" x14ac:dyDescent="0.25">
      <c r="A2390" s="12" t="s">
        <v>2423</v>
      </c>
    </row>
    <row r="2391" spans="1:1" ht="15" x14ac:dyDescent="0.25">
      <c r="A2391" s="12" t="s">
        <v>2424</v>
      </c>
    </row>
    <row r="2392" spans="1:1" ht="15" x14ac:dyDescent="0.25">
      <c r="A2392" s="12" t="s">
        <v>2425</v>
      </c>
    </row>
    <row r="2393" spans="1:1" ht="15" x14ac:dyDescent="0.25">
      <c r="A2393" s="12" t="s">
        <v>2426</v>
      </c>
    </row>
    <row r="2394" spans="1:1" ht="15" x14ac:dyDescent="0.25">
      <c r="A2394" s="12" t="s">
        <v>2427</v>
      </c>
    </row>
    <row r="2395" spans="1:1" ht="15" x14ac:dyDescent="0.25">
      <c r="A2395" s="12" t="s">
        <v>2428</v>
      </c>
    </row>
    <row r="2396" spans="1:1" ht="15" x14ac:dyDescent="0.25">
      <c r="A2396" s="12" t="s">
        <v>2429</v>
      </c>
    </row>
    <row r="2397" spans="1:1" ht="15" x14ac:dyDescent="0.25">
      <c r="A2397" s="12" t="s">
        <v>2430</v>
      </c>
    </row>
    <row r="2398" spans="1:1" ht="15" x14ac:dyDescent="0.25">
      <c r="A2398" s="12" t="s">
        <v>2431</v>
      </c>
    </row>
    <row r="2399" spans="1:1" ht="15" x14ac:dyDescent="0.25">
      <c r="A2399" s="12" t="s">
        <v>2432</v>
      </c>
    </row>
    <row r="2400" spans="1:1" ht="15" x14ac:dyDescent="0.25">
      <c r="A2400" s="12" t="s">
        <v>2433</v>
      </c>
    </row>
    <row r="2401" spans="1:1" ht="15" x14ac:dyDescent="0.25">
      <c r="A2401" s="12" t="s">
        <v>2434</v>
      </c>
    </row>
    <row r="2402" spans="1:1" ht="15" x14ac:dyDescent="0.25">
      <c r="A2402" s="12" t="s">
        <v>2435</v>
      </c>
    </row>
    <row r="2403" spans="1:1" ht="15" x14ac:dyDescent="0.25">
      <c r="A2403" s="12" t="s">
        <v>2436</v>
      </c>
    </row>
    <row r="2404" spans="1:1" ht="15" x14ac:dyDescent="0.25">
      <c r="A2404" s="12" t="s">
        <v>2437</v>
      </c>
    </row>
    <row r="2405" spans="1:1" ht="15" x14ac:dyDescent="0.25">
      <c r="A2405" s="12" t="s">
        <v>2438</v>
      </c>
    </row>
    <row r="2406" spans="1:1" ht="15" x14ac:dyDescent="0.25">
      <c r="A2406" s="12" t="s">
        <v>2439</v>
      </c>
    </row>
    <row r="2407" spans="1:1" ht="15" x14ac:dyDescent="0.25">
      <c r="A2407" s="12" t="s">
        <v>2440</v>
      </c>
    </row>
    <row r="2408" spans="1:1" ht="15" x14ac:dyDescent="0.25">
      <c r="A2408" s="12" t="s">
        <v>2441</v>
      </c>
    </row>
    <row r="2409" spans="1:1" ht="15" x14ac:dyDescent="0.25">
      <c r="A2409" s="12" t="s">
        <v>2442</v>
      </c>
    </row>
    <row r="2410" spans="1:1" ht="15" x14ac:dyDescent="0.25">
      <c r="A2410" s="12" t="s">
        <v>2443</v>
      </c>
    </row>
    <row r="2411" spans="1:1" ht="15" x14ac:dyDescent="0.25">
      <c r="A2411" s="12" t="s">
        <v>2444</v>
      </c>
    </row>
    <row r="2412" spans="1:1" ht="15" x14ac:dyDescent="0.25">
      <c r="A2412" s="12" t="s">
        <v>2445</v>
      </c>
    </row>
    <row r="2413" spans="1:1" ht="15" x14ac:dyDescent="0.25">
      <c r="A2413" s="12" t="s">
        <v>2446</v>
      </c>
    </row>
    <row r="2414" spans="1:1" ht="15" x14ac:dyDescent="0.25">
      <c r="A2414" s="12" t="s">
        <v>2447</v>
      </c>
    </row>
    <row r="2415" spans="1:1" ht="15" x14ac:dyDescent="0.25">
      <c r="A2415" s="12" t="s">
        <v>2448</v>
      </c>
    </row>
    <row r="2416" spans="1:1" ht="15" x14ac:dyDescent="0.25">
      <c r="A2416" s="12" t="s">
        <v>2449</v>
      </c>
    </row>
    <row r="2417" spans="1:1" ht="15" x14ac:dyDescent="0.25">
      <c r="A2417" s="12" t="s">
        <v>2450</v>
      </c>
    </row>
    <row r="2418" spans="1:1" ht="15" x14ac:dyDescent="0.25">
      <c r="A2418" s="12" t="s">
        <v>2451</v>
      </c>
    </row>
    <row r="2419" spans="1:1" ht="15" x14ac:dyDescent="0.25">
      <c r="A2419" s="12" t="s">
        <v>2452</v>
      </c>
    </row>
    <row r="2420" spans="1:1" ht="15" x14ac:dyDescent="0.25">
      <c r="A2420" s="12" t="s">
        <v>2453</v>
      </c>
    </row>
    <row r="2421" spans="1:1" ht="15" x14ac:dyDescent="0.25">
      <c r="A2421" s="12" t="s">
        <v>2454</v>
      </c>
    </row>
    <row r="2422" spans="1:1" ht="15" x14ac:dyDescent="0.25">
      <c r="A2422" s="12" t="s">
        <v>2455</v>
      </c>
    </row>
    <row r="2423" spans="1:1" ht="15" x14ac:dyDescent="0.25">
      <c r="A2423" s="12" t="s">
        <v>2456</v>
      </c>
    </row>
    <row r="2424" spans="1:1" ht="15" x14ac:dyDescent="0.25">
      <c r="A2424" s="12" t="s">
        <v>2457</v>
      </c>
    </row>
    <row r="2425" spans="1:1" ht="15" x14ac:dyDescent="0.25">
      <c r="A2425" s="12" t="s">
        <v>2458</v>
      </c>
    </row>
    <row r="2426" spans="1:1" ht="15" x14ac:dyDescent="0.25">
      <c r="A2426" s="12" t="s">
        <v>2459</v>
      </c>
    </row>
    <row r="2427" spans="1:1" ht="15" x14ac:dyDescent="0.25">
      <c r="A2427" s="12" t="s">
        <v>2460</v>
      </c>
    </row>
    <row r="2428" spans="1:1" ht="15" x14ac:dyDescent="0.25">
      <c r="A2428" s="12" t="s">
        <v>2461</v>
      </c>
    </row>
    <row r="2429" spans="1:1" ht="15" x14ac:dyDescent="0.25">
      <c r="A2429" s="12" t="s">
        <v>2462</v>
      </c>
    </row>
    <row r="2430" spans="1:1" ht="15" x14ac:dyDescent="0.25">
      <c r="A2430" s="12" t="s">
        <v>2463</v>
      </c>
    </row>
    <row r="2431" spans="1:1" ht="15" x14ac:dyDescent="0.25">
      <c r="A2431" s="12" t="s">
        <v>2464</v>
      </c>
    </row>
    <row r="2432" spans="1:1" ht="15" x14ac:dyDescent="0.25">
      <c r="A2432" s="12" t="s">
        <v>2465</v>
      </c>
    </row>
    <row r="2433" spans="1:1" ht="15" x14ac:dyDescent="0.25">
      <c r="A2433" s="12" t="s">
        <v>2466</v>
      </c>
    </row>
    <row r="2434" spans="1:1" ht="15" x14ac:dyDescent="0.25">
      <c r="A2434" s="12" t="s">
        <v>2467</v>
      </c>
    </row>
    <row r="2435" spans="1:1" ht="15" x14ac:dyDescent="0.25">
      <c r="A2435" s="12" t="s">
        <v>2468</v>
      </c>
    </row>
    <row r="2436" spans="1:1" ht="15" x14ac:dyDescent="0.25">
      <c r="A2436" s="12" t="s">
        <v>2469</v>
      </c>
    </row>
    <row r="2437" spans="1:1" ht="15" x14ac:dyDescent="0.25">
      <c r="A2437" s="12" t="s">
        <v>2470</v>
      </c>
    </row>
    <row r="2438" spans="1:1" ht="15" x14ac:dyDescent="0.25">
      <c r="A2438" s="12" t="s">
        <v>2471</v>
      </c>
    </row>
    <row r="2439" spans="1:1" ht="15" x14ac:dyDescent="0.25">
      <c r="A2439" s="12" t="s">
        <v>2472</v>
      </c>
    </row>
    <row r="2440" spans="1:1" ht="15" x14ac:dyDescent="0.25">
      <c r="A2440" s="12" t="s">
        <v>2473</v>
      </c>
    </row>
    <row r="2441" spans="1:1" ht="15" x14ac:dyDescent="0.25">
      <c r="A2441" s="12" t="s">
        <v>2474</v>
      </c>
    </row>
    <row r="2442" spans="1:1" ht="15" x14ac:dyDescent="0.25">
      <c r="A2442" s="12" t="s">
        <v>2475</v>
      </c>
    </row>
    <row r="2443" spans="1:1" ht="15" x14ac:dyDescent="0.25">
      <c r="A2443" s="12" t="s">
        <v>2476</v>
      </c>
    </row>
    <row r="2444" spans="1:1" ht="15" x14ac:dyDescent="0.25">
      <c r="A2444" s="12" t="s">
        <v>2477</v>
      </c>
    </row>
    <row r="2445" spans="1:1" ht="15" x14ac:dyDescent="0.25">
      <c r="A2445" s="12" t="s">
        <v>2478</v>
      </c>
    </row>
    <row r="2446" spans="1:1" ht="15" x14ac:dyDescent="0.25">
      <c r="A2446" s="12" t="s">
        <v>2479</v>
      </c>
    </row>
    <row r="2447" spans="1:1" ht="15" x14ac:dyDescent="0.25">
      <c r="A2447" s="12" t="s">
        <v>2480</v>
      </c>
    </row>
    <row r="2448" spans="1:1" ht="15" x14ac:dyDescent="0.25">
      <c r="A2448" s="12" t="s">
        <v>2481</v>
      </c>
    </row>
    <row r="2449" spans="1:1" ht="15" x14ac:dyDescent="0.25">
      <c r="A2449" s="12" t="s">
        <v>2482</v>
      </c>
    </row>
    <row r="2450" spans="1:1" ht="15" x14ac:dyDescent="0.25">
      <c r="A2450" s="12" t="s">
        <v>2483</v>
      </c>
    </row>
    <row r="2451" spans="1:1" ht="15" x14ac:dyDescent="0.25">
      <c r="A2451" s="12" t="s">
        <v>2484</v>
      </c>
    </row>
    <row r="2452" spans="1:1" ht="15" x14ac:dyDescent="0.25">
      <c r="A2452" s="12" t="s">
        <v>2485</v>
      </c>
    </row>
    <row r="2453" spans="1:1" ht="15" x14ac:dyDescent="0.25">
      <c r="A2453" s="12" t="s">
        <v>2486</v>
      </c>
    </row>
    <row r="2454" spans="1:1" ht="15" x14ac:dyDescent="0.25">
      <c r="A2454" s="12" t="s">
        <v>2487</v>
      </c>
    </row>
    <row r="2455" spans="1:1" ht="15" x14ac:dyDescent="0.25">
      <c r="A2455" s="12" t="s">
        <v>2488</v>
      </c>
    </row>
    <row r="2456" spans="1:1" ht="15" x14ac:dyDescent="0.25">
      <c r="A2456" s="12" t="s">
        <v>2489</v>
      </c>
    </row>
    <row r="2457" spans="1:1" ht="15" x14ac:dyDescent="0.25">
      <c r="A2457" s="12" t="s">
        <v>2490</v>
      </c>
    </row>
    <row r="2458" spans="1:1" ht="15" x14ac:dyDescent="0.25">
      <c r="A2458" s="12" t="s">
        <v>2491</v>
      </c>
    </row>
    <row r="2459" spans="1:1" ht="15" x14ac:dyDescent="0.25">
      <c r="A2459" s="12" t="s">
        <v>2492</v>
      </c>
    </row>
    <row r="2460" spans="1:1" ht="15" x14ac:dyDescent="0.25">
      <c r="A2460" s="12" t="s">
        <v>2493</v>
      </c>
    </row>
    <row r="2461" spans="1:1" ht="15" x14ac:dyDescent="0.25">
      <c r="A2461" s="12" t="s">
        <v>2494</v>
      </c>
    </row>
    <row r="2462" spans="1:1" ht="15" x14ac:dyDescent="0.25">
      <c r="A2462" s="12" t="s">
        <v>2495</v>
      </c>
    </row>
    <row r="2463" spans="1:1" ht="15" x14ac:dyDescent="0.25">
      <c r="A2463" s="12" t="s">
        <v>2496</v>
      </c>
    </row>
    <row r="2464" spans="1:1" ht="15" x14ac:dyDescent="0.25">
      <c r="A2464" s="12" t="s">
        <v>2497</v>
      </c>
    </row>
    <row r="2465" spans="1:1" ht="15" x14ac:dyDescent="0.25">
      <c r="A2465" s="12" t="s">
        <v>2498</v>
      </c>
    </row>
    <row r="2466" spans="1:1" ht="15" x14ac:dyDescent="0.25">
      <c r="A2466" s="12" t="s">
        <v>2499</v>
      </c>
    </row>
    <row r="2467" spans="1:1" ht="15" x14ac:dyDescent="0.25">
      <c r="A2467" s="12" t="s">
        <v>2500</v>
      </c>
    </row>
    <row r="2468" spans="1:1" ht="15" x14ac:dyDescent="0.25">
      <c r="A2468" s="12" t="s">
        <v>2501</v>
      </c>
    </row>
    <row r="2469" spans="1:1" ht="15" x14ac:dyDescent="0.25">
      <c r="A2469" s="12" t="s">
        <v>2502</v>
      </c>
    </row>
    <row r="2470" spans="1:1" ht="15" x14ac:dyDescent="0.25">
      <c r="A2470" s="12" t="s">
        <v>2503</v>
      </c>
    </row>
    <row r="2471" spans="1:1" ht="15" x14ac:dyDescent="0.25">
      <c r="A2471" s="12" t="s">
        <v>2504</v>
      </c>
    </row>
    <row r="2472" spans="1:1" ht="15" x14ac:dyDescent="0.25">
      <c r="A2472" s="12" t="s">
        <v>2505</v>
      </c>
    </row>
    <row r="2473" spans="1:1" ht="15" x14ac:dyDescent="0.25">
      <c r="A2473" s="12" t="s">
        <v>2506</v>
      </c>
    </row>
    <row r="2474" spans="1:1" ht="15" x14ac:dyDescent="0.25">
      <c r="A2474" s="12" t="s">
        <v>2507</v>
      </c>
    </row>
    <row r="2475" spans="1:1" ht="15" x14ac:dyDescent="0.25">
      <c r="A2475" s="12" t="s">
        <v>2508</v>
      </c>
    </row>
    <row r="2476" spans="1:1" ht="15" x14ac:dyDescent="0.25">
      <c r="A2476" s="12" t="s">
        <v>2509</v>
      </c>
    </row>
    <row r="2477" spans="1:1" ht="15" x14ac:dyDescent="0.25">
      <c r="A2477" s="12" t="s">
        <v>2510</v>
      </c>
    </row>
    <row r="2478" spans="1:1" ht="15" x14ac:dyDescent="0.25">
      <c r="A2478" s="12" t="s">
        <v>2511</v>
      </c>
    </row>
    <row r="2479" spans="1:1" ht="15" x14ac:dyDescent="0.25">
      <c r="A2479" s="12" t="s">
        <v>2512</v>
      </c>
    </row>
    <row r="2480" spans="1:1" ht="15" x14ac:dyDescent="0.25">
      <c r="A2480" s="12" t="s">
        <v>2513</v>
      </c>
    </row>
    <row r="2481" spans="1:1" ht="15" x14ac:dyDescent="0.25">
      <c r="A2481" s="12" t="s">
        <v>2514</v>
      </c>
    </row>
    <row r="2482" spans="1:1" ht="15" x14ac:dyDescent="0.25">
      <c r="A2482" s="12" t="s">
        <v>2515</v>
      </c>
    </row>
    <row r="2483" spans="1:1" ht="15" x14ac:dyDescent="0.25">
      <c r="A2483" s="12" t="s">
        <v>2516</v>
      </c>
    </row>
    <row r="2484" spans="1:1" ht="15" x14ac:dyDescent="0.25">
      <c r="A2484" s="12" t="s">
        <v>2517</v>
      </c>
    </row>
    <row r="2485" spans="1:1" ht="15" x14ac:dyDescent="0.25">
      <c r="A2485" s="12" t="s">
        <v>2518</v>
      </c>
    </row>
    <row r="2486" spans="1:1" ht="15" x14ac:dyDescent="0.25">
      <c r="A2486" s="12" t="s">
        <v>2519</v>
      </c>
    </row>
    <row r="2487" spans="1:1" ht="15" x14ac:dyDescent="0.25">
      <c r="A2487" s="12" t="s">
        <v>2520</v>
      </c>
    </row>
    <row r="2488" spans="1:1" ht="15" x14ac:dyDescent="0.25">
      <c r="A2488" s="12" t="s">
        <v>2521</v>
      </c>
    </row>
    <row r="2489" spans="1:1" ht="15" x14ac:dyDescent="0.25">
      <c r="A2489" s="12" t="s">
        <v>2522</v>
      </c>
    </row>
    <row r="2490" spans="1:1" ht="15" x14ac:dyDescent="0.25">
      <c r="A2490" s="12" t="s">
        <v>2523</v>
      </c>
    </row>
    <row r="2491" spans="1:1" ht="15" x14ac:dyDescent="0.25">
      <c r="A2491" s="12" t="s">
        <v>2524</v>
      </c>
    </row>
    <row r="2492" spans="1:1" ht="15" x14ac:dyDescent="0.25">
      <c r="A2492" s="12" t="s">
        <v>2525</v>
      </c>
    </row>
    <row r="2493" spans="1:1" ht="15" x14ac:dyDescent="0.25">
      <c r="A2493" s="12" t="s">
        <v>2526</v>
      </c>
    </row>
    <row r="2494" spans="1:1" ht="15" x14ac:dyDescent="0.25">
      <c r="A2494" s="12" t="s">
        <v>2527</v>
      </c>
    </row>
    <row r="2495" spans="1:1" ht="15" x14ac:dyDescent="0.25">
      <c r="A2495" s="12" t="s">
        <v>2528</v>
      </c>
    </row>
    <row r="2496" spans="1:1" ht="15" x14ac:dyDescent="0.25">
      <c r="A2496" s="12" t="s">
        <v>2529</v>
      </c>
    </row>
    <row r="2497" spans="1:1" ht="15" x14ac:dyDescent="0.25">
      <c r="A2497" s="12" t="s">
        <v>2530</v>
      </c>
    </row>
    <row r="2498" spans="1:1" ht="15" x14ac:dyDescent="0.25">
      <c r="A2498" s="12" t="s">
        <v>2531</v>
      </c>
    </row>
    <row r="2499" spans="1:1" ht="15" x14ac:dyDescent="0.25">
      <c r="A2499" s="12" t="s">
        <v>2532</v>
      </c>
    </row>
    <row r="2500" spans="1:1" ht="15" x14ac:dyDescent="0.25">
      <c r="A2500" s="12" t="s">
        <v>2533</v>
      </c>
    </row>
    <row r="2501" spans="1:1" ht="15" x14ac:dyDescent="0.25">
      <c r="A2501" s="12" t="s">
        <v>2534</v>
      </c>
    </row>
    <row r="2502" spans="1:1" ht="15" x14ac:dyDescent="0.25">
      <c r="A2502" s="12" t="s">
        <v>2535</v>
      </c>
    </row>
    <row r="2503" spans="1:1" ht="15" x14ac:dyDescent="0.25">
      <c r="A2503" s="12" t="s">
        <v>2536</v>
      </c>
    </row>
    <row r="2504" spans="1:1" ht="15" x14ac:dyDescent="0.25">
      <c r="A2504" s="12" t="s">
        <v>2537</v>
      </c>
    </row>
    <row r="2505" spans="1:1" ht="15" x14ac:dyDescent="0.25">
      <c r="A2505" s="12" t="s">
        <v>2538</v>
      </c>
    </row>
    <row r="2506" spans="1:1" ht="15" x14ac:dyDescent="0.25">
      <c r="A2506" s="12" t="s">
        <v>2539</v>
      </c>
    </row>
    <row r="2507" spans="1:1" ht="15" x14ac:dyDescent="0.25">
      <c r="A2507" s="12" t="s">
        <v>2540</v>
      </c>
    </row>
    <row r="2508" spans="1:1" ht="15" x14ac:dyDescent="0.25">
      <c r="A2508" s="12" t="s">
        <v>2541</v>
      </c>
    </row>
    <row r="2509" spans="1:1" ht="15" x14ac:dyDescent="0.25">
      <c r="A2509" s="12" t="s">
        <v>2542</v>
      </c>
    </row>
    <row r="2510" spans="1:1" ht="15" x14ac:dyDescent="0.25">
      <c r="A2510" s="12" t="s">
        <v>2543</v>
      </c>
    </row>
    <row r="2511" spans="1:1" ht="15" x14ac:dyDescent="0.25">
      <c r="A2511" s="12" t="s">
        <v>2544</v>
      </c>
    </row>
    <row r="2512" spans="1:1" ht="15" x14ac:dyDescent="0.25">
      <c r="A2512" s="12" t="s">
        <v>2545</v>
      </c>
    </row>
    <row r="2513" spans="1:1" ht="15" x14ac:dyDescent="0.25">
      <c r="A2513" s="12" t="s">
        <v>2545</v>
      </c>
    </row>
    <row r="2514" spans="1:1" ht="15" x14ac:dyDescent="0.25">
      <c r="A2514" s="12" t="s">
        <v>2546</v>
      </c>
    </row>
    <row r="2515" spans="1:1" ht="15" x14ac:dyDescent="0.25">
      <c r="A2515" s="12" t="s">
        <v>2547</v>
      </c>
    </row>
    <row r="2516" spans="1:1" ht="15" x14ac:dyDescent="0.25">
      <c r="A2516" s="12" t="s">
        <v>2548</v>
      </c>
    </row>
    <row r="2517" spans="1:1" ht="15" x14ac:dyDescent="0.25">
      <c r="A2517" s="12" t="s">
        <v>2549</v>
      </c>
    </row>
    <row r="2518" spans="1:1" ht="15" x14ac:dyDescent="0.25">
      <c r="A2518" s="12" t="s">
        <v>2550</v>
      </c>
    </row>
    <row r="2519" spans="1:1" ht="15" x14ac:dyDescent="0.25">
      <c r="A2519" s="12" t="s">
        <v>2551</v>
      </c>
    </row>
    <row r="2520" spans="1:1" ht="15" x14ac:dyDescent="0.25">
      <c r="A2520" s="12" t="s">
        <v>2552</v>
      </c>
    </row>
    <row r="2521" spans="1:1" ht="15" x14ac:dyDescent="0.25">
      <c r="A2521" s="12" t="s">
        <v>2553</v>
      </c>
    </row>
    <row r="2522" spans="1:1" ht="15" x14ac:dyDescent="0.25">
      <c r="A2522" s="12" t="s">
        <v>2554</v>
      </c>
    </row>
    <row r="2523" spans="1:1" ht="15" x14ac:dyDescent="0.25">
      <c r="A2523" s="12" t="s">
        <v>2555</v>
      </c>
    </row>
    <row r="2524" spans="1:1" ht="15" x14ac:dyDescent="0.25">
      <c r="A2524" s="12" t="s">
        <v>2556</v>
      </c>
    </row>
    <row r="2525" spans="1:1" ht="15" x14ac:dyDescent="0.25">
      <c r="A2525" s="12" t="s">
        <v>2557</v>
      </c>
    </row>
    <row r="2526" spans="1:1" ht="15" x14ac:dyDescent="0.25">
      <c r="A2526" s="12" t="s">
        <v>2558</v>
      </c>
    </row>
    <row r="2527" spans="1:1" ht="15" x14ac:dyDescent="0.25">
      <c r="A2527" s="12" t="s">
        <v>2559</v>
      </c>
    </row>
    <row r="2528" spans="1:1" ht="15" x14ac:dyDescent="0.25">
      <c r="A2528" s="12" t="s">
        <v>2560</v>
      </c>
    </row>
    <row r="2529" spans="1:1" ht="15" x14ac:dyDescent="0.25">
      <c r="A2529" s="12" t="s">
        <v>2561</v>
      </c>
    </row>
    <row r="2530" spans="1:1" ht="15" x14ac:dyDescent="0.25">
      <c r="A2530" s="12" t="s">
        <v>2562</v>
      </c>
    </row>
    <row r="2531" spans="1:1" ht="15" x14ac:dyDescent="0.25">
      <c r="A2531" s="12" t="s">
        <v>2563</v>
      </c>
    </row>
    <row r="2532" spans="1:1" ht="15" x14ac:dyDescent="0.25">
      <c r="A2532" s="12" t="s">
        <v>2564</v>
      </c>
    </row>
    <row r="2533" spans="1:1" ht="15" x14ac:dyDescent="0.25">
      <c r="A2533" s="12" t="s">
        <v>2565</v>
      </c>
    </row>
    <row r="2534" spans="1:1" ht="15" x14ac:dyDescent="0.25">
      <c r="A2534" s="12" t="s">
        <v>2566</v>
      </c>
    </row>
    <row r="2535" spans="1:1" ht="15" x14ac:dyDescent="0.25">
      <c r="A2535" s="12" t="s">
        <v>2567</v>
      </c>
    </row>
    <row r="2536" spans="1:1" ht="15" x14ac:dyDescent="0.25">
      <c r="A2536" s="12" t="s">
        <v>2568</v>
      </c>
    </row>
    <row r="2537" spans="1:1" ht="15" x14ac:dyDescent="0.25">
      <c r="A2537" s="12" t="s">
        <v>2569</v>
      </c>
    </row>
    <row r="2538" spans="1:1" ht="15" x14ac:dyDescent="0.25">
      <c r="A2538" s="12" t="s">
        <v>2570</v>
      </c>
    </row>
    <row r="2539" spans="1:1" ht="15" x14ac:dyDescent="0.25">
      <c r="A2539" s="12" t="s">
        <v>2571</v>
      </c>
    </row>
    <row r="2540" spans="1:1" ht="15" x14ac:dyDescent="0.25">
      <c r="A2540" s="12" t="s">
        <v>2572</v>
      </c>
    </row>
    <row r="2541" spans="1:1" ht="15" x14ac:dyDescent="0.25">
      <c r="A2541" s="12" t="s">
        <v>2573</v>
      </c>
    </row>
    <row r="2542" spans="1:1" ht="15" x14ac:dyDescent="0.25">
      <c r="A2542" s="12" t="s">
        <v>2574</v>
      </c>
    </row>
    <row r="2543" spans="1:1" ht="15" x14ac:dyDescent="0.25">
      <c r="A2543" s="12" t="s">
        <v>2575</v>
      </c>
    </row>
    <row r="2544" spans="1:1" ht="15" x14ac:dyDescent="0.25">
      <c r="A2544" s="12" t="s">
        <v>2576</v>
      </c>
    </row>
    <row r="2545" spans="1:1" ht="15" x14ac:dyDescent="0.25">
      <c r="A2545" s="12" t="s">
        <v>2577</v>
      </c>
    </row>
    <row r="2546" spans="1:1" ht="15" x14ac:dyDescent="0.25">
      <c r="A2546" s="12" t="s">
        <v>2578</v>
      </c>
    </row>
    <row r="2547" spans="1:1" ht="15" x14ac:dyDescent="0.25">
      <c r="A2547" s="12" t="s">
        <v>2579</v>
      </c>
    </row>
    <row r="2548" spans="1:1" ht="15" x14ac:dyDescent="0.25">
      <c r="A2548" s="12" t="s">
        <v>2580</v>
      </c>
    </row>
    <row r="2549" spans="1:1" ht="15" x14ac:dyDescent="0.25">
      <c r="A2549" s="12" t="s">
        <v>2581</v>
      </c>
    </row>
    <row r="2550" spans="1:1" ht="15" x14ac:dyDescent="0.25">
      <c r="A2550" s="12" t="s">
        <v>2582</v>
      </c>
    </row>
    <row r="2551" spans="1:1" ht="15" x14ac:dyDescent="0.25">
      <c r="A2551" s="12" t="s">
        <v>2583</v>
      </c>
    </row>
    <row r="2552" spans="1:1" ht="15" x14ac:dyDescent="0.25">
      <c r="A2552" s="12" t="s">
        <v>2584</v>
      </c>
    </row>
    <row r="2553" spans="1:1" ht="15" x14ac:dyDescent="0.25">
      <c r="A2553" s="12" t="s">
        <v>2585</v>
      </c>
    </row>
    <row r="2554" spans="1:1" ht="15" x14ac:dyDescent="0.25">
      <c r="A2554" s="12" t="s">
        <v>2586</v>
      </c>
    </row>
    <row r="2555" spans="1:1" ht="15" x14ac:dyDescent="0.25">
      <c r="A2555" s="12" t="s">
        <v>2587</v>
      </c>
    </row>
    <row r="2556" spans="1:1" ht="15" x14ac:dyDescent="0.25">
      <c r="A2556" s="12" t="s">
        <v>2588</v>
      </c>
    </row>
    <row r="2557" spans="1:1" ht="15" x14ac:dyDescent="0.25">
      <c r="A2557" s="12" t="s">
        <v>2589</v>
      </c>
    </row>
    <row r="2558" spans="1:1" ht="15" x14ac:dyDescent="0.25">
      <c r="A2558" s="12" t="s">
        <v>2590</v>
      </c>
    </row>
    <row r="2559" spans="1:1" ht="15" x14ac:dyDescent="0.25">
      <c r="A2559" s="12" t="s">
        <v>2591</v>
      </c>
    </row>
    <row r="2560" spans="1:1" ht="15" x14ac:dyDescent="0.25">
      <c r="A2560" s="12" t="s">
        <v>2592</v>
      </c>
    </row>
    <row r="2561" spans="1:1" ht="15" x14ac:dyDescent="0.25">
      <c r="A2561" s="12" t="s">
        <v>2593</v>
      </c>
    </row>
    <row r="2562" spans="1:1" ht="15" x14ac:dyDescent="0.25">
      <c r="A2562" s="12" t="s">
        <v>2594</v>
      </c>
    </row>
    <row r="2563" spans="1:1" ht="15" x14ac:dyDescent="0.25">
      <c r="A2563" s="12" t="s">
        <v>2595</v>
      </c>
    </row>
    <row r="2564" spans="1:1" ht="15" x14ac:dyDescent="0.25">
      <c r="A2564" s="12" t="s">
        <v>2595</v>
      </c>
    </row>
    <row r="2565" spans="1:1" ht="15" x14ac:dyDescent="0.25">
      <c r="A2565" s="12" t="s">
        <v>2596</v>
      </c>
    </row>
    <row r="2566" spans="1:1" ht="15" x14ac:dyDescent="0.25">
      <c r="A2566" s="12" t="s">
        <v>2597</v>
      </c>
    </row>
    <row r="2567" spans="1:1" ht="15" x14ac:dyDescent="0.25">
      <c r="A2567" s="12" t="s">
        <v>2598</v>
      </c>
    </row>
    <row r="2568" spans="1:1" ht="15" x14ac:dyDescent="0.25">
      <c r="A2568" s="12" t="s">
        <v>2599</v>
      </c>
    </row>
    <row r="2569" spans="1:1" ht="15" x14ac:dyDescent="0.25">
      <c r="A2569" s="12" t="s">
        <v>2600</v>
      </c>
    </row>
    <row r="2570" spans="1:1" ht="15" x14ac:dyDescent="0.25">
      <c r="A2570" s="12" t="s">
        <v>2601</v>
      </c>
    </row>
    <row r="2571" spans="1:1" ht="15" x14ac:dyDescent="0.25">
      <c r="A2571" s="12" t="s">
        <v>2602</v>
      </c>
    </row>
    <row r="2572" spans="1:1" ht="15" x14ac:dyDescent="0.25">
      <c r="A2572" s="12" t="s">
        <v>2603</v>
      </c>
    </row>
    <row r="2573" spans="1:1" ht="15" x14ac:dyDescent="0.25">
      <c r="A2573" s="12" t="s">
        <v>2604</v>
      </c>
    </row>
    <row r="2574" spans="1:1" ht="15" x14ac:dyDescent="0.25">
      <c r="A2574" s="12" t="s">
        <v>2605</v>
      </c>
    </row>
    <row r="2575" spans="1:1" ht="15" x14ac:dyDescent="0.25">
      <c r="A2575" s="12" t="s">
        <v>2606</v>
      </c>
    </row>
    <row r="2576" spans="1:1" ht="15" x14ac:dyDescent="0.25">
      <c r="A2576" s="12" t="s">
        <v>2607</v>
      </c>
    </row>
    <row r="2577" spans="1:1" ht="15" x14ac:dyDescent="0.25">
      <c r="A2577" s="12" t="s">
        <v>2608</v>
      </c>
    </row>
    <row r="2578" spans="1:1" ht="15" x14ac:dyDescent="0.25">
      <c r="A2578" s="12" t="s">
        <v>2609</v>
      </c>
    </row>
    <row r="2579" spans="1:1" ht="15" x14ac:dyDescent="0.25">
      <c r="A2579" s="12" t="s">
        <v>2610</v>
      </c>
    </row>
    <row r="2580" spans="1:1" ht="15" x14ac:dyDescent="0.25">
      <c r="A2580" s="12" t="s">
        <v>2611</v>
      </c>
    </row>
    <row r="2581" spans="1:1" ht="15" x14ac:dyDescent="0.25">
      <c r="A2581" s="12" t="s">
        <v>2612</v>
      </c>
    </row>
    <row r="2582" spans="1:1" ht="15" x14ac:dyDescent="0.25">
      <c r="A2582" s="12" t="s">
        <v>2613</v>
      </c>
    </row>
    <row r="2583" spans="1:1" ht="15" x14ac:dyDescent="0.25">
      <c r="A2583" s="12" t="s">
        <v>2614</v>
      </c>
    </row>
    <row r="2584" spans="1:1" ht="15" x14ac:dyDescent="0.25">
      <c r="A2584" s="12" t="s">
        <v>2615</v>
      </c>
    </row>
    <row r="2585" spans="1:1" ht="15" x14ac:dyDescent="0.25">
      <c r="A2585" s="12" t="s">
        <v>2616</v>
      </c>
    </row>
    <row r="2586" spans="1:1" ht="15" x14ac:dyDescent="0.25">
      <c r="A2586" s="12" t="s">
        <v>2617</v>
      </c>
    </row>
    <row r="2587" spans="1:1" ht="15" x14ac:dyDescent="0.25">
      <c r="A2587" s="12" t="s">
        <v>2618</v>
      </c>
    </row>
    <row r="2588" spans="1:1" ht="15" x14ac:dyDescent="0.25">
      <c r="A2588" s="12" t="s">
        <v>2619</v>
      </c>
    </row>
    <row r="2589" spans="1:1" ht="15" x14ac:dyDescent="0.25">
      <c r="A2589" s="12" t="s">
        <v>2620</v>
      </c>
    </row>
    <row r="2590" spans="1:1" ht="15" x14ac:dyDescent="0.25">
      <c r="A2590" s="12" t="s">
        <v>2621</v>
      </c>
    </row>
    <row r="2591" spans="1:1" ht="15" x14ac:dyDescent="0.25">
      <c r="A2591" s="12" t="s">
        <v>2622</v>
      </c>
    </row>
    <row r="2592" spans="1:1" ht="15" x14ac:dyDescent="0.25">
      <c r="A2592" s="12" t="s">
        <v>2623</v>
      </c>
    </row>
    <row r="2593" spans="1:1" ht="15" x14ac:dyDescent="0.25">
      <c r="A2593" s="12" t="s">
        <v>2624</v>
      </c>
    </row>
    <row r="2594" spans="1:1" ht="15" x14ac:dyDescent="0.25">
      <c r="A2594" s="12" t="s">
        <v>2625</v>
      </c>
    </row>
    <row r="2595" spans="1:1" ht="15" x14ac:dyDescent="0.25">
      <c r="A2595" s="12" t="s">
        <v>2626</v>
      </c>
    </row>
    <row r="2596" spans="1:1" ht="15" x14ac:dyDescent="0.25">
      <c r="A2596" s="12" t="s">
        <v>2627</v>
      </c>
    </row>
    <row r="2597" spans="1:1" ht="15" x14ac:dyDescent="0.25">
      <c r="A2597" s="12" t="s">
        <v>2628</v>
      </c>
    </row>
    <row r="2598" spans="1:1" ht="15" x14ac:dyDescent="0.25">
      <c r="A2598" s="12" t="s">
        <v>2629</v>
      </c>
    </row>
    <row r="2599" spans="1:1" ht="15" x14ac:dyDescent="0.25">
      <c r="A2599" s="12" t="s">
        <v>2630</v>
      </c>
    </row>
    <row r="2600" spans="1:1" ht="15" x14ac:dyDescent="0.25">
      <c r="A2600" s="12" t="s">
        <v>2631</v>
      </c>
    </row>
    <row r="2601" spans="1:1" ht="15" x14ac:dyDescent="0.25">
      <c r="A2601" s="12" t="s">
        <v>2632</v>
      </c>
    </row>
    <row r="2602" spans="1:1" ht="15" x14ac:dyDescent="0.25">
      <c r="A2602" s="12" t="s">
        <v>2633</v>
      </c>
    </row>
    <row r="2603" spans="1:1" ht="15" x14ac:dyDescent="0.25">
      <c r="A2603" s="12" t="s">
        <v>2634</v>
      </c>
    </row>
    <row r="2604" spans="1:1" ht="15" x14ac:dyDescent="0.25">
      <c r="A2604" s="12" t="s">
        <v>2635</v>
      </c>
    </row>
    <row r="2605" spans="1:1" ht="15" x14ac:dyDescent="0.25">
      <c r="A2605" s="12" t="s">
        <v>2636</v>
      </c>
    </row>
    <row r="2606" spans="1:1" ht="15" x14ac:dyDescent="0.25">
      <c r="A2606" s="12" t="s">
        <v>2637</v>
      </c>
    </row>
    <row r="2607" spans="1:1" ht="15" x14ac:dyDescent="0.25">
      <c r="A2607" s="12" t="s">
        <v>2638</v>
      </c>
    </row>
    <row r="2608" spans="1:1" ht="15" x14ac:dyDescent="0.25">
      <c r="A2608" s="12" t="s">
        <v>2639</v>
      </c>
    </row>
    <row r="2609" spans="1:1" ht="15" x14ac:dyDescent="0.25">
      <c r="A2609" s="12" t="s">
        <v>2640</v>
      </c>
    </row>
    <row r="2610" spans="1:1" ht="15" x14ac:dyDescent="0.25">
      <c r="A2610" s="12" t="s">
        <v>2641</v>
      </c>
    </row>
    <row r="2611" spans="1:1" ht="15" x14ac:dyDescent="0.25">
      <c r="A2611" s="12" t="s">
        <v>2642</v>
      </c>
    </row>
    <row r="2612" spans="1:1" ht="15" x14ac:dyDescent="0.25">
      <c r="A2612" s="12" t="s">
        <v>2643</v>
      </c>
    </row>
    <row r="2613" spans="1:1" ht="15" x14ac:dyDescent="0.25">
      <c r="A2613" s="12" t="s">
        <v>2644</v>
      </c>
    </row>
    <row r="2614" spans="1:1" ht="15" x14ac:dyDescent="0.25">
      <c r="A2614" s="12" t="s">
        <v>2645</v>
      </c>
    </row>
    <row r="2615" spans="1:1" ht="15" x14ac:dyDescent="0.25">
      <c r="A2615" s="12" t="s">
        <v>2646</v>
      </c>
    </row>
    <row r="2616" spans="1:1" ht="15" x14ac:dyDescent="0.25">
      <c r="A2616" s="12" t="s">
        <v>2647</v>
      </c>
    </row>
    <row r="2617" spans="1:1" ht="15" x14ac:dyDescent="0.25">
      <c r="A2617" s="12" t="s">
        <v>2648</v>
      </c>
    </row>
    <row r="2618" spans="1:1" ht="15" x14ac:dyDescent="0.25">
      <c r="A2618" s="12" t="s">
        <v>2649</v>
      </c>
    </row>
    <row r="2619" spans="1:1" ht="15" x14ac:dyDescent="0.25">
      <c r="A2619" s="12" t="s">
        <v>2650</v>
      </c>
    </row>
    <row r="2620" spans="1:1" ht="15" x14ac:dyDescent="0.25">
      <c r="A2620" s="12" t="s">
        <v>2651</v>
      </c>
    </row>
    <row r="2621" spans="1:1" ht="15" x14ac:dyDescent="0.25">
      <c r="A2621" s="12" t="s">
        <v>2652</v>
      </c>
    </row>
    <row r="2622" spans="1:1" ht="15" x14ac:dyDescent="0.25">
      <c r="A2622" s="12" t="s">
        <v>2653</v>
      </c>
    </row>
    <row r="2623" spans="1:1" ht="15" x14ac:dyDescent="0.25">
      <c r="A2623" s="12" t="s">
        <v>2654</v>
      </c>
    </row>
    <row r="2624" spans="1:1" ht="15" x14ac:dyDescent="0.25">
      <c r="A2624" s="12" t="s">
        <v>2655</v>
      </c>
    </row>
    <row r="2625" spans="1:1" ht="15" x14ac:dyDescent="0.25">
      <c r="A2625" s="12" t="s">
        <v>2656</v>
      </c>
    </row>
    <row r="2626" spans="1:1" ht="15" x14ac:dyDescent="0.25">
      <c r="A2626" s="12" t="s">
        <v>2657</v>
      </c>
    </row>
    <row r="2627" spans="1:1" ht="15" x14ac:dyDescent="0.25">
      <c r="A2627" s="12" t="s">
        <v>2658</v>
      </c>
    </row>
    <row r="2628" spans="1:1" ht="15" x14ac:dyDescent="0.25">
      <c r="A2628" s="12" t="s">
        <v>2659</v>
      </c>
    </row>
    <row r="2629" spans="1:1" ht="15" x14ac:dyDescent="0.25">
      <c r="A2629" s="12" t="s">
        <v>2660</v>
      </c>
    </row>
    <row r="2630" spans="1:1" ht="15" x14ac:dyDescent="0.25">
      <c r="A2630" s="12" t="s">
        <v>2661</v>
      </c>
    </row>
    <row r="2631" spans="1:1" ht="15" x14ac:dyDescent="0.25">
      <c r="A2631" s="12" t="s">
        <v>2662</v>
      </c>
    </row>
    <row r="2632" spans="1:1" ht="15" x14ac:dyDescent="0.25">
      <c r="A2632" s="12" t="s">
        <v>2663</v>
      </c>
    </row>
    <row r="2633" spans="1:1" ht="15" x14ac:dyDescent="0.25">
      <c r="A2633" s="12" t="s">
        <v>2664</v>
      </c>
    </row>
    <row r="2634" spans="1:1" ht="15" x14ac:dyDescent="0.25">
      <c r="A2634" s="12" t="s">
        <v>2665</v>
      </c>
    </row>
    <row r="2635" spans="1:1" ht="15" x14ac:dyDescent="0.25">
      <c r="A2635" s="12" t="s">
        <v>2666</v>
      </c>
    </row>
    <row r="2636" spans="1:1" ht="15" x14ac:dyDescent="0.25">
      <c r="A2636" s="12" t="s">
        <v>2667</v>
      </c>
    </row>
    <row r="2637" spans="1:1" ht="15" x14ac:dyDescent="0.25">
      <c r="A2637" s="12" t="s">
        <v>2668</v>
      </c>
    </row>
    <row r="2638" spans="1:1" ht="15" x14ac:dyDescent="0.25">
      <c r="A2638" s="12" t="s">
        <v>2669</v>
      </c>
    </row>
    <row r="2639" spans="1:1" ht="15" x14ac:dyDescent="0.25">
      <c r="A2639" s="12" t="s">
        <v>2670</v>
      </c>
    </row>
    <row r="2640" spans="1:1" ht="15" x14ac:dyDescent="0.25">
      <c r="A2640" s="12" t="s">
        <v>2671</v>
      </c>
    </row>
    <row r="2641" spans="1:1" ht="15" x14ac:dyDescent="0.25">
      <c r="A2641" s="12" t="s">
        <v>2672</v>
      </c>
    </row>
    <row r="2642" spans="1:1" ht="15" x14ac:dyDescent="0.25">
      <c r="A2642" s="12" t="s">
        <v>2673</v>
      </c>
    </row>
    <row r="2643" spans="1:1" ht="15" x14ac:dyDescent="0.25">
      <c r="A2643" s="12" t="s">
        <v>2674</v>
      </c>
    </row>
    <row r="2644" spans="1:1" ht="15" x14ac:dyDescent="0.25">
      <c r="A2644" s="12" t="s">
        <v>2675</v>
      </c>
    </row>
    <row r="2645" spans="1:1" ht="15" x14ac:dyDescent="0.25">
      <c r="A2645" s="12" t="s">
        <v>2676</v>
      </c>
    </row>
    <row r="2646" spans="1:1" ht="15" x14ac:dyDescent="0.25">
      <c r="A2646" s="12" t="s">
        <v>2677</v>
      </c>
    </row>
    <row r="2647" spans="1:1" ht="15" x14ac:dyDescent="0.25">
      <c r="A2647" s="12" t="s">
        <v>2678</v>
      </c>
    </row>
    <row r="2648" spans="1:1" ht="15" x14ac:dyDescent="0.25">
      <c r="A2648" s="12" t="s">
        <v>2679</v>
      </c>
    </row>
    <row r="2649" spans="1:1" ht="15" x14ac:dyDescent="0.25">
      <c r="A2649" s="12" t="s">
        <v>2680</v>
      </c>
    </row>
    <row r="2650" spans="1:1" ht="15" x14ac:dyDescent="0.25">
      <c r="A2650" s="12" t="s">
        <v>2681</v>
      </c>
    </row>
    <row r="2651" spans="1:1" ht="15" x14ac:dyDescent="0.25">
      <c r="A2651" s="12" t="s">
        <v>2682</v>
      </c>
    </row>
    <row r="2652" spans="1:1" ht="15" x14ac:dyDescent="0.25">
      <c r="A2652" s="12" t="s">
        <v>2683</v>
      </c>
    </row>
    <row r="2653" spans="1:1" ht="15" x14ac:dyDescent="0.25">
      <c r="A2653" s="12" t="s">
        <v>2684</v>
      </c>
    </row>
    <row r="2654" spans="1:1" ht="15" x14ac:dyDescent="0.25">
      <c r="A2654" s="12" t="s">
        <v>2685</v>
      </c>
    </row>
    <row r="2655" spans="1:1" ht="15" x14ac:dyDescent="0.25">
      <c r="A2655" s="12" t="s">
        <v>2686</v>
      </c>
    </row>
    <row r="2656" spans="1:1" ht="15" x14ac:dyDescent="0.25">
      <c r="A2656" s="12" t="s">
        <v>2687</v>
      </c>
    </row>
    <row r="2657" spans="1:1" ht="15" x14ac:dyDescent="0.25">
      <c r="A2657" s="12" t="s">
        <v>2688</v>
      </c>
    </row>
    <row r="2658" spans="1:1" ht="15" x14ac:dyDescent="0.25">
      <c r="A2658" s="12" t="s">
        <v>2689</v>
      </c>
    </row>
    <row r="2659" spans="1:1" ht="15" x14ac:dyDescent="0.25">
      <c r="A2659" s="12" t="s">
        <v>2690</v>
      </c>
    </row>
    <row r="2660" spans="1:1" ht="15" x14ac:dyDescent="0.25">
      <c r="A2660" s="12" t="s">
        <v>2691</v>
      </c>
    </row>
    <row r="2661" spans="1:1" ht="15" x14ac:dyDescent="0.25">
      <c r="A2661" s="12" t="s">
        <v>2692</v>
      </c>
    </row>
    <row r="2662" spans="1:1" ht="15" x14ac:dyDescent="0.25">
      <c r="A2662" s="12" t="s">
        <v>2693</v>
      </c>
    </row>
    <row r="2663" spans="1:1" ht="15" x14ac:dyDescent="0.25">
      <c r="A2663" s="12" t="s">
        <v>2694</v>
      </c>
    </row>
    <row r="2664" spans="1:1" ht="15" x14ac:dyDescent="0.25">
      <c r="A2664" s="12" t="s">
        <v>2695</v>
      </c>
    </row>
    <row r="2665" spans="1:1" ht="15" x14ac:dyDescent="0.25">
      <c r="A2665" s="12" t="s">
        <v>2696</v>
      </c>
    </row>
    <row r="2666" spans="1:1" ht="15" x14ac:dyDescent="0.25">
      <c r="A2666" s="12" t="s">
        <v>2697</v>
      </c>
    </row>
    <row r="2667" spans="1:1" ht="15" x14ac:dyDescent="0.25">
      <c r="A2667" s="12" t="s">
        <v>2698</v>
      </c>
    </row>
    <row r="2668" spans="1:1" ht="15" x14ac:dyDescent="0.25">
      <c r="A2668" s="12" t="s">
        <v>2699</v>
      </c>
    </row>
    <row r="2669" spans="1:1" ht="15" x14ac:dyDescent="0.25">
      <c r="A2669" s="12" t="s">
        <v>2700</v>
      </c>
    </row>
    <row r="2670" spans="1:1" ht="15" x14ac:dyDescent="0.25">
      <c r="A2670" s="12" t="s">
        <v>2701</v>
      </c>
    </row>
    <row r="2671" spans="1:1" ht="15" x14ac:dyDescent="0.25">
      <c r="A2671" s="12" t="s">
        <v>2702</v>
      </c>
    </row>
    <row r="2672" spans="1:1" ht="15" x14ac:dyDescent="0.25">
      <c r="A2672" s="12" t="s">
        <v>2703</v>
      </c>
    </row>
    <row r="2673" spans="1:1" ht="15" x14ac:dyDescent="0.25">
      <c r="A2673" s="12" t="s">
        <v>2704</v>
      </c>
    </row>
    <row r="2674" spans="1:1" ht="15" x14ac:dyDescent="0.25">
      <c r="A2674" s="12" t="s">
        <v>2705</v>
      </c>
    </row>
    <row r="2675" spans="1:1" ht="15" x14ac:dyDescent="0.25">
      <c r="A2675" s="12" t="s">
        <v>2706</v>
      </c>
    </row>
    <row r="2676" spans="1:1" ht="15" x14ac:dyDescent="0.25">
      <c r="A2676" s="12" t="s">
        <v>2707</v>
      </c>
    </row>
    <row r="2677" spans="1:1" ht="15" x14ac:dyDescent="0.25">
      <c r="A2677" s="12" t="s">
        <v>2708</v>
      </c>
    </row>
    <row r="2678" spans="1:1" ht="15" x14ac:dyDescent="0.25">
      <c r="A2678" s="12" t="s">
        <v>2709</v>
      </c>
    </row>
    <row r="2679" spans="1:1" ht="15" x14ac:dyDescent="0.25">
      <c r="A2679" s="12" t="s">
        <v>2710</v>
      </c>
    </row>
    <row r="2680" spans="1:1" ht="15" x14ac:dyDescent="0.25">
      <c r="A2680" s="12" t="s">
        <v>2711</v>
      </c>
    </row>
    <row r="2681" spans="1:1" ht="15" x14ac:dyDescent="0.25">
      <c r="A2681" s="12" t="s">
        <v>2712</v>
      </c>
    </row>
    <row r="2682" spans="1:1" ht="15" x14ac:dyDescent="0.25">
      <c r="A2682" s="12" t="s">
        <v>2713</v>
      </c>
    </row>
    <row r="2683" spans="1:1" ht="15" x14ac:dyDescent="0.25">
      <c r="A2683" s="12" t="s">
        <v>2714</v>
      </c>
    </row>
    <row r="2684" spans="1:1" ht="15" x14ac:dyDescent="0.25">
      <c r="A2684" s="12" t="s">
        <v>2715</v>
      </c>
    </row>
    <row r="2685" spans="1:1" ht="15" x14ac:dyDescent="0.25">
      <c r="A2685" s="12" t="s">
        <v>2716</v>
      </c>
    </row>
    <row r="2686" spans="1:1" ht="15" x14ac:dyDescent="0.25">
      <c r="A2686" s="12" t="s">
        <v>2717</v>
      </c>
    </row>
    <row r="2687" spans="1:1" ht="15" x14ac:dyDescent="0.25">
      <c r="A2687" s="12" t="s">
        <v>2718</v>
      </c>
    </row>
    <row r="2688" spans="1:1" ht="15" x14ac:dyDescent="0.25">
      <c r="A2688" s="12" t="s">
        <v>2719</v>
      </c>
    </row>
    <row r="2689" spans="1:1" ht="15" x14ac:dyDescent="0.25">
      <c r="A2689" s="12" t="s">
        <v>2720</v>
      </c>
    </row>
    <row r="2690" spans="1:1" ht="15" x14ac:dyDescent="0.25">
      <c r="A2690" s="12" t="s">
        <v>2721</v>
      </c>
    </row>
    <row r="2691" spans="1:1" ht="15" x14ac:dyDescent="0.25">
      <c r="A2691" s="12" t="s">
        <v>2722</v>
      </c>
    </row>
    <row r="2692" spans="1:1" ht="15" x14ac:dyDescent="0.25">
      <c r="A2692" s="12" t="s">
        <v>2723</v>
      </c>
    </row>
    <row r="2693" spans="1:1" ht="15" x14ac:dyDescent="0.25">
      <c r="A2693" s="12" t="s">
        <v>2724</v>
      </c>
    </row>
    <row r="2694" spans="1:1" ht="15" x14ac:dyDescent="0.25">
      <c r="A2694" s="12" t="s">
        <v>2725</v>
      </c>
    </row>
    <row r="2695" spans="1:1" ht="15" x14ac:dyDescent="0.25">
      <c r="A2695" s="12" t="s">
        <v>2726</v>
      </c>
    </row>
    <row r="2696" spans="1:1" ht="15" x14ac:dyDescent="0.25">
      <c r="A2696" s="12" t="s">
        <v>2727</v>
      </c>
    </row>
    <row r="2697" spans="1:1" ht="15" x14ac:dyDescent="0.25">
      <c r="A2697" s="12" t="s">
        <v>2728</v>
      </c>
    </row>
    <row r="2698" spans="1:1" ht="15" x14ac:dyDescent="0.25">
      <c r="A2698" s="12" t="s">
        <v>2729</v>
      </c>
    </row>
    <row r="2699" spans="1:1" ht="15" x14ac:dyDescent="0.25">
      <c r="A2699" s="12" t="s">
        <v>2730</v>
      </c>
    </row>
    <row r="2700" spans="1:1" ht="15" x14ac:dyDescent="0.25">
      <c r="A2700" s="12" t="s">
        <v>2731</v>
      </c>
    </row>
    <row r="2701" spans="1:1" ht="15" x14ac:dyDescent="0.25">
      <c r="A2701" s="12" t="s">
        <v>2732</v>
      </c>
    </row>
    <row r="2702" spans="1:1" ht="15" x14ac:dyDescent="0.25">
      <c r="A2702" s="12" t="s">
        <v>2733</v>
      </c>
    </row>
    <row r="2703" spans="1:1" ht="15" x14ac:dyDescent="0.25">
      <c r="A2703" s="12" t="s">
        <v>2734</v>
      </c>
    </row>
    <row r="2704" spans="1:1" ht="15" x14ac:dyDescent="0.25">
      <c r="A2704" s="12" t="s">
        <v>2735</v>
      </c>
    </row>
    <row r="2705" spans="1:1" ht="15" x14ac:dyDescent="0.25">
      <c r="A2705" s="12" t="s">
        <v>2736</v>
      </c>
    </row>
    <row r="2706" spans="1:1" ht="15" x14ac:dyDescent="0.25">
      <c r="A2706" s="12" t="s">
        <v>2737</v>
      </c>
    </row>
    <row r="2707" spans="1:1" ht="15" x14ac:dyDescent="0.25">
      <c r="A2707" s="12" t="s">
        <v>2738</v>
      </c>
    </row>
    <row r="2708" spans="1:1" ht="15" x14ac:dyDescent="0.25">
      <c r="A2708" s="12" t="s">
        <v>2739</v>
      </c>
    </row>
    <row r="2709" spans="1:1" ht="15" x14ac:dyDescent="0.25">
      <c r="A2709" s="12" t="s">
        <v>2740</v>
      </c>
    </row>
    <row r="2710" spans="1:1" ht="15" x14ac:dyDescent="0.25">
      <c r="A2710" s="12" t="s">
        <v>2741</v>
      </c>
    </row>
    <row r="2711" spans="1:1" ht="15" x14ac:dyDescent="0.25">
      <c r="A2711" s="12" t="s">
        <v>2742</v>
      </c>
    </row>
    <row r="2712" spans="1:1" ht="15" x14ac:dyDescent="0.25">
      <c r="A2712" s="12" t="s">
        <v>2743</v>
      </c>
    </row>
    <row r="2713" spans="1:1" ht="15" x14ac:dyDescent="0.25">
      <c r="A2713" s="12" t="s">
        <v>2744</v>
      </c>
    </row>
    <row r="2714" spans="1:1" ht="15" x14ac:dyDescent="0.25">
      <c r="A2714" s="12" t="s">
        <v>2745</v>
      </c>
    </row>
    <row r="2715" spans="1:1" ht="15" x14ac:dyDescent="0.25">
      <c r="A2715" s="12" t="s">
        <v>2746</v>
      </c>
    </row>
    <row r="2716" spans="1:1" ht="15" x14ac:dyDescent="0.25">
      <c r="A2716" s="12" t="s">
        <v>2747</v>
      </c>
    </row>
    <row r="2717" spans="1:1" ht="15" x14ac:dyDescent="0.25">
      <c r="A2717" s="12" t="s">
        <v>2748</v>
      </c>
    </row>
    <row r="2718" spans="1:1" ht="15" x14ac:dyDescent="0.25">
      <c r="A2718" s="12" t="s">
        <v>2749</v>
      </c>
    </row>
    <row r="2719" spans="1:1" ht="15" x14ac:dyDescent="0.25">
      <c r="A2719" s="12" t="s">
        <v>2750</v>
      </c>
    </row>
    <row r="2720" spans="1:1" ht="15" x14ac:dyDescent="0.25">
      <c r="A2720" s="12" t="s">
        <v>2751</v>
      </c>
    </row>
    <row r="2721" spans="1:1" ht="15" x14ac:dyDescent="0.25">
      <c r="A2721" s="12" t="s">
        <v>2752</v>
      </c>
    </row>
    <row r="2722" spans="1:1" ht="15" x14ac:dyDescent="0.25">
      <c r="A2722" s="12" t="s">
        <v>2753</v>
      </c>
    </row>
    <row r="2723" spans="1:1" ht="15" x14ac:dyDescent="0.25">
      <c r="A2723" s="12" t="s">
        <v>2754</v>
      </c>
    </row>
    <row r="2724" spans="1:1" ht="15" x14ac:dyDescent="0.25">
      <c r="A2724" s="12" t="s">
        <v>2755</v>
      </c>
    </row>
    <row r="2725" spans="1:1" ht="15" x14ac:dyDescent="0.25">
      <c r="A2725" s="12" t="s">
        <v>2756</v>
      </c>
    </row>
    <row r="2726" spans="1:1" ht="15" x14ac:dyDescent="0.25">
      <c r="A2726" s="12" t="s">
        <v>2757</v>
      </c>
    </row>
    <row r="2727" spans="1:1" ht="15" x14ac:dyDescent="0.25">
      <c r="A2727" s="12" t="s">
        <v>2758</v>
      </c>
    </row>
    <row r="2728" spans="1:1" ht="15" x14ac:dyDescent="0.25">
      <c r="A2728" s="12" t="s">
        <v>2759</v>
      </c>
    </row>
    <row r="2729" spans="1:1" ht="15" x14ac:dyDescent="0.25">
      <c r="A2729" s="12" t="s">
        <v>2760</v>
      </c>
    </row>
    <row r="2730" spans="1:1" ht="15" x14ac:dyDescent="0.25">
      <c r="A2730" s="12" t="s">
        <v>2761</v>
      </c>
    </row>
    <row r="2731" spans="1:1" ht="15" x14ac:dyDescent="0.25">
      <c r="A2731" s="12" t="s">
        <v>2762</v>
      </c>
    </row>
    <row r="2732" spans="1:1" ht="15" x14ac:dyDescent="0.25">
      <c r="A2732" s="12" t="s">
        <v>2763</v>
      </c>
    </row>
    <row r="2733" spans="1:1" ht="15" x14ac:dyDescent="0.25">
      <c r="A2733" s="12" t="s">
        <v>2764</v>
      </c>
    </row>
    <row r="2734" spans="1:1" ht="15" x14ac:dyDescent="0.25">
      <c r="A2734" s="12" t="s">
        <v>2765</v>
      </c>
    </row>
    <row r="2735" spans="1:1" ht="15" x14ac:dyDescent="0.25">
      <c r="A2735" s="12" t="s">
        <v>2766</v>
      </c>
    </row>
    <row r="2736" spans="1:1" ht="15" x14ac:dyDescent="0.25">
      <c r="A2736" s="12" t="s">
        <v>2767</v>
      </c>
    </row>
    <row r="2737" spans="1:1" ht="15" x14ac:dyDescent="0.25">
      <c r="A2737" s="12" t="s">
        <v>2768</v>
      </c>
    </row>
    <row r="2738" spans="1:1" ht="15" x14ac:dyDescent="0.25">
      <c r="A2738" s="12" t="s">
        <v>2769</v>
      </c>
    </row>
    <row r="2739" spans="1:1" ht="15" x14ac:dyDescent="0.25">
      <c r="A2739" s="12" t="s">
        <v>2770</v>
      </c>
    </row>
    <row r="2740" spans="1:1" ht="15" x14ac:dyDescent="0.25">
      <c r="A2740" s="12" t="s">
        <v>2771</v>
      </c>
    </row>
    <row r="2741" spans="1:1" ht="15" x14ac:dyDescent="0.25">
      <c r="A2741" s="12" t="s">
        <v>2772</v>
      </c>
    </row>
    <row r="2742" spans="1:1" ht="15" x14ac:dyDescent="0.25">
      <c r="A2742" s="12" t="s">
        <v>2773</v>
      </c>
    </row>
    <row r="2743" spans="1:1" ht="15" x14ac:dyDescent="0.25">
      <c r="A2743" s="12" t="s">
        <v>2774</v>
      </c>
    </row>
    <row r="2744" spans="1:1" ht="15" x14ac:dyDescent="0.25">
      <c r="A2744" s="12" t="s">
        <v>2775</v>
      </c>
    </row>
    <row r="2745" spans="1:1" ht="15" x14ac:dyDescent="0.25">
      <c r="A2745" s="12" t="s">
        <v>2776</v>
      </c>
    </row>
    <row r="2746" spans="1:1" ht="15" x14ac:dyDescent="0.25">
      <c r="A2746" s="12" t="s">
        <v>2777</v>
      </c>
    </row>
    <row r="2747" spans="1:1" ht="15" x14ac:dyDescent="0.25">
      <c r="A2747" s="12" t="s">
        <v>2778</v>
      </c>
    </row>
    <row r="2748" spans="1:1" ht="15" x14ac:dyDescent="0.25">
      <c r="A2748" s="12" t="s">
        <v>2779</v>
      </c>
    </row>
    <row r="2749" spans="1:1" ht="15" x14ac:dyDescent="0.25">
      <c r="A2749" s="12" t="s">
        <v>2780</v>
      </c>
    </row>
    <row r="2750" spans="1:1" ht="15" x14ac:dyDescent="0.25">
      <c r="A2750" s="12" t="s">
        <v>2781</v>
      </c>
    </row>
    <row r="2751" spans="1:1" ht="15" x14ac:dyDescent="0.25">
      <c r="A2751" s="12" t="s">
        <v>2782</v>
      </c>
    </row>
    <row r="2752" spans="1:1" ht="15" x14ac:dyDescent="0.25">
      <c r="A2752" s="12" t="s">
        <v>2783</v>
      </c>
    </row>
    <row r="2753" spans="1:1" ht="15" x14ac:dyDescent="0.25">
      <c r="A2753" s="12" t="s">
        <v>2784</v>
      </c>
    </row>
    <row r="2754" spans="1:1" ht="15" x14ac:dyDescent="0.25">
      <c r="A2754" s="12" t="s">
        <v>2785</v>
      </c>
    </row>
    <row r="2755" spans="1:1" ht="15" x14ac:dyDescent="0.25">
      <c r="A2755" s="12" t="s">
        <v>2786</v>
      </c>
    </row>
    <row r="2756" spans="1:1" ht="15" x14ac:dyDescent="0.25">
      <c r="A2756" s="12" t="s">
        <v>2787</v>
      </c>
    </row>
    <row r="2757" spans="1:1" ht="15" x14ac:dyDescent="0.25">
      <c r="A2757" s="12" t="s">
        <v>2788</v>
      </c>
    </row>
    <row r="2758" spans="1:1" ht="15" x14ac:dyDescent="0.25">
      <c r="A2758" s="12" t="s">
        <v>2789</v>
      </c>
    </row>
    <row r="2759" spans="1:1" ht="15" x14ac:dyDescent="0.25">
      <c r="A2759" s="12" t="s">
        <v>2790</v>
      </c>
    </row>
    <row r="2760" spans="1:1" ht="15" x14ac:dyDescent="0.25">
      <c r="A2760" s="12" t="s">
        <v>2791</v>
      </c>
    </row>
    <row r="2761" spans="1:1" ht="15" x14ac:dyDescent="0.25">
      <c r="A2761" s="12" t="s">
        <v>2792</v>
      </c>
    </row>
    <row r="2762" spans="1:1" ht="15" x14ac:dyDescent="0.25">
      <c r="A2762" s="12" t="s">
        <v>2793</v>
      </c>
    </row>
    <row r="2763" spans="1:1" ht="15" x14ac:dyDescent="0.25">
      <c r="A2763" s="12" t="s">
        <v>2794</v>
      </c>
    </row>
    <row r="2764" spans="1:1" ht="15" x14ac:dyDescent="0.25">
      <c r="A2764" s="12" t="s">
        <v>2795</v>
      </c>
    </row>
    <row r="2765" spans="1:1" ht="15" x14ac:dyDescent="0.25">
      <c r="A2765" s="12" t="s">
        <v>2796</v>
      </c>
    </row>
    <row r="2766" spans="1:1" ht="15" x14ac:dyDescent="0.25">
      <c r="A2766" s="12" t="s">
        <v>2797</v>
      </c>
    </row>
    <row r="2767" spans="1:1" ht="15" x14ac:dyDescent="0.25">
      <c r="A2767" s="12" t="s">
        <v>2798</v>
      </c>
    </row>
    <row r="2768" spans="1:1" ht="15" x14ac:dyDescent="0.25">
      <c r="A2768" s="12" t="s">
        <v>2799</v>
      </c>
    </row>
    <row r="2769" spans="1:1" ht="15" x14ac:dyDescent="0.25">
      <c r="A2769" s="12" t="s">
        <v>2800</v>
      </c>
    </row>
    <row r="2770" spans="1:1" ht="15" x14ac:dyDescent="0.25">
      <c r="A2770" s="12" t="s">
        <v>2801</v>
      </c>
    </row>
    <row r="2771" spans="1:1" ht="15" x14ac:dyDescent="0.25">
      <c r="A2771" s="12" t="s">
        <v>2802</v>
      </c>
    </row>
    <row r="2772" spans="1:1" ht="15" x14ac:dyDescent="0.25">
      <c r="A2772" s="12" t="s">
        <v>2803</v>
      </c>
    </row>
    <row r="2773" spans="1:1" ht="15" x14ac:dyDescent="0.25">
      <c r="A2773" s="12" t="s">
        <v>2804</v>
      </c>
    </row>
    <row r="2774" spans="1:1" ht="15" x14ac:dyDescent="0.25">
      <c r="A2774" s="12" t="s">
        <v>2805</v>
      </c>
    </row>
    <row r="2775" spans="1:1" ht="15" x14ac:dyDescent="0.25">
      <c r="A2775" s="12" t="s">
        <v>2806</v>
      </c>
    </row>
    <row r="2776" spans="1:1" ht="15" x14ac:dyDescent="0.25">
      <c r="A2776" s="12" t="s">
        <v>2807</v>
      </c>
    </row>
    <row r="2777" spans="1:1" ht="15" x14ac:dyDescent="0.25">
      <c r="A2777" s="12" t="s">
        <v>2808</v>
      </c>
    </row>
    <row r="2778" spans="1:1" ht="15" x14ac:dyDescent="0.25">
      <c r="A2778" s="12" t="s">
        <v>2809</v>
      </c>
    </row>
    <row r="2779" spans="1:1" ht="15" x14ac:dyDescent="0.25">
      <c r="A2779" s="12" t="s">
        <v>2810</v>
      </c>
    </row>
    <row r="2780" spans="1:1" ht="15" x14ac:dyDescent="0.25">
      <c r="A2780" s="12" t="s">
        <v>2811</v>
      </c>
    </row>
    <row r="2781" spans="1:1" ht="15" x14ac:dyDescent="0.25">
      <c r="A2781" s="12" t="s">
        <v>2812</v>
      </c>
    </row>
    <row r="2782" spans="1:1" ht="15" x14ac:dyDescent="0.25">
      <c r="A2782" s="12" t="s">
        <v>2813</v>
      </c>
    </row>
    <row r="2783" spans="1:1" ht="15" x14ac:dyDescent="0.25">
      <c r="A2783" s="12" t="s">
        <v>2814</v>
      </c>
    </row>
    <row r="2784" spans="1:1" ht="15" x14ac:dyDescent="0.25">
      <c r="A2784" s="12" t="s">
        <v>2815</v>
      </c>
    </row>
    <row r="2785" spans="1:1" ht="15" x14ac:dyDescent="0.25">
      <c r="A2785" s="12" t="s">
        <v>2816</v>
      </c>
    </row>
    <row r="2786" spans="1:1" ht="15" x14ac:dyDescent="0.25">
      <c r="A2786" s="12" t="s">
        <v>2817</v>
      </c>
    </row>
    <row r="2787" spans="1:1" ht="15" x14ac:dyDescent="0.25">
      <c r="A2787" s="12" t="s">
        <v>2818</v>
      </c>
    </row>
    <row r="2788" spans="1:1" ht="15" x14ac:dyDescent="0.25">
      <c r="A2788" s="12" t="s">
        <v>2819</v>
      </c>
    </row>
    <row r="2789" spans="1:1" ht="15" x14ac:dyDescent="0.25">
      <c r="A2789" s="12" t="s">
        <v>2820</v>
      </c>
    </row>
    <row r="2790" spans="1:1" ht="15" x14ac:dyDescent="0.25">
      <c r="A2790" s="12" t="s">
        <v>2821</v>
      </c>
    </row>
    <row r="2791" spans="1:1" ht="15" x14ac:dyDescent="0.25">
      <c r="A2791" s="12" t="s">
        <v>2822</v>
      </c>
    </row>
    <row r="2792" spans="1:1" ht="15" x14ac:dyDescent="0.25">
      <c r="A2792" s="12" t="s">
        <v>2823</v>
      </c>
    </row>
    <row r="2793" spans="1:1" ht="15" x14ac:dyDescent="0.25">
      <c r="A2793" s="12" t="s">
        <v>2824</v>
      </c>
    </row>
    <row r="2794" spans="1:1" ht="15" x14ac:dyDescent="0.25">
      <c r="A2794" s="12" t="s">
        <v>2825</v>
      </c>
    </row>
    <row r="2795" spans="1:1" ht="15" x14ac:dyDescent="0.25">
      <c r="A2795" s="12" t="s">
        <v>2826</v>
      </c>
    </row>
    <row r="2796" spans="1:1" ht="15" x14ac:dyDescent="0.25">
      <c r="A2796" s="12" t="s">
        <v>2827</v>
      </c>
    </row>
    <row r="2797" spans="1:1" ht="15" x14ac:dyDescent="0.25">
      <c r="A2797" s="12" t="s">
        <v>2828</v>
      </c>
    </row>
    <row r="2798" spans="1:1" ht="15" x14ac:dyDescent="0.25">
      <c r="A2798" s="12" t="s">
        <v>2829</v>
      </c>
    </row>
    <row r="2799" spans="1:1" ht="15" x14ac:dyDescent="0.25">
      <c r="A2799" s="12" t="s">
        <v>2830</v>
      </c>
    </row>
    <row r="2800" spans="1:1" ht="15" x14ac:dyDescent="0.25">
      <c r="A2800" s="12" t="s">
        <v>2831</v>
      </c>
    </row>
    <row r="2801" spans="1:1" ht="15" x14ac:dyDescent="0.25">
      <c r="A2801" s="12" t="s">
        <v>2832</v>
      </c>
    </row>
    <row r="2802" spans="1:1" ht="15" x14ac:dyDescent="0.25">
      <c r="A2802" s="12" t="s">
        <v>2833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9"/>
  <sheetViews>
    <sheetView workbookViewId="0">
      <selection activeCell="A77" sqref="A77"/>
    </sheetView>
  </sheetViews>
  <sheetFormatPr defaultColWidth="14" defaultRowHeight="15.75" customHeight="1" x14ac:dyDescent="0.2"/>
  <cols>
    <col min="1" max="1" width="61.42578125" bestFit="1" customWidth="1"/>
  </cols>
  <sheetData>
    <row r="1" spans="1:1" ht="15" x14ac:dyDescent="0.25">
      <c r="A1" s="12" t="s">
        <v>2834</v>
      </c>
    </row>
    <row r="2" spans="1:1" ht="15" x14ac:dyDescent="0.25">
      <c r="A2" s="12" t="s">
        <v>2835</v>
      </c>
    </row>
    <row r="3" spans="1:1" ht="15" x14ac:dyDescent="0.25">
      <c r="A3" s="12" t="s">
        <v>2836</v>
      </c>
    </row>
    <row r="4" spans="1:1" ht="15" x14ac:dyDescent="0.25">
      <c r="A4" s="12" t="s">
        <v>2837</v>
      </c>
    </row>
    <row r="5" spans="1:1" ht="15" x14ac:dyDescent="0.25">
      <c r="A5" s="12" t="s">
        <v>2838</v>
      </c>
    </row>
    <row r="6" spans="1:1" ht="15" x14ac:dyDescent="0.25">
      <c r="A6" s="12" t="s">
        <v>2839</v>
      </c>
    </row>
    <row r="7" spans="1:1" ht="15" x14ac:dyDescent="0.25">
      <c r="A7" s="12" t="s">
        <v>2840</v>
      </c>
    </row>
    <row r="8" spans="1:1" ht="15" x14ac:dyDescent="0.25">
      <c r="A8" s="12" t="s">
        <v>2841</v>
      </c>
    </row>
    <row r="9" spans="1:1" ht="15" x14ac:dyDescent="0.25">
      <c r="A9" s="12" t="s">
        <v>2842</v>
      </c>
    </row>
    <row r="10" spans="1:1" ht="15" x14ac:dyDescent="0.25">
      <c r="A10" s="12" t="s">
        <v>2843</v>
      </c>
    </row>
    <row r="11" spans="1:1" ht="15" x14ac:dyDescent="0.25">
      <c r="A11" s="12" t="s">
        <v>2844</v>
      </c>
    </row>
    <row r="12" spans="1:1" ht="15" x14ac:dyDescent="0.25">
      <c r="A12" s="12" t="s">
        <v>2845</v>
      </c>
    </row>
    <row r="13" spans="1:1" ht="15" x14ac:dyDescent="0.25">
      <c r="A13" s="12" t="s">
        <v>2846</v>
      </c>
    </row>
    <row r="14" spans="1:1" ht="15" x14ac:dyDescent="0.25">
      <c r="A14" s="12" t="s">
        <v>2847</v>
      </c>
    </row>
    <row r="15" spans="1:1" ht="15" x14ac:dyDescent="0.25">
      <c r="A15" s="12" t="s">
        <v>2848</v>
      </c>
    </row>
    <row r="16" spans="1:1" ht="15" x14ac:dyDescent="0.25">
      <c r="A16" s="12" t="s">
        <v>2849</v>
      </c>
    </row>
    <row r="17" spans="1:1" ht="15" x14ac:dyDescent="0.25">
      <c r="A17" s="12" t="s">
        <v>2850</v>
      </c>
    </row>
    <row r="18" spans="1:1" ht="15" x14ac:dyDescent="0.25">
      <c r="A18" s="12" t="s">
        <v>2851</v>
      </c>
    </row>
    <row r="19" spans="1:1" ht="15" x14ac:dyDescent="0.25">
      <c r="A19" s="12" t="s">
        <v>2852</v>
      </c>
    </row>
    <row r="20" spans="1:1" ht="15" x14ac:dyDescent="0.25">
      <c r="A20" s="12" t="s">
        <v>2853</v>
      </c>
    </row>
    <row r="21" spans="1:1" ht="15" x14ac:dyDescent="0.25">
      <c r="A21" s="12" t="s">
        <v>2854</v>
      </c>
    </row>
    <row r="22" spans="1:1" ht="15" x14ac:dyDescent="0.25">
      <c r="A22" s="12" t="s">
        <v>2855</v>
      </c>
    </row>
    <row r="23" spans="1:1" ht="15" x14ac:dyDescent="0.25">
      <c r="A23" s="12" t="s">
        <v>2856</v>
      </c>
    </row>
    <row r="24" spans="1:1" ht="15" x14ac:dyDescent="0.25">
      <c r="A24" s="12" t="s">
        <v>2857</v>
      </c>
    </row>
    <row r="25" spans="1:1" ht="15" x14ac:dyDescent="0.25">
      <c r="A25" s="12" t="s">
        <v>2858</v>
      </c>
    </row>
    <row r="26" spans="1:1" ht="15" x14ac:dyDescent="0.25">
      <c r="A26" s="12" t="s">
        <v>2859</v>
      </c>
    </row>
    <row r="27" spans="1:1" ht="15" x14ac:dyDescent="0.25">
      <c r="A27" s="12" t="s">
        <v>2860</v>
      </c>
    </row>
    <row r="28" spans="1:1" ht="15" x14ac:dyDescent="0.25">
      <c r="A28" s="12" t="s">
        <v>2861</v>
      </c>
    </row>
    <row r="29" spans="1:1" ht="15" x14ac:dyDescent="0.25">
      <c r="A29" s="12" t="s">
        <v>2862</v>
      </c>
    </row>
    <row r="30" spans="1:1" ht="15" x14ac:dyDescent="0.25">
      <c r="A30" s="12" t="s">
        <v>2863</v>
      </c>
    </row>
    <row r="31" spans="1:1" ht="15" x14ac:dyDescent="0.25">
      <c r="A31" s="12" t="s">
        <v>2864</v>
      </c>
    </row>
    <row r="32" spans="1:1" ht="15" x14ac:dyDescent="0.25">
      <c r="A32" s="12" t="s">
        <v>2865</v>
      </c>
    </row>
    <row r="33" spans="1:1" ht="15" x14ac:dyDescent="0.25">
      <c r="A33" s="12" t="s">
        <v>2866</v>
      </c>
    </row>
    <row r="34" spans="1:1" ht="15" x14ac:dyDescent="0.25">
      <c r="A34" s="12" t="s">
        <v>2867</v>
      </c>
    </row>
    <row r="35" spans="1:1" ht="15" x14ac:dyDescent="0.25">
      <c r="A35" s="12" t="s">
        <v>2868</v>
      </c>
    </row>
    <row r="36" spans="1:1" ht="15" x14ac:dyDescent="0.25">
      <c r="A36" s="12" t="s">
        <v>2869</v>
      </c>
    </row>
    <row r="37" spans="1:1" ht="15" x14ac:dyDescent="0.25">
      <c r="A37" s="12" t="s">
        <v>2870</v>
      </c>
    </row>
    <row r="38" spans="1:1" ht="15" x14ac:dyDescent="0.25">
      <c r="A38" s="12" t="s">
        <v>2871</v>
      </c>
    </row>
    <row r="39" spans="1:1" ht="15" x14ac:dyDescent="0.25">
      <c r="A39" s="12" t="s">
        <v>2872</v>
      </c>
    </row>
    <row r="40" spans="1:1" ht="15" x14ac:dyDescent="0.25">
      <c r="A40" s="12" t="s">
        <v>2873</v>
      </c>
    </row>
    <row r="41" spans="1:1" ht="15" x14ac:dyDescent="0.25">
      <c r="A41" s="12" t="s">
        <v>2874</v>
      </c>
    </row>
    <row r="42" spans="1:1" ht="15" x14ac:dyDescent="0.25">
      <c r="A42" s="12" t="s">
        <v>2875</v>
      </c>
    </row>
    <row r="43" spans="1:1" ht="15" x14ac:dyDescent="0.25">
      <c r="A43" s="12" t="s">
        <v>2876</v>
      </c>
    </row>
    <row r="44" spans="1:1" ht="15" x14ac:dyDescent="0.25">
      <c r="A44" s="12" t="s">
        <v>2877</v>
      </c>
    </row>
    <row r="45" spans="1:1" ht="15" x14ac:dyDescent="0.25">
      <c r="A45" s="12" t="s">
        <v>2878</v>
      </c>
    </row>
    <row r="46" spans="1:1" ht="15" x14ac:dyDescent="0.25">
      <c r="A46" s="12" t="s">
        <v>2879</v>
      </c>
    </row>
    <row r="47" spans="1:1" ht="15" x14ac:dyDescent="0.25">
      <c r="A47" s="12" t="s">
        <v>2880</v>
      </c>
    </row>
    <row r="48" spans="1:1" ht="15" x14ac:dyDescent="0.25">
      <c r="A48" s="12" t="s">
        <v>2881</v>
      </c>
    </row>
    <row r="49" spans="1:1" ht="15" x14ac:dyDescent="0.25">
      <c r="A49" s="12" t="s">
        <v>2882</v>
      </c>
    </row>
    <row r="50" spans="1:1" ht="15" x14ac:dyDescent="0.25">
      <c r="A50" s="12" t="s">
        <v>2882</v>
      </c>
    </row>
    <row r="51" spans="1:1" ht="15" x14ac:dyDescent="0.25">
      <c r="A51" s="12" t="s">
        <v>2883</v>
      </c>
    </row>
    <row r="52" spans="1:1" ht="15" x14ac:dyDescent="0.25">
      <c r="A52" s="12" t="s">
        <v>2884</v>
      </c>
    </row>
    <row r="53" spans="1:1" ht="15" x14ac:dyDescent="0.25">
      <c r="A53" s="12" t="s">
        <v>2885</v>
      </c>
    </row>
    <row r="54" spans="1:1" ht="15" x14ac:dyDescent="0.25">
      <c r="A54" s="12" t="s">
        <v>2886</v>
      </c>
    </row>
    <row r="55" spans="1:1" ht="15" x14ac:dyDescent="0.25">
      <c r="A55" s="12" t="s">
        <v>2887</v>
      </c>
    </row>
    <row r="56" spans="1:1" ht="15" x14ac:dyDescent="0.25">
      <c r="A56" s="12" t="s">
        <v>2888</v>
      </c>
    </row>
    <row r="57" spans="1:1" ht="15.75" customHeight="1" x14ac:dyDescent="0.25">
      <c r="A57" s="12" t="s">
        <v>2889</v>
      </c>
    </row>
    <row r="58" spans="1:1" ht="15.75" customHeight="1" x14ac:dyDescent="0.25">
      <c r="A58" s="12" t="s">
        <v>2890</v>
      </c>
    </row>
    <row r="59" spans="1:1" ht="15.75" customHeight="1" x14ac:dyDescent="0.25">
      <c r="A59" s="12" t="s">
        <v>2891</v>
      </c>
    </row>
    <row r="60" spans="1:1" ht="15.75" customHeight="1" x14ac:dyDescent="0.25">
      <c r="A60" s="12" t="s">
        <v>2892</v>
      </c>
    </row>
    <row r="61" spans="1:1" ht="15.75" customHeight="1" x14ac:dyDescent="0.25">
      <c r="A61" s="12" t="s">
        <v>2893</v>
      </c>
    </row>
    <row r="62" spans="1:1" ht="15.75" customHeight="1" x14ac:dyDescent="0.25">
      <c r="A62" s="12" t="s">
        <v>2894</v>
      </c>
    </row>
    <row r="63" spans="1:1" ht="15.75" customHeight="1" x14ac:dyDescent="0.25">
      <c r="A63" s="12" t="s">
        <v>2895</v>
      </c>
    </row>
    <row r="64" spans="1:1" ht="15.75" customHeight="1" x14ac:dyDescent="0.25">
      <c r="A64" s="12" t="s">
        <v>2896</v>
      </c>
    </row>
    <row r="65" spans="1:1" ht="15.75" customHeight="1" x14ac:dyDescent="0.25">
      <c r="A65" s="12" t="s">
        <v>2897</v>
      </c>
    </row>
    <row r="66" spans="1:1" ht="15.75" customHeight="1" x14ac:dyDescent="0.25">
      <c r="A66" s="12" t="s">
        <v>2898</v>
      </c>
    </row>
    <row r="67" spans="1:1" ht="15.75" customHeight="1" x14ac:dyDescent="0.25">
      <c r="A67" s="12" t="s">
        <v>2899</v>
      </c>
    </row>
    <row r="68" spans="1:1" ht="15.75" customHeight="1" x14ac:dyDescent="0.25">
      <c r="A68" s="12" t="s">
        <v>2900</v>
      </c>
    </row>
    <row r="69" spans="1:1" ht="15.75" customHeight="1" x14ac:dyDescent="0.25">
      <c r="A69" s="12" t="s">
        <v>2901</v>
      </c>
    </row>
  </sheetData>
  <autoFilter ref="A1:A69" xr:uid="{00000000-0009-0000-0000-00000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EF56BE6A8CDD24BB2482014C2303383" ma:contentTypeVersion="15" ma:contentTypeDescription="Create a new document." ma:contentTypeScope="" ma:versionID="8dc67c531a81c654f1883974ad6872df">
  <xsd:schema xmlns:xsd="http://www.w3.org/2001/XMLSchema" xmlns:xs="http://www.w3.org/2001/XMLSchema" xmlns:p="http://schemas.microsoft.com/office/2006/metadata/properties" xmlns:ns2="f9c8e14d-abe6-419f-874f-e36f47c76cba" xmlns:ns3="81f2e48b-f372-406d-92e9-2a3da78a280b" targetNamespace="http://schemas.microsoft.com/office/2006/metadata/properties" ma:root="true" ma:fieldsID="4c11936efb7d86af3a2b7c0e32c25db4" ns2:_="" ns3:_="">
    <xsd:import namespace="f9c8e14d-abe6-419f-874f-e36f47c76cba"/>
    <xsd:import namespace="81f2e48b-f372-406d-92e9-2a3da78a280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c8e14d-abe6-419f-874f-e36f47c76c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8374221-8d70-4396-ba4c-d07f04888cc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f2e48b-f372-406d-92e9-2a3da78a280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d7c14c1-c4d0-4cc0-bcd3-4172ce9a1185}" ma:internalName="TaxCatchAll" ma:showField="CatchAllData" ma:web="81f2e48b-f372-406d-92e9-2a3da78a28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1f2e48b-f372-406d-92e9-2a3da78a280b" xsi:nil="true"/>
    <lcf76f155ced4ddcb4097134ff3c332f xmlns="f9c8e14d-abe6-419f-874f-e36f47c76cb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D319D77-4FF2-4ECE-8681-C62C1301731D}">
  <ds:schemaRefs>
    <ds:schemaRef ds:uri="http://schemas.microsoft.com/sharepoint/v3/contenttype/forms"/>
  </ds:schemaRefs>
</ds:datastoreItem>
</file>

<file path=customXml/itemProps2.xml><?xml version="1.0" encoding="utf-8"?>
<ds:datastoreItem xmlns:ds="http://schemas.openxmlformats.org/officeDocument/2006/customXml" ds:itemID="{AD9895CE-FB86-471B-ADAE-6DF63AA969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c8e14d-abe6-419f-874f-e36f47c76cba"/>
    <ds:schemaRef ds:uri="81f2e48b-f372-406d-92e9-2a3da78a28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3765A6-9CD0-4F99-8675-B1F2F302749B}">
  <ds:schemaRefs>
    <ds:schemaRef ds:uri="f9c8e14d-abe6-419f-874f-e36f47c76cba"/>
    <ds:schemaRef ds:uri="http://purl.org/dc/dcmitype/"/>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purl.org/dc/elements/1.1/"/>
    <ds:schemaRef ds:uri="http://schemas.openxmlformats.org/package/2006/metadata/core-properties"/>
    <ds:schemaRef ds:uri="81f2e48b-f372-406d-92e9-2a3da78a280b"/>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HRMO</vt:lpstr>
      <vt:lpstr>PLANTILLA</vt:lpstr>
      <vt:lpstr>Plantilla Guidelines</vt:lpstr>
      <vt:lpstr>Positions</vt:lpstr>
      <vt:lpstr>Eligibilities</vt:lpstr>
      <vt:lpstr>HRMO!Print_Area</vt:lpstr>
      <vt:lpstr>PLANTILLA!Print_Area</vt:lpstr>
      <vt:lpstr>PLANTILLA!Print_Titles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Mark</dc:creator>
  <cp:keywords/>
  <dc:description/>
  <cp:lastModifiedBy>admin</cp:lastModifiedBy>
  <cp:revision/>
  <cp:lastPrinted>2026-07-28T06:57:39Z</cp:lastPrinted>
  <dcterms:created xsi:type="dcterms:W3CDTF">2017-08-08T22:23:44Z</dcterms:created>
  <dcterms:modified xsi:type="dcterms:W3CDTF">2026-07-28T08:42:30Z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b1d9a5c2cfd949a2acf55205de0c5fcb</vt:lpwstr>
  </property>
  <property fmtid="{D5CDD505-2E9C-101B-9397-08002B2CF9AE}" pid="3" name="ContentTypeId">
    <vt:lpwstr>0x0101004EF56BE6A8CDD24BB2482014C2303383</vt:lpwstr>
  </property>
  <property fmtid="{D5CDD505-2E9C-101B-9397-08002B2CF9AE}" pid="4" name="MediaServiceImageTags">
    <vt:lpwstr/>
  </property>
</Properties>
</file>